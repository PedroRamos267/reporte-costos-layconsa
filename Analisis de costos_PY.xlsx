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_Costos_Web\"/>
    </mc:Choice>
  </mc:AlternateContent>
  <xr:revisionPtr revIDLastSave="0" documentId="13_ncr:1_{EEE277B1-6720-4DE0-96B2-9AEF0A4090D9}" xr6:coauthVersionLast="47" xr6:coauthVersionMax="47" xr10:uidLastSave="{00000000-0000-0000-0000-000000000000}"/>
  <bookViews>
    <workbookView xWindow="-120" yWindow="-120" windowWidth="29040" windowHeight="15720" xr2:uid="{1DA686B8-0B2C-412D-BF39-55873AE822FC}"/>
  </bookViews>
  <sheets>
    <sheet name="Explosión" sheetId="1" r:id="rId1"/>
    <sheet name="Materiales" sheetId="6" r:id="rId2"/>
    <sheet name="Hoja1" sheetId="5" r:id="rId3"/>
    <sheet name="Tiempos" sheetId="2" r:id="rId4"/>
    <sheet name="Hoja4" sheetId="4" state="hidden" r:id="rId5"/>
    <sheet name="Costos" sheetId="3" r:id="rId6"/>
  </sheets>
  <definedNames>
    <definedName name="_xlnm._FilterDatabase" localSheetId="5" hidden="1">Costos!$A$1:$I$7161</definedName>
    <definedName name="_xlnm._FilterDatabase" localSheetId="0" hidden="1">Explosión!$A$1:$N$834</definedName>
    <definedName name="_xlnm._FilterDatabase" localSheetId="3" hidden="1">Tiempos!$A$1:$M$152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3" i="2" l="1"/>
  <c r="C142" i="2"/>
  <c r="C141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I142" i="2"/>
  <c r="H142" i="2"/>
  <c r="I141" i="2"/>
  <c r="H141" i="2"/>
  <c r="I140" i="2"/>
  <c r="H140" i="2"/>
  <c r="C143" i="2"/>
  <c r="C145" i="2"/>
  <c r="C151" i="2"/>
  <c r="C150" i="2"/>
  <c r="C149" i="2"/>
  <c r="C148" i="2"/>
  <c r="C147" i="2"/>
  <c r="I139" i="2"/>
  <c r="H139" i="2"/>
  <c r="C139" i="2"/>
  <c r="I138" i="2"/>
  <c r="H138" i="2"/>
  <c r="C138" i="2"/>
  <c r="I137" i="2"/>
  <c r="H137" i="2"/>
  <c r="C137" i="2"/>
  <c r="I136" i="2"/>
  <c r="H136" i="2"/>
  <c r="I135" i="2"/>
  <c r="H135" i="2"/>
  <c r="I134" i="2"/>
  <c r="H134" i="2"/>
  <c r="C134" i="2"/>
  <c r="I133" i="2"/>
  <c r="H133" i="2"/>
  <c r="C133" i="2"/>
  <c r="I132" i="2"/>
  <c r="H132" i="2"/>
  <c r="C132" i="2"/>
  <c r="I131" i="2"/>
  <c r="H131" i="2"/>
  <c r="I130" i="2"/>
  <c r="H130" i="2"/>
  <c r="I129" i="2"/>
  <c r="H129" i="2"/>
  <c r="C129" i="2"/>
  <c r="I128" i="2"/>
  <c r="H128" i="2"/>
  <c r="C128" i="2"/>
  <c r="I127" i="2"/>
  <c r="H127" i="2"/>
  <c r="C127" i="2"/>
  <c r="I126" i="2"/>
  <c r="H126" i="2"/>
  <c r="I125" i="2"/>
  <c r="H125" i="2"/>
  <c r="I124" i="2"/>
  <c r="H124" i="2"/>
  <c r="C124" i="2"/>
  <c r="I123" i="2"/>
  <c r="H123" i="2"/>
  <c r="C123" i="2"/>
  <c r="I122" i="2"/>
  <c r="H122" i="2"/>
  <c r="C122" i="2"/>
  <c r="I121" i="2"/>
  <c r="H121" i="2"/>
  <c r="I120" i="2"/>
  <c r="H120" i="2"/>
  <c r="I119" i="2"/>
  <c r="H119" i="2"/>
  <c r="C119" i="2"/>
  <c r="I118" i="2"/>
  <c r="H118" i="2"/>
  <c r="C118" i="2"/>
  <c r="I117" i="2"/>
  <c r="H117" i="2"/>
  <c r="C117" i="2"/>
  <c r="I116" i="2"/>
  <c r="H116" i="2"/>
  <c r="I115" i="2"/>
  <c r="H115" i="2"/>
  <c r="I114" i="2"/>
  <c r="H114" i="2"/>
  <c r="C114" i="2"/>
  <c r="I113" i="2"/>
  <c r="H113" i="2"/>
  <c r="C113" i="2"/>
  <c r="I112" i="2"/>
  <c r="H112" i="2"/>
  <c r="C112" i="2"/>
  <c r="I111" i="2"/>
  <c r="H111" i="2"/>
  <c r="I110" i="2"/>
  <c r="H110" i="2"/>
  <c r="I109" i="2"/>
  <c r="H109" i="2"/>
  <c r="C109" i="2"/>
  <c r="I108" i="2"/>
  <c r="H108" i="2"/>
  <c r="C108" i="2"/>
  <c r="I107" i="2"/>
  <c r="H107" i="2"/>
  <c r="C107" i="2"/>
  <c r="I106" i="2"/>
  <c r="H106" i="2"/>
  <c r="I105" i="2"/>
  <c r="H105" i="2"/>
  <c r="I104" i="2"/>
  <c r="H104" i="2"/>
  <c r="C104" i="2"/>
  <c r="I103" i="2"/>
  <c r="H103" i="2"/>
  <c r="C103" i="2"/>
  <c r="I102" i="2"/>
  <c r="H102" i="2"/>
  <c r="C102" i="2"/>
  <c r="I101" i="2"/>
  <c r="H101" i="2"/>
  <c r="I100" i="2"/>
  <c r="H100" i="2"/>
  <c r="I99" i="2"/>
  <c r="H99" i="2"/>
  <c r="C99" i="2"/>
  <c r="I98" i="2"/>
  <c r="H98" i="2"/>
  <c r="C98" i="2"/>
  <c r="I97" i="2"/>
  <c r="H97" i="2"/>
  <c r="C97" i="2"/>
  <c r="I96" i="2"/>
  <c r="H96" i="2"/>
  <c r="I95" i="2"/>
  <c r="H95" i="2"/>
  <c r="I94" i="2"/>
  <c r="H94" i="2"/>
  <c r="C94" i="2"/>
  <c r="I93" i="2"/>
  <c r="H93" i="2"/>
  <c r="C93" i="2"/>
  <c r="I92" i="2"/>
  <c r="H92" i="2"/>
  <c r="C92" i="2"/>
  <c r="I91" i="2"/>
  <c r="H91" i="2"/>
  <c r="I90" i="2"/>
  <c r="H90" i="2"/>
  <c r="I89" i="2"/>
  <c r="H89" i="2"/>
  <c r="C89" i="2"/>
  <c r="I88" i="2"/>
  <c r="H88" i="2"/>
  <c r="C88" i="2"/>
  <c r="I87" i="2"/>
  <c r="H87" i="2"/>
  <c r="C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O79" i="2" s="1"/>
  <c r="C84" i="2"/>
  <c r="C83" i="2"/>
  <c r="C82" i="2"/>
  <c r="O84" i="2" l="1"/>
  <c r="O80" i="2"/>
  <c r="O83" i="2"/>
  <c r="O81" i="2"/>
  <c r="O82" i="2"/>
  <c r="D79" i="2" l="1"/>
  <c r="M834" i="1"/>
  <c r="L834" i="1"/>
  <c r="K834" i="1"/>
  <c r="M833" i="1"/>
  <c r="L833" i="1"/>
  <c r="K833" i="1"/>
  <c r="M832" i="1"/>
  <c r="L832" i="1"/>
  <c r="K832" i="1"/>
  <c r="M831" i="1"/>
  <c r="L831" i="1"/>
  <c r="K831" i="1"/>
  <c r="M830" i="1"/>
  <c r="L830" i="1"/>
  <c r="K830" i="1"/>
  <c r="M829" i="1"/>
  <c r="L829" i="1"/>
  <c r="K829" i="1"/>
  <c r="M828" i="1"/>
  <c r="L828" i="1"/>
  <c r="K828" i="1"/>
  <c r="M827" i="1"/>
  <c r="L827" i="1"/>
  <c r="K827" i="1"/>
  <c r="M826" i="1"/>
  <c r="L826" i="1"/>
  <c r="K826" i="1"/>
  <c r="M825" i="1"/>
  <c r="L825" i="1"/>
  <c r="K825" i="1"/>
  <c r="M824" i="1"/>
  <c r="L824" i="1"/>
  <c r="K824" i="1"/>
  <c r="M823" i="1"/>
  <c r="L823" i="1"/>
  <c r="K823" i="1"/>
  <c r="M822" i="1"/>
  <c r="L822" i="1"/>
  <c r="K822" i="1"/>
  <c r="M821" i="1"/>
  <c r="L821" i="1"/>
  <c r="K821" i="1"/>
  <c r="M820" i="1"/>
  <c r="L820" i="1"/>
  <c r="K820" i="1"/>
  <c r="M819" i="1"/>
  <c r="L819" i="1"/>
  <c r="K819" i="1"/>
  <c r="M818" i="1"/>
  <c r="L818" i="1"/>
  <c r="K818" i="1"/>
  <c r="M817" i="1"/>
  <c r="L817" i="1"/>
  <c r="K817" i="1"/>
  <c r="M816" i="1"/>
  <c r="L816" i="1"/>
  <c r="K816" i="1"/>
  <c r="M815" i="1"/>
  <c r="L815" i="1"/>
  <c r="K815" i="1"/>
  <c r="M814" i="1"/>
  <c r="L814" i="1"/>
  <c r="K814" i="1"/>
  <c r="M813" i="1"/>
  <c r="L813" i="1"/>
  <c r="K813" i="1"/>
  <c r="M812" i="1"/>
  <c r="L812" i="1"/>
  <c r="K812" i="1"/>
  <c r="M811" i="1"/>
  <c r="L811" i="1"/>
  <c r="K811" i="1"/>
  <c r="M810" i="1"/>
  <c r="L810" i="1"/>
  <c r="K810" i="1"/>
  <c r="M809" i="1"/>
  <c r="L809" i="1"/>
  <c r="K809" i="1"/>
  <c r="M808" i="1"/>
  <c r="L808" i="1"/>
  <c r="K808" i="1"/>
  <c r="M807" i="1"/>
  <c r="L807" i="1"/>
  <c r="K807" i="1"/>
  <c r="M806" i="1"/>
  <c r="L806" i="1"/>
  <c r="K806" i="1"/>
  <c r="M805" i="1"/>
  <c r="L805" i="1"/>
  <c r="K805" i="1"/>
  <c r="M804" i="1"/>
  <c r="L804" i="1"/>
  <c r="K804" i="1"/>
  <c r="M803" i="1"/>
  <c r="L803" i="1"/>
  <c r="K803" i="1"/>
  <c r="M802" i="1"/>
  <c r="L802" i="1"/>
  <c r="K802" i="1"/>
  <c r="M801" i="1"/>
  <c r="L801" i="1"/>
  <c r="K801" i="1"/>
  <c r="M800" i="1"/>
  <c r="L800" i="1"/>
  <c r="K800" i="1"/>
  <c r="M799" i="1"/>
  <c r="L799" i="1"/>
  <c r="K799" i="1"/>
  <c r="M798" i="1"/>
  <c r="L798" i="1"/>
  <c r="K798" i="1"/>
  <c r="M797" i="1"/>
  <c r="L797" i="1"/>
  <c r="K797" i="1"/>
  <c r="M796" i="1"/>
  <c r="L796" i="1"/>
  <c r="K796" i="1"/>
  <c r="M795" i="1"/>
  <c r="L795" i="1"/>
  <c r="K795" i="1"/>
  <c r="M794" i="1"/>
  <c r="L794" i="1"/>
  <c r="K794" i="1"/>
  <c r="M793" i="1"/>
  <c r="L793" i="1"/>
  <c r="K793" i="1"/>
  <c r="M792" i="1"/>
  <c r="L792" i="1"/>
  <c r="K792" i="1"/>
  <c r="M791" i="1"/>
  <c r="L791" i="1"/>
  <c r="K791" i="1"/>
  <c r="M790" i="1"/>
  <c r="L790" i="1"/>
  <c r="K790" i="1"/>
  <c r="M789" i="1"/>
  <c r="L789" i="1"/>
  <c r="K789" i="1"/>
  <c r="M788" i="1"/>
  <c r="L788" i="1"/>
  <c r="K788" i="1"/>
  <c r="M787" i="1"/>
  <c r="L787" i="1"/>
  <c r="K787" i="1"/>
  <c r="M786" i="1"/>
  <c r="L786" i="1"/>
  <c r="K786" i="1"/>
  <c r="M785" i="1"/>
  <c r="L785" i="1"/>
  <c r="K785" i="1"/>
  <c r="M784" i="1"/>
  <c r="L784" i="1"/>
  <c r="K784" i="1"/>
  <c r="M783" i="1"/>
  <c r="L783" i="1"/>
  <c r="K783" i="1"/>
  <c r="M782" i="1"/>
  <c r="L782" i="1"/>
  <c r="K782" i="1"/>
  <c r="M781" i="1"/>
  <c r="L781" i="1"/>
  <c r="K781" i="1"/>
  <c r="M780" i="1"/>
  <c r="L780" i="1"/>
  <c r="K780" i="1"/>
  <c r="M779" i="1"/>
  <c r="L779" i="1"/>
  <c r="K779" i="1"/>
  <c r="M778" i="1"/>
  <c r="L778" i="1"/>
  <c r="K778" i="1"/>
  <c r="M777" i="1"/>
  <c r="L777" i="1"/>
  <c r="K777" i="1"/>
  <c r="M776" i="1"/>
  <c r="L776" i="1"/>
  <c r="K776" i="1"/>
  <c r="M775" i="1"/>
  <c r="L775" i="1"/>
  <c r="K775" i="1"/>
  <c r="M774" i="1"/>
  <c r="L774" i="1"/>
  <c r="K774" i="1"/>
  <c r="M773" i="1"/>
  <c r="L773" i="1"/>
  <c r="K773" i="1"/>
  <c r="M772" i="1"/>
  <c r="L772" i="1"/>
  <c r="K772" i="1"/>
  <c r="M771" i="1"/>
  <c r="L771" i="1"/>
  <c r="K771" i="1"/>
  <c r="M770" i="1"/>
  <c r="L770" i="1"/>
  <c r="K770" i="1"/>
  <c r="M769" i="1"/>
  <c r="L769" i="1"/>
  <c r="K769" i="1"/>
  <c r="M768" i="1"/>
  <c r="L768" i="1"/>
  <c r="K768" i="1"/>
  <c r="M767" i="1"/>
  <c r="L767" i="1"/>
  <c r="K767" i="1"/>
  <c r="M766" i="1"/>
  <c r="L766" i="1"/>
  <c r="K766" i="1"/>
  <c r="M765" i="1"/>
  <c r="L765" i="1"/>
  <c r="K765" i="1"/>
  <c r="M764" i="1"/>
  <c r="L764" i="1"/>
  <c r="K764" i="1"/>
  <c r="M763" i="1"/>
  <c r="L763" i="1"/>
  <c r="K763" i="1"/>
  <c r="M762" i="1"/>
  <c r="L762" i="1"/>
  <c r="K762" i="1"/>
  <c r="M761" i="1"/>
  <c r="L761" i="1"/>
  <c r="K761" i="1"/>
  <c r="M760" i="1"/>
  <c r="L760" i="1"/>
  <c r="K760" i="1"/>
  <c r="M759" i="1"/>
  <c r="L759" i="1"/>
  <c r="K759" i="1"/>
  <c r="M758" i="1"/>
  <c r="L758" i="1"/>
  <c r="K758" i="1"/>
  <c r="M757" i="1"/>
  <c r="L757" i="1"/>
  <c r="K757" i="1"/>
  <c r="M756" i="1"/>
  <c r="L756" i="1"/>
  <c r="K756" i="1"/>
  <c r="M755" i="1"/>
  <c r="L755" i="1"/>
  <c r="K755" i="1"/>
  <c r="M754" i="1"/>
  <c r="L754" i="1"/>
  <c r="K754" i="1"/>
  <c r="M753" i="1"/>
  <c r="L753" i="1"/>
  <c r="K753" i="1"/>
  <c r="M752" i="1"/>
  <c r="L752" i="1"/>
  <c r="K752" i="1"/>
  <c r="M751" i="1"/>
  <c r="L751" i="1"/>
  <c r="K751" i="1"/>
  <c r="M750" i="1"/>
  <c r="L750" i="1"/>
  <c r="K750" i="1"/>
  <c r="M749" i="1"/>
  <c r="L749" i="1"/>
  <c r="K749" i="1"/>
  <c r="M748" i="1"/>
  <c r="L748" i="1"/>
  <c r="K748" i="1"/>
  <c r="M747" i="1"/>
  <c r="L747" i="1"/>
  <c r="K747" i="1"/>
  <c r="M746" i="1"/>
  <c r="L746" i="1"/>
  <c r="K746" i="1"/>
  <c r="M745" i="1"/>
  <c r="L745" i="1"/>
  <c r="K745" i="1"/>
  <c r="M744" i="1"/>
  <c r="L744" i="1"/>
  <c r="K744" i="1"/>
  <c r="M743" i="1"/>
  <c r="L743" i="1"/>
  <c r="K743" i="1"/>
  <c r="M742" i="1"/>
  <c r="L742" i="1"/>
  <c r="K742" i="1"/>
  <c r="M741" i="1"/>
  <c r="L741" i="1"/>
  <c r="K741" i="1"/>
  <c r="M740" i="1"/>
  <c r="L740" i="1"/>
  <c r="K740" i="1"/>
  <c r="M739" i="1"/>
  <c r="L739" i="1"/>
  <c r="K739" i="1"/>
  <c r="M738" i="1"/>
  <c r="L738" i="1"/>
  <c r="K738" i="1"/>
  <c r="M737" i="1"/>
  <c r="L737" i="1"/>
  <c r="K737" i="1"/>
  <c r="M736" i="1"/>
  <c r="L736" i="1"/>
  <c r="K736" i="1"/>
  <c r="M735" i="1"/>
  <c r="L735" i="1"/>
  <c r="K735" i="1"/>
  <c r="M734" i="1"/>
  <c r="L734" i="1"/>
  <c r="K734" i="1"/>
  <c r="M733" i="1"/>
  <c r="L733" i="1"/>
  <c r="K733" i="1"/>
  <c r="M732" i="1"/>
  <c r="L732" i="1"/>
  <c r="K732" i="1"/>
  <c r="M731" i="1"/>
  <c r="L731" i="1"/>
  <c r="K731" i="1"/>
  <c r="M730" i="1"/>
  <c r="L730" i="1"/>
  <c r="K730" i="1"/>
  <c r="M729" i="1"/>
  <c r="L729" i="1"/>
  <c r="K729" i="1"/>
  <c r="M728" i="1"/>
  <c r="L728" i="1"/>
  <c r="K728" i="1"/>
  <c r="M727" i="1"/>
  <c r="L727" i="1"/>
  <c r="K727" i="1"/>
  <c r="M726" i="1"/>
  <c r="L726" i="1"/>
  <c r="K726" i="1"/>
  <c r="M725" i="1"/>
  <c r="L725" i="1"/>
  <c r="K725" i="1"/>
  <c r="M724" i="1"/>
  <c r="L724" i="1"/>
  <c r="K724" i="1"/>
  <c r="M723" i="1"/>
  <c r="L723" i="1"/>
  <c r="K723" i="1"/>
  <c r="M722" i="1"/>
  <c r="L722" i="1"/>
  <c r="K722" i="1"/>
  <c r="M721" i="1"/>
  <c r="L721" i="1"/>
  <c r="K721" i="1"/>
  <c r="M720" i="1"/>
  <c r="L720" i="1"/>
  <c r="K720" i="1"/>
  <c r="M719" i="1"/>
  <c r="L719" i="1"/>
  <c r="K719" i="1"/>
  <c r="M718" i="1"/>
  <c r="L718" i="1"/>
  <c r="K718" i="1"/>
  <c r="M717" i="1"/>
  <c r="L717" i="1"/>
  <c r="K717" i="1"/>
  <c r="M716" i="1"/>
  <c r="L716" i="1"/>
  <c r="K716" i="1"/>
  <c r="M715" i="1"/>
  <c r="L715" i="1"/>
  <c r="K715" i="1"/>
  <c r="M714" i="1"/>
  <c r="L714" i="1"/>
  <c r="K714" i="1"/>
  <c r="M713" i="1"/>
  <c r="L713" i="1"/>
  <c r="K713" i="1"/>
  <c r="M712" i="1"/>
  <c r="L712" i="1"/>
  <c r="K712" i="1"/>
  <c r="M711" i="1"/>
  <c r="L711" i="1"/>
  <c r="K711" i="1"/>
  <c r="M710" i="1"/>
  <c r="L710" i="1"/>
  <c r="K710" i="1"/>
  <c r="M709" i="1"/>
  <c r="L709" i="1"/>
  <c r="K709" i="1"/>
  <c r="M708" i="1"/>
  <c r="L708" i="1"/>
  <c r="K708" i="1"/>
  <c r="M707" i="1"/>
  <c r="L707" i="1"/>
  <c r="K707" i="1"/>
  <c r="M706" i="1"/>
  <c r="L706" i="1"/>
  <c r="K706" i="1"/>
  <c r="M705" i="1"/>
  <c r="L705" i="1"/>
  <c r="K705" i="1"/>
  <c r="M704" i="1"/>
  <c r="L704" i="1"/>
  <c r="K704" i="1"/>
  <c r="M703" i="1"/>
  <c r="L703" i="1"/>
  <c r="K703" i="1"/>
  <c r="M702" i="1"/>
  <c r="L702" i="1"/>
  <c r="K702" i="1"/>
  <c r="M701" i="1"/>
  <c r="L701" i="1"/>
  <c r="K701" i="1"/>
  <c r="M700" i="1"/>
  <c r="L700" i="1"/>
  <c r="K700" i="1"/>
  <c r="M699" i="1"/>
  <c r="L699" i="1"/>
  <c r="K699" i="1"/>
  <c r="M698" i="1"/>
  <c r="L698" i="1"/>
  <c r="K698" i="1"/>
  <c r="M697" i="1"/>
  <c r="L697" i="1"/>
  <c r="K697" i="1"/>
  <c r="M696" i="1"/>
  <c r="L696" i="1"/>
  <c r="K696" i="1"/>
  <c r="M695" i="1"/>
  <c r="L695" i="1"/>
  <c r="K695" i="1"/>
  <c r="M694" i="1"/>
  <c r="L694" i="1"/>
  <c r="K694" i="1"/>
  <c r="M693" i="1"/>
  <c r="L693" i="1"/>
  <c r="K693" i="1"/>
  <c r="M692" i="1"/>
  <c r="L692" i="1"/>
  <c r="K692" i="1"/>
  <c r="M691" i="1"/>
  <c r="L691" i="1"/>
  <c r="K691" i="1"/>
  <c r="M690" i="1"/>
  <c r="L690" i="1"/>
  <c r="K690" i="1"/>
  <c r="M689" i="1"/>
  <c r="L689" i="1"/>
  <c r="K689" i="1"/>
  <c r="M688" i="1"/>
  <c r="L688" i="1"/>
  <c r="K688" i="1"/>
  <c r="M687" i="1"/>
  <c r="L687" i="1"/>
  <c r="K687" i="1"/>
  <c r="M686" i="1"/>
  <c r="L686" i="1"/>
  <c r="K686" i="1"/>
  <c r="M685" i="1"/>
  <c r="L685" i="1"/>
  <c r="K685" i="1"/>
  <c r="M684" i="1"/>
  <c r="L684" i="1"/>
  <c r="K684" i="1"/>
  <c r="M683" i="1"/>
  <c r="L683" i="1"/>
  <c r="K683" i="1"/>
  <c r="M682" i="1"/>
  <c r="L682" i="1"/>
  <c r="K682" i="1"/>
  <c r="M681" i="1"/>
  <c r="L681" i="1"/>
  <c r="K681" i="1"/>
  <c r="M680" i="1"/>
  <c r="L680" i="1"/>
  <c r="K680" i="1"/>
  <c r="M679" i="1"/>
  <c r="L679" i="1"/>
  <c r="K679" i="1"/>
  <c r="M678" i="1"/>
  <c r="L678" i="1"/>
  <c r="K678" i="1"/>
  <c r="M677" i="1"/>
  <c r="L677" i="1"/>
  <c r="K677" i="1"/>
  <c r="M676" i="1"/>
  <c r="L676" i="1"/>
  <c r="K676" i="1"/>
  <c r="M675" i="1"/>
  <c r="L675" i="1"/>
  <c r="K675" i="1"/>
  <c r="M674" i="1"/>
  <c r="L674" i="1"/>
  <c r="K674" i="1"/>
  <c r="M673" i="1"/>
  <c r="L673" i="1"/>
  <c r="K673" i="1"/>
  <c r="M672" i="1"/>
  <c r="L672" i="1"/>
  <c r="K672" i="1"/>
  <c r="M671" i="1"/>
  <c r="L671" i="1"/>
  <c r="K671" i="1"/>
  <c r="M670" i="1"/>
  <c r="L670" i="1"/>
  <c r="K670" i="1"/>
  <c r="M669" i="1"/>
  <c r="L669" i="1"/>
  <c r="K669" i="1"/>
  <c r="M668" i="1"/>
  <c r="L668" i="1"/>
  <c r="K668" i="1"/>
  <c r="M667" i="1"/>
  <c r="L667" i="1"/>
  <c r="K667" i="1"/>
  <c r="M666" i="1"/>
  <c r="L666" i="1"/>
  <c r="K666" i="1"/>
  <c r="M665" i="1"/>
  <c r="L665" i="1"/>
  <c r="K665" i="1"/>
  <c r="M664" i="1"/>
  <c r="L664" i="1"/>
  <c r="K664" i="1"/>
  <c r="M663" i="1"/>
  <c r="L663" i="1"/>
  <c r="K663" i="1"/>
  <c r="M662" i="1"/>
  <c r="L662" i="1"/>
  <c r="K662" i="1"/>
  <c r="M661" i="1"/>
  <c r="L661" i="1"/>
  <c r="K661" i="1"/>
  <c r="M660" i="1"/>
  <c r="L660" i="1"/>
  <c r="K660" i="1"/>
  <c r="M659" i="1"/>
  <c r="L659" i="1"/>
  <c r="K659" i="1"/>
  <c r="M658" i="1"/>
  <c r="L658" i="1"/>
  <c r="K658" i="1"/>
  <c r="M657" i="1"/>
  <c r="L657" i="1"/>
  <c r="K657" i="1"/>
  <c r="M656" i="1"/>
  <c r="L656" i="1"/>
  <c r="K656" i="1"/>
  <c r="M655" i="1"/>
  <c r="L655" i="1"/>
  <c r="K655" i="1"/>
  <c r="M654" i="1"/>
  <c r="L654" i="1"/>
  <c r="K654" i="1"/>
  <c r="M653" i="1"/>
  <c r="L653" i="1"/>
  <c r="K653" i="1"/>
  <c r="M652" i="1"/>
  <c r="L652" i="1"/>
  <c r="K652" i="1"/>
  <c r="M651" i="1"/>
  <c r="L651" i="1"/>
  <c r="K651" i="1"/>
  <c r="M650" i="1"/>
  <c r="L650" i="1"/>
  <c r="K650" i="1"/>
  <c r="M649" i="1"/>
  <c r="L649" i="1"/>
  <c r="K649" i="1"/>
  <c r="M648" i="1"/>
  <c r="L648" i="1"/>
  <c r="K648" i="1"/>
  <c r="M647" i="1"/>
  <c r="L647" i="1"/>
  <c r="K647" i="1"/>
  <c r="M646" i="1"/>
  <c r="L646" i="1"/>
  <c r="K646" i="1"/>
  <c r="M645" i="1"/>
  <c r="L645" i="1"/>
  <c r="K645" i="1"/>
  <c r="M644" i="1"/>
  <c r="L644" i="1"/>
  <c r="K644" i="1"/>
  <c r="M643" i="1"/>
  <c r="L643" i="1"/>
  <c r="K643" i="1"/>
  <c r="M642" i="1"/>
  <c r="L642" i="1"/>
  <c r="K642" i="1"/>
  <c r="M641" i="1"/>
  <c r="L641" i="1"/>
  <c r="K641" i="1"/>
  <c r="M640" i="1"/>
  <c r="L640" i="1"/>
  <c r="K640" i="1"/>
  <c r="M639" i="1"/>
  <c r="L639" i="1"/>
  <c r="K639" i="1"/>
  <c r="M638" i="1"/>
  <c r="L638" i="1"/>
  <c r="K638" i="1"/>
  <c r="M637" i="1"/>
  <c r="L637" i="1"/>
  <c r="K637" i="1"/>
  <c r="M636" i="1"/>
  <c r="L636" i="1"/>
  <c r="K636" i="1"/>
  <c r="M635" i="1"/>
  <c r="L635" i="1"/>
  <c r="K635" i="1"/>
  <c r="M634" i="1"/>
  <c r="L634" i="1"/>
  <c r="K634" i="1"/>
  <c r="M633" i="1"/>
  <c r="L633" i="1"/>
  <c r="K633" i="1"/>
  <c r="M632" i="1"/>
  <c r="L632" i="1"/>
  <c r="K632" i="1"/>
  <c r="M631" i="1"/>
  <c r="L631" i="1"/>
  <c r="K631" i="1"/>
  <c r="M630" i="1"/>
  <c r="L630" i="1"/>
  <c r="K630" i="1"/>
  <c r="M629" i="1"/>
  <c r="L629" i="1"/>
  <c r="K629" i="1"/>
  <c r="M628" i="1"/>
  <c r="L628" i="1"/>
  <c r="K628" i="1"/>
  <c r="M627" i="1"/>
  <c r="L627" i="1"/>
  <c r="K627" i="1"/>
  <c r="M626" i="1"/>
  <c r="L626" i="1"/>
  <c r="K626" i="1"/>
  <c r="M625" i="1"/>
  <c r="L625" i="1"/>
  <c r="K625" i="1"/>
  <c r="M624" i="1"/>
  <c r="L624" i="1"/>
  <c r="K624" i="1"/>
  <c r="M623" i="1"/>
  <c r="L623" i="1"/>
  <c r="K623" i="1"/>
  <c r="M622" i="1"/>
  <c r="L622" i="1"/>
  <c r="K622" i="1"/>
  <c r="M621" i="1"/>
  <c r="L621" i="1"/>
  <c r="K621" i="1"/>
  <c r="M620" i="1"/>
  <c r="L620" i="1"/>
  <c r="K620" i="1"/>
  <c r="M619" i="1"/>
  <c r="L619" i="1"/>
  <c r="K619" i="1"/>
  <c r="M618" i="1"/>
  <c r="L618" i="1"/>
  <c r="K618" i="1"/>
  <c r="M617" i="1"/>
  <c r="L617" i="1"/>
  <c r="K617" i="1"/>
  <c r="M616" i="1"/>
  <c r="L616" i="1"/>
  <c r="K616" i="1"/>
  <c r="M615" i="1"/>
  <c r="L615" i="1"/>
  <c r="K615" i="1"/>
  <c r="M614" i="1"/>
  <c r="L614" i="1"/>
  <c r="K614" i="1"/>
  <c r="M613" i="1"/>
  <c r="L613" i="1"/>
  <c r="K613" i="1"/>
  <c r="M612" i="1"/>
  <c r="L612" i="1"/>
  <c r="K612" i="1"/>
  <c r="M611" i="1"/>
  <c r="L611" i="1"/>
  <c r="K611" i="1"/>
  <c r="M610" i="1"/>
  <c r="L610" i="1"/>
  <c r="K610" i="1"/>
  <c r="M609" i="1"/>
  <c r="L609" i="1"/>
  <c r="K609" i="1"/>
  <c r="M608" i="1"/>
  <c r="L608" i="1"/>
  <c r="K608" i="1"/>
  <c r="M607" i="1"/>
  <c r="L607" i="1"/>
  <c r="K607" i="1"/>
  <c r="M606" i="1"/>
  <c r="L606" i="1"/>
  <c r="K606" i="1"/>
  <c r="M605" i="1"/>
  <c r="L605" i="1"/>
  <c r="K605" i="1"/>
  <c r="M604" i="1"/>
  <c r="L604" i="1"/>
  <c r="K604" i="1"/>
  <c r="M603" i="1"/>
  <c r="L603" i="1"/>
  <c r="K603" i="1"/>
  <c r="M602" i="1"/>
  <c r="L602" i="1"/>
  <c r="K602" i="1"/>
  <c r="M601" i="1"/>
  <c r="L601" i="1"/>
  <c r="K601" i="1"/>
  <c r="M600" i="1"/>
  <c r="L600" i="1"/>
  <c r="K600" i="1"/>
  <c r="M599" i="1"/>
  <c r="L599" i="1"/>
  <c r="K599" i="1"/>
  <c r="M598" i="1"/>
  <c r="L598" i="1"/>
  <c r="K598" i="1"/>
  <c r="M597" i="1"/>
  <c r="L597" i="1"/>
  <c r="K597" i="1"/>
  <c r="M596" i="1"/>
  <c r="L596" i="1"/>
  <c r="K596" i="1"/>
  <c r="M595" i="1"/>
  <c r="L595" i="1"/>
  <c r="K595" i="1"/>
  <c r="M594" i="1"/>
  <c r="L594" i="1"/>
  <c r="K594" i="1"/>
  <c r="M593" i="1"/>
  <c r="L593" i="1"/>
  <c r="K593" i="1"/>
  <c r="M592" i="1"/>
  <c r="L592" i="1"/>
  <c r="K592" i="1"/>
  <c r="M591" i="1"/>
  <c r="L591" i="1"/>
  <c r="K591" i="1"/>
  <c r="M590" i="1"/>
  <c r="L590" i="1"/>
  <c r="K590" i="1"/>
  <c r="M589" i="1"/>
  <c r="L589" i="1"/>
  <c r="K589" i="1"/>
  <c r="M588" i="1"/>
  <c r="L588" i="1"/>
  <c r="K588" i="1"/>
  <c r="M587" i="1"/>
  <c r="L587" i="1"/>
  <c r="K587" i="1"/>
  <c r="M586" i="1"/>
  <c r="L586" i="1"/>
  <c r="K586" i="1"/>
  <c r="M585" i="1"/>
  <c r="L585" i="1"/>
  <c r="K585" i="1"/>
  <c r="M584" i="1"/>
  <c r="L584" i="1"/>
  <c r="K584" i="1"/>
  <c r="M583" i="1"/>
  <c r="L583" i="1"/>
  <c r="K583" i="1"/>
  <c r="M582" i="1"/>
  <c r="L582" i="1"/>
  <c r="K582" i="1"/>
  <c r="M581" i="1"/>
  <c r="L581" i="1"/>
  <c r="K581" i="1"/>
  <c r="M580" i="1"/>
  <c r="L580" i="1"/>
  <c r="K580" i="1"/>
  <c r="M579" i="1"/>
  <c r="L579" i="1"/>
  <c r="K579" i="1"/>
  <c r="M578" i="1"/>
  <c r="L578" i="1"/>
  <c r="K578" i="1"/>
  <c r="M577" i="1"/>
  <c r="L577" i="1"/>
  <c r="K577" i="1"/>
  <c r="M576" i="1"/>
  <c r="L576" i="1"/>
  <c r="K576" i="1"/>
  <c r="M575" i="1"/>
  <c r="L575" i="1"/>
  <c r="K575" i="1"/>
  <c r="M574" i="1"/>
  <c r="L574" i="1"/>
  <c r="K574" i="1"/>
  <c r="M573" i="1"/>
  <c r="L573" i="1"/>
  <c r="K573" i="1"/>
  <c r="M572" i="1"/>
  <c r="L572" i="1"/>
  <c r="K572" i="1"/>
  <c r="M571" i="1"/>
  <c r="L571" i="1"/>
  <c r="K571" i="1"/>
  <c r="M570" i="1"/>
  <c r="L570" i="1"/>
  <c r="K570" i="1"/>
  <c r="M569" i="1"/>
  <c r="L569" i="1"/>
  <c r="K569" i="1"/>
  <c r="M568" i="1"/>
  <c r="L568" i="1"/>
  <c r="K568" i="1"/>
  <c r="M567" i="1"/>
  <c r="L567" i="1"/>
  <c r="K567" i="1"/>
  <c r="M566" i="1"/>
  <c r="L566" i="1"/>
  <c r="K566" i="1"/>
  <c r="M565" i="1"/>
  <c r="L565" i="1"/>
  <c r="K565" i="1"/>
  <c r="M564" i="1"/>
  <c r="L564" i="1"/>
  <c r="K564" i="1"/>
  <c r="M563" i="1"/>
  <c r="L563" i="1"/>
  <c r="K563" i="1"/>
  <c r="M562" i="1"/>
  <c r="L562" i="1"/>
  <c r="K562" i="1"/>
  <c r="M561" i="1"/>
  <c r="L561" i="1"/>
  <c r="K561" i="1"/>
  <c r="M560" i="1"/>
  <c r="L560" i="1"/>
  <c r="K560" i="1"/>
  <c r="M559" i="1"/>
  <c r="L559" i="1"/>
  <c r="K559" i="1"/>
  <c r="M558" i="1"/>
  <c r="L558" i="1"/>
  <c r="K558" i="1"/>
  <c r="M557" i="1"/>
  <c r="L557" i="1"/>
  <c r="K557" i="1"/>
  <c r="M556" i="1"/>
  <c r="L556" i="1"/>
  <c r="K556" i="1"/>
  <c r="M555" i="1"/>
  <c r="L555" i="1"/>
  <c r="K555" i="1"/>
  <c r="M554" i="1"/>
  <c r="L554" i="1"/>
  <c r="K554" i="1"/>
  <c r="M553" i="1"/>
  <c r="L553" i="1"/>
  <c r="K553" i="1"/>
  <c r="M552" i="1"/>
  <c r="L552" i="1"/>
  <c r="K552" i="1"/>
  <c r="M551" i="1"/>
  <c r="L551" i="1"/>
  <c r="K551" i="1"/>
  <c r="M550" i="1"/>
  <c r="L550" i="1"/>
  <c r="K550" i="1"/>
  <c r="M549" i="1"/>
  <c r="L549" i="1"/>
  <c r="K549" i="1"/>
  <c r="M548" i="1"/>
  <c r="L548" i="1"/>
  <c r="K548" i="1"/>
  <c r="M547" i="1"/>
  <c r="L547" i="1"/>
  <c r="K547" i="1"/>
  <c r="M546" i="1"/>
  <c r="L546" i="1"/>
  <c r="K546" i="1"/>
  <c r="M545" i="1"/>
  <c r="L545" i="1"/>
  <c r="K545" i="1"/>
  <c r="M544" i="1"/>
  <c r="L544" i="1"/>
  <c r="K544" i="1"/>
  <c r="M543" i="1"/>
  <c r="L543" i="1"/>
  <c r="K543" i="1"/>
  <c r="M542" i="1"/>
  <c r="L542" i="1"/>
  <c r="K542" i="1"/>
  <c r="M541" i="1"/>
  <c r="L541" i="1"/>
  <c r="K541" i="1"/>
  <c r="M540" i="1"/>
  <c r="L540" i="1"/>
  <c r="K540" i="1"/>
  <c r="M539" i="1"/>
  <c r="L539" i="1"/>
  <c r="K539" i="1"/>
  <c r="M538" i="1"/>
  <c r="L538" i="1"/>
  <c r="K538" i="1"/>
  <c r="M537" i="1"/>
  <c r="L537" i="1"/>
  <c r="K537" i="1"/>
  <c r="M536" i="1"/>
  <c r="L536" i="1"/>
  <c r="K536" i="1"/>
  <c r="M535" i="1"/>
  <c r="L535" i="1"/>
  <c r="K535" i="1"/>
  <c r="M534" i="1"/>
  <c r="L534" i="1"/>
  <c r="K534" i="1"/>
  <c r="M533" i="1"/>
  <c r="L533" i="1"/>
  <c r="K533" i="1"/>
  <c r="M532" i="1"/>
  <c r="L532" i="1"/>
  <c r="K532" i="1"/>
  <c r="M531" i="1"/>
  <c r="L531" i="1"/>
  <c r="K531" i="1"/>
  <c r="M530" i="1"/>
  <c r="L530" i="1"/>
  <c r="K530" i="1"/>
  <c r="M529" i="1"/>
  <c r="L529" i="1"/>
  <c r="K529" i="1"/>
  <c r="M528" i="1"/>
  <c r="L528" i="1"/>
  <c r="K528" i="1"/>
  <c r="M527" i="1"/>
  <c r="L527" i="1"/>
  <c r="K527" i="1"/>
  <c r="M526" i="1"/>
  <c r="L526" i="1"/>
  <c r="K526" i="1"/>
  <c r="M525" i="1"/>
  <c r="L525" i="1"/>
  <c r="K525" i="1"/>
  <c r="M524" i="1"/>
  <c r="L524" i="1"/>
  <c r="K524" i="1"/>
  <c r="M523" i="1"/>
  <c r="L523" i="1"/>
  <c r="K523" i="1"/>
  <c r="M522" i="1"/>
  <c r="L522" i="1"/>
  <c r="K522" i="1"/>
  <c r="M521" i="1"/>
  <c r="L521" i="1"/>
  <c r="K521" i="1"/>
  <c r="M520" i="1"/>
  <c r="L520" i="1"/>
  <c r="K520" i="1"/>
  <c r="M519" i="1"/>
  <c r="L519" i="1"/>
  <c r="K519" i="1"/>
  <c r="M518" i="1"/>
  <c r="L518" i="1"/>
  <c r="K518" i="1"/>
  <c r="M517" i="1"/>
  <c r="L517" i="1"/>
  <c r="K517" i="1"/>
  <c r="M516" i="1"/>
  <c r="L516" i="1"/>
  <c r="K516" i="1"/>
  <c r="M515" i="1"/>
  <c r="L515" i="1"/>
  <c r="K515" i="1"/>
  <c r="M514" i="1"/>
  <c r="L514" i="1"/>
  <c r="K514" i="1"/>
  <c r="M513" i="1"/>
  <c r="L513" i="1"/>
  <c r="K513" i="1"/>
  <c r="M512" i="1"/>
  <c r="L512" i="1"/>
  <c r="K512" i="1"/>
  <c r="M511" i="1"/>
  <c r="L511" i="1"/>
  <c r="K511" i="1"/>
  <c r="M510" i="1"/>
  <c r="L510" i="1"/>
  <c r="K510" i="1"/>
  <c r="M509" i="1"/>
  <c r="L509" i="1"/>
  <c r="K509" i="1"/>
  <c r="M508" i="1"/>
  <c r="L508" i="1"/>
  <c r="K508" i="1"/>
  <c r="M507" i="1"/>
  <c r="L507" i="1"/>
  <c r="K507" i="1"/>
  <c r="M506" i="1"/>
  <c r="L506" i="1"/>
  <c r="K506" i="1"/>
  <c r="M505" i="1"/>
  <c r="L505" i="1"/>
  <c r="K505" i="1"/>
  <c r="M504" i="1"/>
  <c r="L504" i="1"/>
  <c r="K504" i="1"/>
  <c r="M503" i="1"/>
  <c r="L503" i="1"/>
  <c r="K503" i="1"/>
  <c r="M502" i="1"/>
  <c r="L502" i="1"/>
  <c r="K502" i="1"/>
  <c r="M501" i="1"/>
  <c r="L501" i="1"/>
  <c r="K501" i="1"/>
  <c r="M500" i="1"/>
  <c r="L500" i="1"/>
  <c r="K500" i="1"/>
  <c r="M499" i="1"/>
  <c r="L499" i="1"/>
  <c r="K499" i="1"/>
  <c r="M498" i="1"/>
  <c r="L498" i="1"/>
  <c r="K498" i="1"/>
  <c r="M497" i="1"/>
  <c r="L497" i="1"/>
  <c r="K497" i="1"/>
  <c r="M496" i="1"/>
  <c r="L496" i="1"/>
  <c r="K496" i="1"/>
  <c r="M495" i="1"/>
  <c r="L495" i="1"/>
  <c r="K495" i="1"/>
  <c r="M494" i="1"/>
  <c r="L494" i="1"/>
  <c r="K494" i="1"/>
  <c r="M493" i="1"/>
  <c r="L493" i="1"/>
  <c r="K493" i="1"/>
  <c r="M492" i="1"/>
  <c r="L492" i="1"/>
  <c r="K492" i="1"/>
  <c r="M491" i="1"/>
  <c r="L491" i="1"/>
  <c r="K491" i="1"/>
  <c r="M490" i="1"/>
  <c r="L490" i="1"/>
  <c r="K490" i="1"/>
  <c r="M489" i="1"/>
  <c r="L489" i="1"/>
  <c r="K489" i="1"/>
  <c r="M488" i="1"/>
  <c r="L488" i="1"/>
  <c r="K488" i="1"/>
  <c r="M487" i="1"/>
  <c r="L487" i="1"/>
  <c r="K487" i="1"/>
  <c r="M486" i="1"/>
  <c r="L486" i="1"/>
  <c r="K486" i="1"/>
  <c r="M485" i="1"/>
  <c r="L485" i="1"/>
  <c r="K485" i="1"/>
  <c r="M484" i="1"/>
  <c r="L484" i="1"/>
  <c r="K484" i="1"/>
  <c r="M483" i="1"/>
  <c r="L483" i="1"/>
  <c r="K483" i="1"/>
  <c r="M482" i="1"/>
  <c r="L482" i="1"/>
  <c r="K482" i="1"/>
  <c r="M481" i="1"/>
  <c r="L481" i="1"/>
  <c r="K481" i="1"/>
  <c r="M480" i="1"/>
  <c r="L480" i="1"/>
  <c r="K480" i="1"/>
  <c r="M479" i="1"/>
  <c r="L479" i="1"/>
  <c r="K479" i="1"/>
  <c r="M478" i="1"/>
  <c r="L478" i="1"/>
  <c r="K478" i="1"/>
  <c r="M477" i="1"/>
  <c r="L477" i="1"/>
  <c r="K477" i="1"/>
  <c r="M476" i="1"/>
  <c r="L476" i="1"/>
  <c r="K476" i="1"/>
  <c r="M475" i="1"/>
  <c r="L475" i="1"/>
  <c r="K475" i="1"/>
  <c r="M474" i="1"/>
  <c r="L474" i="1"/>
  <c r="K474" i="1"/>
  <c r="M473" i="1"/>
  <c r="L473" i="1"/>
  <c r="K473" i="1"/>
  <c r="M472" i="1"/>
  <c r="L472" i="1"/>
  <c r="K472" i="1"/>
  <c r="M471" i="1"/>
  <c r="L471" i="1"/>
  <c r="K471" i="1"/>
  <c r="M470" i="1"/>
  <c r="L470" i="1"/>
  <c r="K470" i="1"/>
  <c r="M469" i="1"/>
  <c r="L469" i="1"/>
  <c r="K469" i="1"/>
  <c r="M468" i="1"/>
  <c r="L468" i="1"/>
  <c r="K468" i="1"/>
  <c r="M467" i="1"/>
  <c r="L467" i="1"/>
  <c r="K467" i="1"/>
  <c r="M466" i="1"/>
  <c r="L466" i="1"/>
  <c r="K466" i="1"/>
  <c r="M465" i="1"/>
  <c r="L465" i="1"/>
  <c r="K465" i="1"/>
  <c r="M464" i="1"/>
  <c r="L464" i="1"/>
  <c r="K464" i="1"/>
  <c r="M463" i="1"/>
  <c r="L463" i="1"/>
  <c r="K463" i="1"/>
  <c r="M462" i="1"/>
  <c r="L462" i="1"/>
  <c r="K462" i="1"/>
  <c r="M461" i="1"/>
  <c r="L461" i="1"/>
  <c r="K461" i="1"/>
  <c r="M460" i="1"/>
  <c r="L460" i="1"/>
  <c r="K460" i="1"/>
  <c r="M459" i="1"/>
  <c r="L459" i="1"/>
  <c r="K459" i="1"/>
  <c r="M458" i="1"/>
  <c r="L458" i="1"/>
  <c r="K458" i="1"/>
  <c r="M457" i="1"/>
  <c r="L457" i="1"/>
  <c r="K457" i="1"/>
  <c r="M456" i="1"/>
  <c r="L456" i="1"/>
  <c r="K456" i="1"/>
  <c r="M455" i="1"/>
  <c r="L455" i="1"/>
  <c r="K455" i="1"/>
  <c r="M454" i="1"/>
  <c r="L454" i="1"/>
  <c r="K454" i="1"/>
  <c r="M453" i="1"/>
  <c r="L453" i="1"/>
  <c r="K453" i="1"/>
  <c r="M452" i="1"/>
  <c r="L452" i="1"/>
  <c r="K452" i="1"/>
  <c r="M451" i="1"/>
  <c r="L451" i="1"/>
  <c r="K451" i="1"/>
  <c r="M450" i="1"/>
  <c r="L450" i="1"/>
  <c r="K450" i="1"/>
  <c r="M449" i="1"/>
  <c r="L449" i="1"/>
  <c r="K449" i="1"/>
  <c r="M448" i="1"/>
  <c r="L448" i="1"/>
  <c r="K448" i="1"/>
  <c r="M447" i="1"/>
  <c r="L447" i="1"/>
  <c r="K447" i="1"/>
  <c r="M446" i="1"/>
  <c r="L446" i="1"/>
  <c r="K446" i="1"/>
  <c r="M445" i="1"/>
  <c r="L445" i="1"/>
  <c r="K445" i="1"/>
  <c r="M444" i="1"/>
  <c r="L444" i="1"/>
  <c r="K444" i="1"/>
  <c r="M443" i="1"/>
  <c r="L443" i="1"/>
  <c r="K443" i="1"/>
  <c r="M442" i="1"/>
  <c r="L442" i="1"/>
  <c r="K442" i="1"/>
  <c r="M441" i="1"/>
  <c r="L441" i="1"/>
  <c r="K441" i="1"/>
  <c r="M440" i="1"/>
  <c r="L440" i="1"/>
  <c r="K440" i="1"/>
  <c r="M439" i="1"/>
  <c r="L439" i="1"/>
  <c r="K439" i="1"/>
  <c r="M438" i="1"/>
  <c r="L438" i="1"/>
  <c r="K438" i="1"/>
  <c r="M437" i="1"/>
  <c r="L437" i="1"/>
  <c r="K437" i="1"/>
  <c r="M436" i="1"/>
  <c r="L436" i="1"/>
  <c r="K436" i="1"/>
  <c r="M435" i="1"/>
  <c r="L435" i="1"/>
  <c r="K435" i="1"/>
  <c r="M434" i="1"/>
  <c r="L434" i="1"/>
  <c r="K434" i="1"/>
  <c r="M433" i="1"/>
  <c r="L433" i="1"/>
  <c r="K433" i="1"/>
  <c r="M432" i="1"/>
  <c r="L432" i="1"/>
  <c r="K432" i="1"/>
  <c r="M431" i="1"/>
  <c r="L431" i="1"/>
  <c r="K431" i="1"/>
  <c r="M430" i="1"/>
  <c r="L430" i="1"/>
  <c r="K430" i="1"/>
  <c r="M429" i="1"/>
  <c r="L429" i="1"/>
  <c r="K429" i="1"/>
  <c r="M428" i="1"/>
  <c r="L428" i="1"/>
  <c r="K428" i="1"/>
  <c r="M427" i="1"/>
  <c r="L427" i="1"/>
  <c r="K427" i="1"/>
  <c r="M426" i="1"/>
  <c r="L426" i="1"/>
  <c r="K426" i="1"/>
  <c r="M425" i="1"/>
  <c r="L425" i="1"/>
  <c r="K425" i="1"/>
  <c r="M424" i="1"/>
  <c r="L424" i="1"/>
  <c r="K424" i="1"/>
  <c r="M423" i="1"/>
  <c r="L423" i="1"/>
  <c r="K423" i="1"/>
  <c r="M422" i="1"/>
  <c r="L422" i="1"/>
  <c r="K422" i="1"/>
  <c r="M421" i="1"/>
  <c r="L421" i="1"/>
  <c r="K421" i="1"/>
  <c r="M420" i="1"/>
  <c r="L420" i="1"/>
  <c r="K420" i="1"/>
  <c r="M419" i="1"/>
  <c r="L419" i="1"/>
  <c r="K419" i="1"/>
  <c r="M418" i="1"/>
  <c r="L418" i="1"/>
  <c r="K418" i="1"/>
  <c r="M417" i="1"/>
  <c r="L417" i="1"/>
  <c r="K417" i="1"/>
  <c r="M416" i="1"/>
  <c r="L416" i="1"/>
  <c r="K416" i="1"/>
  <c r="M415" i="1"/>
  <c r="L415" i="1"/>
  <c r="K415" i="1"/>
  <c r="M414" i="1"/>
  <c r="L414" i="1"/>
  <c r="K414" i="1"/>
  <c r="M413" i="1"/>
  <c r="L413" i="1"/>
  <c r="K413" i="1"/>
  <c r="M412" i="1"/>
  <c r="L412" i="1"/>
  <c r="K412" i="1"/>
  <c r="M411" i="1"/>
  <c r="L411" i="1"/>
  <c r="K411" i="1"/>
  <c r="M410" i="1"/>
  <c r="L410" i="1"/>
  <c r="K410" i="1"/>
  <c r="M409" i="1"/>
  <c r="L409" i="1"/>
  <c r="K409" i="1"/>
  <c r="M408" i="1"/>
  <c r="L408" i="1"/>
  <c r="K408" i="1"/>
  <c r="M407" i="1"/>
  <c r="L407" i="1"/>
  <c r="K407" i="1"/>
  <c r="M406" i="1"/>
  <c r="L406" i="1"/>
  <c r="K406" i="1"/>
  <c r="M405" i="1"/>
  <c r="L405" i="1"/>
  <c r="K405" i="1"/>
  <c r="M404" i="1"/>
  <c r="L404" i="1"/>
  <c r="K404" i="1"/>
  <c r="M403" i="1"/>
  <c r="L403" i="1"/>
  <c r="K403" i="1"/>
  <c r="M402" i="1"/>
  <c r="L402" i="1"/>
  <c r="K402" i="1"/>
  <c r="M401" i="1"/>
  <c r="L401" i="1"/>
  <c r="K401" i="1"/>
  <c r="M400" i="1"/>
  <c r="L400" i="1"/>
  <c r="K400" i="1"/>
  <c r="M399" i="1"/>
  <c r="L399" i="1"/>
  <c r="K399" i="1"/>
  <c r="M398" i="1"/>
  <c r="L398" i="1"/>
  <c r="K398" i="1"/>
  <c r="M397" i="1"/>
  <c r="L397" i="1"/>
  <c r="K397" i="1"/>
  <c r="M396" i="1"/>
  <c r="L396" i="1"/>
  <c r="K396" i="1"/>
  <c r="M395" i="1"/>
  <c r="L395" i="1"/>
  <c r="K395" i="1"/>
  <c r="M394" i="1"/>
  <c r="L394" i="1"/>
  <c r="K394" i="1"/>
  <c r="M393" i="1"/>
  <c r="L393" i="1"/>
  <c r="K393" i="1"/>
  <c r="M392" i="1"/>
  <c r="L392" i="1"/>
  <c r="K392" i="1"/>
  <c r="M391" i="1"/>
  <c r="L391" i="1"/>
  <c r="K391" i="1"/>
  <c r="M390" i="1"/>
  <c r="L390" i="1"/>
  <c r="K390" i="1"/>
  <c r="M389" i="1"/>
  <c r="L389" i="1"/>
  <c r="K389" i="1"/>
  <c r="M388" i="1"/>
  <c r="L388" i="1"/>
  <c r="K388" i="1"/>
  <c r="M387" i="1"/>
  <c r="L387" i="1"/>
  <c r="K387" i="1"/>
  <c r="M386" i="1"/>
  <c r="L386" i="1"/>
  <c r="K386" i="1"/>
  <c r="M385" i="1"/>
  <c r="L385" i="1"/>
  <c r="K385" i="1"/>
  <c r="M384" i="1"/>
  <c r="L384" i="1"/>
  <c r="K384" i="1"/>
  <c r="M383" i="1"/>
  <c r="L383" i="1"/>
  <c r="K383" i="1"/>
  <c r="M382" i="1"/>
  <c r="L382" i="1"/>
  <c r="K382" i="1"/>
  <c r="M381" i="1"/>
  <c r="L381" i="1"/>
  <c r="K381" i="1"/>
  <c r="M380" i="1"/>
  <c r="L380" i="1"/>
  <c r="K380" i="1"/>
  <c r="M379" i="1"/>
  <c r="L379" i="1"/>
  <c r="K379" i="1"/>
  <c r="M378" i="1"/>
  <c r="L378" i="1"/>
  <c r="K378" i="1"/>
  <c r="M377" i="1"/>
  <c r="L377" i="1"/>
  <c r="K377" i="1"/>
  <c r="M376" i="1"/>
  <c r="L376" i="1"/>
  <c r="K376" i="1"/>
  <c r="M375" i="1"/>
  <c r="L375" i="1"/>
  <c r="K375" i="1"/>
  <c r="M374" i="1"/>
  <c r="L374" i="1"/>
  <c r="K374" i="1"/>
  <c r="M373" i="1"/>
  <c r="L373" i="1"/>
  <c r="K373" i="1"/>
  <c r="M372" i="1"/>
  <c r="L372" i="1"/>
  <c r="K372" i="1"/>
  <c r="M371" i="1"/>
  <c r="L371" i="1"/>
  <c r="K371" i="1"/>
  <c r="M370" i="1"/>
  <c r="L370" i="1"/>
  <c r="K370" i="1"/>
  <c r="M369" i="1"/>
  <c r="L369" i="1"/>
  <c r="K369" i="1"/>
  <c r="M368" i="1"/>
  <c r="L368" i="1"/>
  <c r="K368" i="1"/>
  <c r="M367" i="1"/>
  <c r="L367" i="1"/>
  <c r="K367" i="1"/>
  <c r="M366" i="1"/>
  <c r="L366" i="1"/>
  <c r="K366" i="1"/>
  <c r="M365" i="1"/>
  <c r="L365" i="1"/>
  <c r="K365" i="1"/>
  <c r="M364" i="1"/>
  <c r="L364" i="1"/>
  <c r="K364" i="1"/>
  <c r="M363" i="1"/>
  <c r="L363" i="1"/>
  <c r="K363" i="1"/>
  <c r="M362" i="1"/>
  <c r="L362" i="1"/>
  <c r="K362" i="1"/>
  <c r="M361" i="1"/>
  <c r="L361" i="1"/>
  <c r="K361" i="1"/>
  <c r="M360" i="1"/>
  <c r="L360" i="1"/>
  <c r="K360" i="1"/>
  <c r="M359" i="1"/>
  <c r="L359" i="1"/>
  <c r="K359" i="1"/>
  <c r="M358" i="1"/>
  <c r="L358" i="1"/>
  <c r="K358" i="1"/>
  <c r="M357" i="1"/>
  <c r="L357" i="1"/>
  <c r="K357" i="1"/>
  <c r="M356" i="1"/>
  <c r="L356" i="1"/>
  <c r="K356" i="1"/>
  <c r="M355" i="1"/>
  <c r="L355" i="1"/>
  <c r="K355" i="1"/>
  <c r="M354" i="1"/>
  <c r="L354" i="1"/>
  <c r="K354" i="1"/>
  <c r="M353" i="1"/>
  <c r="L353" i="1"/>
  <c r="K353" i="1"/>
  <c r="M352" i="1"/>
  <c r="L352" i="1"/>
  <c r="K352" i="1"/>
  <c r="M351" i="1"/>
  <c r="L351" i="1"/>
  <c r="K351" i="1"/>
  <c r="M350" i="1"/>
  <c r="L350" i="1"/>
  <c r="K350" i="1"/>
  <c r="M349" i="1"/>
  <c r="L349" i="1"/>
  <c r="K349" i="1"/>
  <c r="M348" i="1"/>
  <c r="L348" i="1"/>
  <c r="K348" i="1"/>
  <c r="M347" i="1"/>
  <c r="L347" i="1"/>
  <c r="K347" i="1"/>
  <c r="M346" i="1"/>
  <c r="L346" i="1"/>
  <c r="K346" i="1"/>
  <c r="M345" i="1"/>
  <c r="L345" i="1"/>
  <c r="K345" i="1"/>
  <c r="M344" i="1"/>
  <c r="L344" i="1"/>
  <c r="K344" i="1"/>
  <c r="M343" i="1"/>
  <c r="L343" i="1"/>
  <c r="K343" i="1"/>
  <c r="M342" i="1"/>
  <c r="L342" i="1"/>
  <c r="K342" i="1"/>
  <c r="M341" i="1"/>
  <c r="L341" i="1"/>
  <c r="K341" i="1"/>
  <c r="M340" i="1"/>
  <c r="L340" i="1"/>
  <c r="K340" i="1"/>
  <c r="M339" i="1"/>
  <c r="L339" i="1"/>
  <c r="K339" i="1"/>
  <c r="M338" i="1"/>
  <c r="L338" i="1"/>
  <c r="K338" i="1"/>
  <c r="M337" i="1"/>
  <c r="L337" i="1"/>
  <c r="K337" i="1"/>
  <c r="M336" i="1"/>
  <c r="L336" i="1"/>
  <c r="K336" i="1"/>
  <c r="M335" i="1"/>
  <c r="L335" i="1"/>
  <c r="K335" i="1"/>
  <c r="M334" i="1"/>
  <c r="L334" i="1"/>
  <c r="K334" i="1"/>
  <c r="M333" i="1"/>
  <c r="L333" i="1"/>
  <c r="K333" i="1"/>
  <c r="M332" i="1"/>
  <c r="L332" i="1"/>
  <c r="K332" i="1"/>
  <c r="M331" i="1"/>
  <c r="L331" i="1"/>
  <c r="K331" i="1"/>
  <c r="M330" i="1"/>
  <c r="L330" i="1"/>
  <c r="K330" i="1"/>
  <c r="M329" i="1"/>
  <c r="L329" i="1"/>
  <c r="K329" i="1"/>
  <c r="M328" i="1"/>
  <c r="L328" i="1"/>
  <c r="K328" i="1"/>
  <c r="M327" i="1"/>
  <c r="L327" i="1"/>
  <c r="K327" i="1"/>
  <c r="M326" i="1"/>
  <c r="L326" i="1"/>
  <c r="K326" i="1"/>
  <c r="Q2" i="5"/>
  <c r="C67" i="2"/>
  <c r="C66" i="2"/>
  <c r="D77" i="2"/>
  <c r="D75" i="2"/>
  <c r="D73" i="2"/>
  <c r="D71" i="2"/>
  <c r="D69" i="2"/>
  <c r="D65" i="2" l="1"/>
  <c r="D64" i="2"/>
  <c r="K239" i="1"/>
  <c r="L239" i="1"/>
  <c r="M239" i="1"/>
  <c r="K240" i="1"/>
  <c r="L240" i="1"/>
  <c r="M240" i="1"/>
  <c r="K241" i="1"/>
  <c r="L241" i="1"/>
  <c r="M241" i="1"/>
  <c r="K242" i="1"/>
  <c r="L242" i="1"/>
  <c r="M242" i="1"/>
  <c r="K243" i="1"/>
  <c r="L243" i="1"/>
  <c r="M243" i="1"/>
  <c r="K244" i="1"/>
  <c r="L244" i="1"/>
  <c r="M244" i="1"/>
  <c r="K245" i="1"/>
  <c r="L245" i="1"/>
  <c r="M245" i="1"/>
  <c r="K246" i="1"/>
  <c r="L246" i="1"/>
  <c r="M246" i="1"/>
  <c r="K247" i="1"/>
  <c r="L247" i="1"/>
  <c r="M247" i="1"/>
  <c r="K248" i="1"/>
  <c r="L248" i="1"/>
  <c r="M248" i="1"/>
  <c r="K249" i="1"/>
  <c r="L249" i="1"/>
  <c r="M249" i="1"/>
  <c r="K250" i="1"/>
  <c r="L250" i="1"/>
  <c r="M250" i="1"/>
  <c r="K251" i="1"/>
  <c r="L251" i="1"/>
  <c r="M251" i="1"/>
  <c r="K252" i="1"/>
  <c r="L252" i="1"/>
  <c r="M252" i="1"/>
  <c r="K253" i="1"/>
  <c r="L253" i="1"/>
  <c r="M253" i="1"/>
  <c r="K254" i="1"/>
  <c r="L254" i="1"/>
  <c r="M254" i="1"/>
  <c r="K255" i="1"/>
  <c r="L255" i="1"/>
  <c r="M255" i="1"/>
  <c r="K256" i="1"/>
  <c r="L256" i="1"/>
  <c r="M256" i="1"/>
  <c r="K257" i="1"/>
  <c r="L257" i="1"/>
  <c r="M257" i="1"/>
  <c r="K258" i="1"/>
  <c r="L258" i="1"/>
  <c r="M258" i="1"/>
  <c r="K259" i="1"/>
  <c r="L259" i="1"/>
  <c r="M259" i="1"/>
  <c r="K260" i="1"/>
  <c r="L260" i="1"/>
  <c r="M260" i="1"/>
  <c r="K261" i="1"/>
  <c r="L261" i="1"/>
  <c r="M261" i="1"/>
  <c r="K262" i="1"/>
  <c r="L262" i="1"/>
  <c r="M262" i="1"/>
  <c r="K263" i="1"/>
  <c r="L263" i="1"/>
  <c r="M263" i="1"/>
  <c r="K264" i="1"/>
  <c r="L264" i="1"/>
  <c r="M264" i="1"/>
  <c r="K265" i="1"/>
  <c r="L265" i="1"/>
  <c r="M265" i="1"/>
  <c r="K266" i="1"/>
  <c r="L266" i="1"/>
  <c r="M266" i="1"/>
  <c r="K267" i="1"/>
  <c r="L267" i="1"/>
  <c r="M267" i="1"/>
  <c r="K268" i="1"/>
  <c r="L268" i="1"/>
  <c r="M268" i="1"/>
  <c r="K269" i="1"/>
  <c r="L269" i="1"/>
  <c r="M269" i="1"/>
  <c r="K270" i="1"/>
  <c r="L270" i="1"/>
  <c r="M270" i="1"/>
  <c r="K271" i="1"/>
  <c r="L271" i="1"/>
  <c r="M271" i="1"/>
  <c r="K272" i="1"/>
  <c r="L272" i="1"/>
  <c r="M272" i="1"/>
  <c r="K273" i="1"/>
  <c r="L273" i="1"/>
  <c r="M273" i="1"/>
  <c r="K274" i="1"/>
  <c r="L274" i="1"/>
  <c r="M274" i="1"/>
  <c r="K275" i="1"/>
  <c r="L275" i="1"/>
  <c r="M275" i="1"/>
  <c r="K276" i="1"/>
  <c r="L276" i="1"/>
  <c r="M276" i="1"/>
  <c r="K277" i="1"/>
  <c r="L277" i="1"/>
  <c r="M277" i="1"/>
  <c r="K278" i="1"/>
  <c r="L278" i="1"/>
  <c r="M278" i="1"/>
  <c r="K279" i="1"/>
  <c r="L279" i="1"/>
  <c r="M279" i="1"/>
  <c r="K280" i="1"/>
  <c r="L280" i="1"/>
  <c r="M280" i="1"/>
  <c r="K281" i="1"/>
  <c r="L281" i="1"/>
  <c r="M281" i="1"/>
  <c r="K282" i="1"/>
  <c r="L282" i="1"/>
  <c r="M282" i="1"/>
  <c r="K283" i="1"/>
  <c r="L283" i="1"/>
  <c r="M283" i="1"/>
  <c r="K284" i="1"/>
  <c r="L284" i="1"/>
  <c r="M284" i="1"/>
  <c r="K285" i="1"/>
  <c r="L285" i="1"/>
  <c r="M285" i="1"/>
  <c r="K286" i="1"/>
  <c r="L286" i="1"/>
  <c r="M286" i="1"/>
  <c r="K287" i="1"/>
  <c r="L287" i="1"/>
  <c r="M287" i="1"/>
  <c r="K288" i="1"/>
  <c r="L288" i="1"/>
  <c r="M288" i="1"/>
  <c r="K289" i="1"/>
  <c r="L289" i="1"/>
  <c r="M289" i="1"/>
  <c r="K290" i="1"/>
  <c r="L290" i="1"/>
  <c r="M290" i="1"/>
  <c r="K291" i="1"/>
  <c r="L291" i="1"/>
  <c r="M291" i="1"/>
  <c r="K292" i="1"/>
  <c r="L292" i="1"/>
  <c r="M292" i="1"/>
  <c r="K293" i="1"/>
  <c r="L293" i="1"/>
  <c r="M293" i="1"/>
  <c r="K294" i="1"/>
  <c r="L294" i="1"/>
  <c r="M294" i="1"/>
  <c r="K295" i="1"/>
  <c r="L295" i="1"/>
  <c r="M295" i="1"/>
  <c r="K296" i="1"/>
  <c r="L296" i="1"/>
  <c r="M296" i="1"/>
  <c r="K297" i="1"/>
  <c r="L297" i="1"/>
  <c r="M297" i="1"/>
  <c r="K298" i="1"/>
  <c r="L298" i="1"/>
  <c r="M298" i="1"/>
  <c r="K299" i="1"/>
  <c r="L299" i="1"/>
  <c r="M299" i="1"/>
  <c r="K300" i="1"/>
  <c r="L300" i="1"/>
  <c r="M300" i="1"/>
  <c r="K301" i="1"/>
  <c r="L301" i="1"/>
  <c r="M301" i="1"/>
  <c r="K302" i="1"/>
  <c r="L302" i="1"/>
  <c r="M302" i="1"/>
  <c r="K303" i="1"/>
  <c r="L303" i="1"/>
  <c r="M303" i="1"/>
  <c r="K304" i="1"/>
  <c r="L304" i="1"/>
  <c r="M304" i="1"/>
  <c r="K305" i="1"/>
  <c r="L305" i="1"/>
  <c r="M305" i="1"/>
  <c r="K306" i="1"/>
  <c r="L306" i="1"/>
  <c r="M306" i="1"/>
  <c r="K307" i="1"/>
  <c r="L307" i="1"/>
  <c r="M307" i="1"/>
  <c r="K308" i="1"/>
  <c r="L308" i="1"/>
  <c r="M308" i="1"/>
  <c r="K309" i="1"/>
  <c r="L309" i="1"/>
  <c r="M309" i="1"/>
  <c r="K310" i="1"/>
  <c r="L310" i="1"/>
  <c r="M310" i="1"/>
  <c r="K311" i="1"/>
  <c r="L311" i="1"/>
  <c r="M311" i="1"/>
  <c r="K312" i="1"/>
  <c r="L312" i="1"/>
  <c r="M312" i="1"/>
  <c r="K313" i="1"/>
  <c r="L313" i="1"/>
  <c r="M313" i="1"/>
  <c r="K314" i="1"/>
  <c r="L314" i="1"/>
  <c r="M314" i="1"/>
  <c r="K315" i="1"/>
  <c r="L315" i="1"/>
  <c r="M315" i="1"/>
  <c r="K316" i="1"/>
  <c r="L316" i="1"/>
  <c r="M316" i="1"/>
  <c r="K317" i="1"/>
  <c r="L317" i="1"/>
  <c r="M317" i="1"/>
  <c r="K318" i="1"/>
  <c r="L318" i="1"/>
  <c r="M318" i="1"/>
  <c r="K319" i="1"/>
  <c r="L319" i="1"/>
  <c r="M319" i="1"/>
  <c r="K320" i="1"/>
  <c r="L320" i="1"/>
  <c r="M320" i="1"/>
  <c r="K321" i="1"/>
  <c r="L321" i="1"/>
  <c r="M321" i="1"/>
  <c r="K322" i="1"/>
  <c r="L322" i="1"/>
  <c r="M322" i="1"/>
  <c r="K323" i="1"/>
  <c r="L323" i="1"/>
  <c r="M323" i="1"/>
  <c r="K324" i="1"/>
  <c r="L324" i="1"/>
  <c r="M324" i="1"/>
  <c r="K325" i="1"/>
  <c r="L325" i="1"/>
  <c r="M325" i="1"/>
  <c r="C61" i="2"/>
  <c r="C60" i="2"/>
  <c r="C59" i="2"/>
  <c r="C57" i="2"/>
  <c r="C56" i="2"/>
  <c r="C55" i="2"/>
  <c r="C53" i="2"/>
  <c r="C52" i="2"/>
  <c r="C51" i="2"/>
  <c r="C49" i="2"/>
  <c r="C48" i="2"/>
  <c r="C47" i="2"/>
  <c r="C45" i="2"/>
  <c r="C44" i="2"/>
  <c r="C43" i="2"/>
  <c r="C41" i="2"/>
  <c r="C40" i="2"/>
  <c r="C39" i="2"/>
  <c r="C37" i="2"/>
  <c r="C36" i="2"/>
  <c r="C35" i="2"/>
  <c r="C33" i="2"/>
  <c r="C32" i="2"/>
  <c r="C31" i="2"/>
  <c r="C29" i="2"/>
  <c r="C28" i="2"/>
  <c r="C27" i="2"/>
  <c r="C25" i="2"/>
  <c r="C24" i="2"/>
  <c r="C23" i="2"/>
  <c r="C21" i="2"/>
  <c r="C20" i="2"/>
  <c r="C19" i="2"/>
  <c r="C17" i="2"/>
  <c r="C16" i="2"/>
  <c r="C15" i="2"/>
  <c r="I28" i="5" l="1"/>
  <c r="Q5" i="5"/>
  <c r="P5" i="5"/>
  <c r="Q4" i="5"/>
  <c r="P4" i="5"/>
  <c r="Q3" i="5"/>
  <c r="P3" i="5"/>
  <c r="J5" i="5"/>
  <c r="I5" i="5"/>
  <c r="K5" i="5" s="1"/>
  <c r="R5" i="5" s="1"/>
  <c r="J4" i="5"/>
  <c r="I4" i="5"/>
  <c r="K4" i="5" s="1"/>
  <c r="R4" i="5" s="1"/>
  <c r="J3" i="5"/>
  <c r="I3" i="5"/>
  <c r="K3" i="5" s="1"/>
  <c r="R3" i="5" s="1"/>
  <c r="H39" i="5"/>
  <c r="H40" i="5" s="1"/>
  <c r="H32" i="5"/>
  <c r="H31" i="5"/>
  <c r="H30" i="5"/>
  <c r="H29" i="5"/>
  <c r="H28" i="5"/>
  <c r="H27" i="5"/>
  <c r="H37" i="5" l="1"/>
  <c r="H36" i="5"/>
  <c r="H35" i="5"/>
  <c r="Q37" i="5"/>
  <c r="P37" i="5"/>
  <c r="O37" i="5"/>
  <c r="Q36" i="5"/>
  <c r="P36" i="5"/>
  <c r="O36" i="5"/>
  <c r="Q35" i="5"/>
  <c r="P35" i="5"/>
  <c r="O35" i="5"/>
  <c r="Q32" i="5"/>
  <c r="P32" i="5"/>
  <c r="O32" i="5"/>
  <c r="Q31" i="5"/>
  <c r="P31" i="5"/>
  <c r="O31" i="5"/>
  <c r="Q30" i="5"/>
  <c r="P30" i="5"/>
  <c r="O30" i="5"/>
  <c r="Q29" i="5"/>
  <c r="P29" i="5"/>
  <c r="O29" i="5"/>
  <c r="Q28" i="5"/>
  <c r="P28" i="5"/>
  <c r="O28" i="5"/>
  <c r="Q27" i="5"/>
  <c r="P27" i="5"/>
  <c r="O27" i="5"/>
  <c r="Q25" i="5"/>
  <c r="P25" i="5"/>
  <c r="O25" i="5"/>
  <c r="Q24" i="5"/>
  <c r="P24" i="5"/>
  <c r="O24" i="5"/>
  <c r="Q22" i="5"/>
  <c r="P22" i="5"/>
  <c r="O22" i="5"/>
  <c r="Q21" i="5"/>
  <c r="P21" i="5"/>
  <c r="O21" i="5"/>
  <c r="Q19" i="5"/>
  <c r="P19" i="5"/>
  <c r="O19" i="5"/>
  <c r="Q18" i="5"/>
  <c r="P18" i="5"/>
  <c r="O18" i="5"/>
  <c r="Q15" i="5"/>
  <c r="P15" i="5"/>
  <c r="O15" i="5"/>
  <c r="Q14" i="5"/>
  <c r="P14" i="5"/>
  <c r="O14" i="5"/>
  <c r="Q13" i="5"/>
  <c r="P13" i="5"/>
  <c r="O13" i="5"/>
  <c r="Q12" i="5"/>
  <c r="P12" i="5"/>
  <c r="O12" i="5"/>
  <c r="Q11" i="5"/>
  <c r="P11" i="5"/>
  <c r="O11" i="5"/>
  <c r="Q10" i="5"/>
  <c r="P10" i="5"/>
  <c r="O10" i="5"/>
  <c r="Q9" i="5"/>
  <c r="P9" i="5"/>
  <c r="O9" i="5"/>
  <c r="P2" i="5"/>
  <c r="O2" i="5"/>
  <c r="L37" i="5"/>
  <c r="L36" i="5"/>
  <c r="L35" i="5"/>
  <c r="L32" i="5"/>
  <c r="L31" i="5"/>
  <c r="L30" i="5"/>
  <c r="L29" i="5"/>
  <c r="L28" i="5"/>
  <c r="L27" i="5"/>
  <c r="L25" i="5"/>
  <c r="L24" i="5"/>
  <c r="L22" i="5"/>
  <c r="L21" i="5"/>
  <c r="L19" i="5"/>
  <c r="L18" i="5"/>
  <c r="L15" i="5"/>
  <c r="L14" i="5"/>
  <c r="L13" i="5"/>
  <c r="L12" i="5"/>
  <c r="L11" i="5"/>
  <c r="L10" i="5"/>
  <c r="L9" i="5"/>
  <c r="L2" i="5"/>
  <c r="N37" i="5"/>
  <c r="M37" i="5"/>
  <c r="N36" i="5"/>
  <c r="M36" i="5"/>
  <c r="N35" i="5"/>
  <c r="M35" i="5"/>
  <c r="N32" i="5"/>
  <c r="M32" i="5"/>
  <c r="N31" i="5"/>
  <c r="M31" i="5"/>
  <c r="N30" i="5"/>
  <c r="M30" i="5"/>
  <c r="N29" i="5"/>
  <c r="M29" i="5"/>
  <c r="N28" i="5"/>
  <c r="M28" i="5"/>
  <c r="N27" i="5"/>
  <c r="M27" i="5"/>
  <c r="N25" i="5"/>
  <c r="M25" i="5"/>
  <c r="N24" i="5"/>
  <c r="M24" i="5"/>
  <c r="N22" i="5"/>
  <c r="M22" i="5"/>
  <c r="N21" i="5"/>
  <c r="M21" i="5"/>
  <c r="N19" i="5"/>
  <c r="M19" i="5"/>
  <c r="N18" i="5"/>
  <c r="M18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2" i="5"/>
  <c r="N6" i="5" s="1"/>
  <c r="M2" i="5"/>
  <c r="M6" i="5" s="1"/>
  <c r="J37" i="5"/>
  <c r="I37" i="5"/>
  <c r="R37" i="5" s="1"/>
  <c r="J36" i="5"/>
  <c r="R36" i="5"/>
  <c r="J35" i="5"/>
  <c r="I35" i="5"/>
  <c r="R35" i="5" s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J32" i="5"/>
  <c r="I32" i="5"/>
  <c r="K32" i="5" s="1"/>
  <c r="R32" i="5" s="1"/>
  <c r="J31" i="5"/>
  <c r="I31" i="5"/>
  <c r="K31" i="5" s="1"/>
  <c r="R31" i="5" s="1"/>
  <c r="J30" i="5"/>
  <c r="I30" i="5"/>
  <c r="K30" i="5" s="1"/>
  <c r="R30" i="5" s="1"/>
  <c r="J29" i="5"/>
  <c r="I29" i="5"/>
  <c r="K29" i="5" s="1"/>
  <c r="R29" i="5" s="1"/>
  <c r="J28" i="5"/>
  <c r="J27" i="5"/>
  <c r="I27" i="5"/>
  <c r="K27" i="5" s="1"/>
  <c r="R27" i="5" s="1"/>
  <c r="J25" i="5"/>
  <c r="I25" i="5"/>
  <c r="K25" i="5" s="1"/>
  <c r="R25" i="5" s="1"/>
  <c r="J24" i="5"/>
  <c r="I24" i="5"/>
  <c r="K24" i="5" s="1"/>
  <c r="R24" i="5" s="1"/>
  <c r="J22" i="5"/>
  <c r="I22" i="5"/>
  <c r="K22" i="5" s="1"/>
  <c r="R22" i="5" s="1"/>
  <c r="J21" i="5"/>
  <c r="I21" i="5"/>
  <c r="K21" i="5" s="1"/>
  <c r="R21" i="5" s="1"/>
  <c r="J19" i="5"/>
  <c r="I19" i="5"/>
  <c r="K19" i="5" s="1"/>
  <c r="R19" i="5" s="1"/>
  <c r="J18" i="5"/>
  <c r="I18" i="5"/>
  <c r="K18" i="5" s="1"/>
  <c r="R18" i="5" s="1"/>
  <c r="J15" i="5"/>
  <c r="I15" i="5"/>
  <c r="J14" i="5"/>
  <c r="I14" i="5"/>
  <c r="J13" i="5"/>
  <c r="I13" i="5"/>
  <c r="K13" i="5" s="1"/>
  <c r="R13" i="5" s="1"/>
  <c r="J12" i="5"/>
  <c r="I12" i="5"/>
  <c r="K12" i="5" s="1"/>
  <c r="R12" i="5" s="1"/>
  <c r="J11" i="5"/>
  <c r="I11" i="5"/>
  <c r="J10" i="5"/>
  <c r="I10" i="5"/>
  <c r="J9" i="5"/>
  <c r="I9" i="5"/>
  <c r="J2" i="5"/>
  <c r="I2" i="5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D2" i="2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T18" i="5" l="1"/>
  <c r="O3" i="5"/>
  <c r="O4" i="5"/>
  <c r="O5" i="5"/>
  <c r="T2" i="5"/>
  <c r="T27" i="5"/>
  <c r="T24" i="5"/>
  <c r="T35" i="5"/>
  <c r="T9" i="5"/>
  <c r="T21" i="5"/>
  <c r="S2" i="5"/>
  <c r="K14" i="5"/>
  <c r="R14" i="5" s="1"/>
  <c r="S24" i="5"/>
  <c r="U24" i="5" s="1"/>
  <c r="V24" i="5" s="1"/>
  <c r="K11" i="5" s="1"/>
  <c r="R11" i="5" s="1"/>
  <c r="S35" i="5"/>
  <c r="U35" i="5" s="1"/>
  <c r="S27" i="5"/>
  <c r="S9" i="5"/>
  <c r="S18" i="5"/>
  <c r="S21" i="5"/>
  <c r="U18" i="5" l="1"/>
  <c r="V18" i="5" s="1"/>
  <c r="K9" i="5" s="1"/>
  <c r="R9" i="5" s="1"/>
  <c r="V35" i="5"/>
  <c r="K28" i="5" s="1"/>
  <c r="R28" i="5" s="1"/>
  <c r="U27" i="5" s="1"/>
  <c r="V27" i="5" s="1"/>
  <c r="W27" i="5" s="1"/>
  <c r="U21" i="5"/>
  <c r="V21" i="5" s="1"/>
  <c r="K10" i="5" s="1"/>
  <c r="R10" i="5" s="1"/>
  <c r="K15" i="5" l="1"/>
  <c r="R15" i="5" s="1"/>
  <c r="U9" i="5" s="1"/>
  <c r="V9" i="5" s="1"/>
  <c r="K2" i="5" s="1"/>
  <c r="R2" i="5" s="1"/>
  <c r="U2" i="5" s="1"/>
  <c r="V2" i="5" s="1"/>
</calcChain>
</file>

<file path=xl/sharedStrings.xml><?xml version="1.0" encoding="utf-8"?>
<sst xmlns="http://schemas.openxmlformats.org/spreadsheetml/2006/main" count="34546" uniqueCount="4975">
  <si>
    <t xml:space="preserve">Código PT </t>
  </si>
  <si>
    <t xml:space="preserve"> Descripción PT </t>
  </si>
  <si>
    <t xml:space="preserve"> Código Semi </t>
  </si>
  <si>
    <t xml:space="preserve"> Descripción Semi </t>
  </si>
  <si>
    <t xml:space="preserve"> Componente </t>
  </si>
  <si>
    <t xml:space="preserve"> Descripción Componente </t>
  </si>
  <si>
    <t xml:space="preserve"> Unidad </t>
  </si>
  <si>
    <t xml:space="preserve"> Cantidad Total Requerida </t>
  </si>
  <si>
    <t xml:space="preserve"> Nivel </t>
  </si>
  <si>
    <t xml:space="preserve"> Cantidad Base </t>
  </si>
  <si>
    <t xml:space="preserve"> Costo estandar</t>
  </si>
  <si>
    <t xml:space="preserve">Código Semi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</si>
  <si>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</si>
  <si>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</si>
  <si>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</si>
  <si>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</si>
  <si>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</si>
  <si>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</si>
  <si>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Plumones Layconsa School 45 Estuche x 12</t>
  </si>
  <si>
    <t>Plumones LYC School 45 Granel Azul NP P.S.</t>
  </si>
  <si>
    <t>CJ/12</t>
  </si>
  <si>
    <t>Plumones LYC School 45 Granel Negro NP P.S.</t>
  </si>
  <si>
    <t>Plumones LYC School 45 Granel Rojo NP P.S.</t>
  </si>
  <si>
    <t>Plumones LYC School 45 Granel Verde NP P.S.</t>
  </si>
  <si>
    <t>Plumones LYC School 45 Granel Amarillo NP P.S.</t>
  </si>
  <si>
    <t>Plumones LYC School 45 Granel Marrón NP P.S.</t>
  </si>
  <si>
    <t>Plumones LYC School 45 Granel Anaranjado NP P.S.</t>
  </si>
  <si>
    <t>Plumones LYC School 45 Granel Rosado NP P.S.</t>
  </si>
  <si>
    <t>Plumones LYC School 45 Granel Violeta NP P.S.</t>
  </si>
  <si>
    <t>Plumones LYC School 45 Granel Celeste NP P.S.</t>
  </si>
  <si>
    <t>Plumones LYC School 45 Granel Verde Limon NP P.S.</t>
  </si>
  <si>
    <t>Plumones LYC School 45 Granel Piel NP P.S.</t>
  </si>
  <si>
    <t>Cajita para Plumones LYC school 45 x 12</t>
  </si>
  <si>
    <t>Inner Para Plumones LYC School 45 x12 colores</t>
  </si>
  <si>
    <t>Cajón Para Plumones LYC School 45x12pz  29.9 x 27.4X39.4x cm</t>
  </si>
  <si>
    <t>Barril Para Plumón 045 - NP Azul</t>
  </si>
  <si>
    <t>PZ/1</t>
  </si>
  <si>
    <t>Tapa Para Plumón 045 - NP  Azul</t>
  </si>
  <si>
    <t>Tapita Para Plumón 045 - NP  Azul</t>
  </si>
  <si>
    <t>Filtro 045 (CPE3119)</t>
  </si>
  <si>
    <t>Cinta 43x122 Blanco PP</t>
  </si>
  <si>
    <t>Punta Poliester 2x23mm Marcador 045 EK-320N</t>
  </si>
  <si>
    <t>Tinta Plumón Lavable Azul P.S.</t>
  </si>
  <si>
    <t>Barril Para Plumón 045 - NP Negro</t>
  </si>
  <si>
    <t>Tapa Para Plumón 045 - NP Negro</t>
  </si>
  <si>
    <t>Tapita Para Plumón 045 - NP Negro</t>
  </si>
  <si>
    <t>Tinta Plumón Lavable Negro P.S.</t>
  </si>
  <si>
    <t>Barril Para Plumón 045 - NPRojo</t>
  </si>
  <si>
    <t>Tapa Para Plumón 045 - NP Rojo</t>
  </si>
  <si>
    <t>Tapita Para Plumón 045 - NP Rojo</t>
  </si>
  <si>
    <t>Tinta Plumón Lavable Rojo P.S.</t>
  </si>
  <si>
    <t>Barril Para Plumón 045 - NP Verde</t>
  </si>
  <si>
    <t>Tapa Para Plumón 045 - NP Verde</t>
  </si>
  <si>
    <t>Tapita Para Plumón 045 - NP Verde</t>
  </si>
  <si>
    <t>Tinta Plumón Lavable Verde P.S.</t>
  </si>
  <si>
    <t>Barril Para Plumón 045 - NP Amarillo</t>
  </si>
  <si>
    <t>Tapa Para Plumón 045 - NP Amarillo</t>
  </si>
  <si>
    <t>Tapita Para Plumón 045 - NP Amarillo</t>
  </si>
  <si>
    <t>Tinta Plumón Lavable Amarillo P.S.</t>
  </si>
  <si>
    <t>Barril Para Plumón 045 - NP Marrón Oscuro</t>
  </si>
  <si>
    <t>Tapa Para Plumón 045 - NP Marrón Oscuro</t>
  </si>
  <si>
    <t>Tapita Para Plumón 045 - NP Marrón Oscuro</t>
  </si>
  <si>
    <t>Tinta Plumón Lavable Marrón P.S.</t>
  </si>
  <si>
    <t>Barril Para Plumón 045 - NP Anaranjado</t>
  </si>
  <si>
    <t>Tapa Para Plumón 045 - NP Anaranjado</t>
  </si>
  <si>
    <t>Tapita Para Plumón 045 - NP Anaranjado</t>
  </si>
  <si>
    <t>Tinta Plumón Lavable Anaranjado P.S.</t>
  </si>
  <si>
    <t>Barril Para Plumón 045 - NP Rosado</t>
  </si>
  <si>
    <t>Tapa Para Plumón 045 - NP Rosado</t>
  </si>
  <si>
    <t>Tapita Para Plumón 045 - NP Rosado</t>
  </si>
  <si>
    <t>Tinta Plumón Lavable Fucsia P.S.</t>
  </si>
  <si>
    <t>ML/1000</t>
  </si>
  <si>
    <t>Barril Para Plumón 045 - NP Violeta</t>
  </si>
  <si>
    <t>Tapa Para Plumón 045 - NP Violeta</t>
  </si>
  <si>
    <t>Tapita Para Plumón 045 - NP Violeta</t>
  </si>
  <si>
    <t>Tinta Plumón Lavable Violeta P.S.</t>
  </si>
  <si>
    <t>Barril Para Plumón 045 - NP Celeste</t>
  </si>
  <si>
    <t>Tapa Para Plumón 045 - NP Celeste</t>
  </si>
  <si>
    <t>Tapita Para Plumón 045 - NP Celeste</t>
  </si>
  <si>
    <t>Tinta Plumón Lavable Celeste P.S.</t>
  </si>
  <si>
    <t>Barril Para Plumón 045 - NP  Verde Claro</t>
  </si>
  <si>
    <t>Tapa Para Plumón 045 - NP  Verde Claro</t>
  </si>
  <si>
    <t>Tapita Para Plumón 045 - NP  Verde Claro</t>
  </si>
  <si>
    <t>Tinta Plumón Lavable Verde Claro P.S.</t>
  </si>
  <si>
    <t>Barril Para Plumón 045 - NP Piel</t>
  </si>
  <si>
    <t>Tapa Para Plumón 045 - NP Piel</t>
  </si>
  <si>
    <t>Tapita Para Plumón 045 - NP Piel</t>
  </si>
  <si>
    <t>Tinta Plumón Lavable Piel P.S.</t>
  </si>
  <si>
    <t>Masterbatch Azul 541E</t>
  </si>
  <si>
    <t>KL/1000</t>
  </si>
  <si>
    <t>Polipropileno 40H</t>
  </si>
  <si>
    <t>Polietileno Alta Densidad Inyección</t>
  </si>
  <si>
    <t>Polietileno LLDPE Mi 20 Sabic  M200024</t>
  </si>
  <si>
    <t>Glicerina (Copsarine USP29)</t>
  </si>
  <si>
    <t>Intermedio T.A. - Marcador</t>
  </si>
  <si>
    <t>Propilenglicol UP</t>
  </si>
  <si>
    <t>Spectra Ponceau Red 6 PDR</t>
  </si>
  <si>
    <t>Spectracid Brillant Blue FCF Crude</t>
  </si>
  <si>
    <t>Spectracid Rhodamine B EXT 330</t>
  </si>
  <si>
    <t>Masterbach Colortec Negro</t>
  </si>
  <si>
    <t>Spectra Sunset Yellow FY3 - BP 1</t>
  </si>
  <si>
    <t>Masterbatch Rojo 443E</t>
  </si>
  <si>
    <t>Masterbatch Verde 635</t>
  </si>
  <si>
    <t>Spectracid Tartrazine Conc 170</t>
  </si>
  <si>
    <t>Masterbatch Amarillo 21</t>
  </si>
  <si>
    <t>Masterbatch Atiqplus Marrón 18023/3</t>
  </si>
  <si>
    <t>Masterbatch Naranja 316E</t>
  </si>
  <si>
    <t>Masterbach Fucsia 13139/4</t>
  </si>
  <si>
    <t>Sanolin Rhodamina B Montana</t>
  </si>
  <si>
    <t>Masterbach Morado 14037/1</t>
  </si>
  <si>
    <t>Masterbatch Celeste 51</t>
  </si>
  <si>
    <t>Masterbatch Verde Limón 636E</t>
  </si>
  <si>
    <t>Masterbach Piel 12037/2</t>
  </si>
  <si>
    <t>Agente Humectante Tergitol NP-10</t>
  </si>
  <si>
    <t>Alcohol Etílico Rectificado 96°</t>
  </si>
  <si>
    <t>Biocida (Preventol D6)</t>
  </si>
  <si>
    <t>Número de artículo</t>
  </si>
  <si>
    <t>Descripción del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</si>
  <si>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</si>
  <si>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</si>
  <si>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</si>
  <si>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</si>
  <si>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</si>
  <si>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</si>
  <si>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</si>
  <si>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Plastilina Delgada Bester x 10</t>
  </si>
  <si>
    <t>ALMA013</t>
  </si>
  <si>
    <t>Almacén Lima Nicolás Ayllón (013)</t>
  </si>
  <si>
    <t>Plastilina Jumbo Bester x 10</t>
  </si>
  <si>
    <t>Plastilina Layconsa Puppy Jumbo x 12</t>
  </si>
  <si>
    <t>ALMA002</t>
  </si>
  <si>
    <t>Almacén Principal Lima (002)</t>
  </si>
  <si>
    <t>Plumones Layconsa School 45 Estuche x 24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</si>
  <si>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</si>
  <si>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</si>
  <si>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</si>
  <si>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</si>
  <si>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</si>
  <si>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</si>
  <si>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</si>
  <si>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</si>
  <si>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</si>
  <si>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ALMA071</t>
  </si>
  <si>
    <t>Almacén Producción Ensamble</t>
  </si>
  <si>
    <t>EXTLIM</t>
  </si>
  <si>
    <t>OPERACIONES EXTERNAS LIMA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</si>
  <si>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</si>
  <si>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</si>
  <si>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</si>
  <si>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</si>
  <si>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</si>
  <si>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ALMA087</t>
  </si>
  <si>
    <t>Almacen Reserva Lima</t>
  </si>
  <si>
    <t>Pegamento Silicona Líquida de 250ml</t>
  </si>
  <si>
    <t>Goma escarchada  neón Layconsa Bl. x 6  10 ml.</t>
  </si>
  <si>
    <t>Goma en Barra Layconsa x 40gr.</t>
  </si>
  <si>
    <t>Borrador Colores Pelikan Jelly - Gom x 40</t>
  </si>
  <si>
    <t>ALMA083</t>
  </si>
  <si>
    <t>Almacén de Baja de Lima (083)</t>
  </si>
  <si>
    <t>Borrador Blanco  LA-30 Layconsa c/Plast.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</si>
  <si>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</si>
  <si>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</si>
  <si>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</si>
  <si>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</si>
  <si>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</si>
  <si>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</si>
  <si>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</si>
  <si>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ALMA081</t>
  </si>
  <si>
    <t>Almacén de Marketing Primario Lima (081)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</si>
  <si>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</si>
  <si>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</si>
  <si>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</si>
  <si>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</si>
  <si>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</si>
  <si>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</si>
  <si>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</si>
  <si>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</si>
  <si>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Pocket Azul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</si>
  <si>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</si>
  <si>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</si>
  <si>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</si>
  <si>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</si>
  <si>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</si>
  <si>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</si>
  <si>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</si>
  <si>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</si>
  <si>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</si>
  <si>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</si>
  <si>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</si>
  <si>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</si>
  <si>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</si>
  <si>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</si>
  <si>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</si>
  <si>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</si>
  <si>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</si>
  <si>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</si>
  <si>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</si>
  <si>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</si>
  <si>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</si>
  <si>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</si>
  <si>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</si>
  <si>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</si>
  <si>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</si>
  <si>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</si>
  <si>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</si>
  <si>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</si>
  <si>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</si>
  <si>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</si>
  <si>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</si>
  <si>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</si>
  <si>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</si>
  <si>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</si>
  <si>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</si>
  <si>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</si>
  <si>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</si>
  <si>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</si>
  <si>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</si>
  <si>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</si>
  <si>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</si>
  <si>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</si>
  <si>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</si>
  <si>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Negro</t>
  </si>
  <si>
    <t>Bolígrafo Layconsa L-031 Rojo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</si>
  <si>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</si>
  <si>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</si>
  <si>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</si>
  <si>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</si>
  <si>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</si>
  <si>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</si>
  <si>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</si>
  <si>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</si>
  <si>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</si>
  <si>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</si>
  <si>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</si>
  <si>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</si>
  <si>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</si>
  <si>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</si>
  <si>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</si>
  <si>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</si>
  <si>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</si>
  <si>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</si>
  <si>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</si>
  <si>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</si>
  <si>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</si>
  <si>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</si>
  <si>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</si>
  <si>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</si>
  <si>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</si>
  <si>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</si>
  <si>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</si>
  <si>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</si>
  <si>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</si>
  <si>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</si>
  <si>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</si>
  <si>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</si>
  <si>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</si>
  <si>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</si>
  <si>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</si>
  <si>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ALMA084</t>
  </si>
  <si>
    <t>Almacén de Marketing Secundario AQP (084)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</si>
  <si>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</si>
  <si>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</si>
  <si>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</si>
  <si>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</si>
  <si>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</si>
  <si>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</si>
  <si>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</si>
  <si>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</si>
  <si>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</si>
  <si>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</si>
  <si>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</si>
  <si>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</si>
  <si>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</si>
  <si>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</si>
  <si>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</si>
  <si>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</si>
  <si>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</si>
  <si>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</si>
  <si>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</si>
  <si>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</si>
  <si>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</si>
  <si>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</si>
  <si>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</si>
  <si>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</si>
  <si>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</si>
  <si>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</si>
  <si>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</si>
  <si>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</si>
  <si>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</si>
  <si>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</si>
  <si>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</si>
  <si>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</si>
  <si>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</si>
  <si>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</si>
  <si>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</si>
  <si>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</si>
  <si>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</si>
  <si>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</si>
  <si>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</si>
  <si>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</si>
  <si>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</si>
  <si>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</si>
  <si>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</si>
  <si>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</si>
  <si>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</si>
  <si>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</si>
  <si>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</si>
  <si>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ALM0TR</t>
  </si>
  <si>
    <t>ALMACEN DE TRANSITO AQP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</si>
  <si>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</si>
  <si>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</si>
  <si>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</si>
  <si>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</si>
  <si>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</si>
  <si>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</si>
  <si>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</si>
  <si>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</si>
  <si>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</si>
  <si>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</si>
  <si>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</si>
  <si>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</si>
  <si>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</si>
  <si>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</si>
  <si>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</si>
  <si>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</si>
  <si>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</si>
  <si>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con Grip 0.5mm L-100</t>
  </si>
  <si>
    <t>Portaminas c/Grip Layconsa 0.5mm</t>
  </si>
  <si>
    <t>Tampón Eagle N° 2 Azul</t>
  </si>
  <si>
    <t>ALMA082</t>
  </si>
  <si>
    <t>Almacén de Baja de Arequipa (082)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</si>
  <si>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</si>
  <si>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</si>
  <si>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</si>
  <si>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</si>
  <si>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</si>
  <si>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</si>
  <si>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</si>
  <si>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</si>
  <si>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</si>
  <si>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</si>
  <si>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</si>
  <si>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</si>
  <si>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</si>
  <si>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</si>
  <si>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</si>
  <si>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</si>
  <si>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</si>
  <si>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</si>
  <si>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</si>
  <si>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</si>
  <si>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</si>
  <si>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</si>
  <si>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</si>
  <si>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</si>
  <si>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</si>
  <si>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</si>
  <si>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</si>
  <si>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</si>
  <si>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</si>
  <si>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</si>
  <si>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</si>
  <si>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</si>
  <si>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</si>
  <si>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</si>
  <si>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</si>
  <si>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</si>
  <si>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</si>
  <si>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</si>
  <si>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</si>
  <si>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</si>
  <si>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</si>
  <si>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</si>
  <si>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</si>
  <si>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</si>
  <si>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</si>
  <si>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</si>
  <si>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</si>
  <si>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</si>
  <si>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</si>
  <si>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</si>
  <si>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</si>
  <si>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</si>
  <si>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</si>
  <si>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</si>
  <si>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</si>
  <si>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</si>
  <si>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</si>
  <si>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</si>
  <si>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</si>
  <si>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</si>
  <si>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</si>
  <si>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</si>
  <si>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</si>
  <si>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</si>
  <si>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</si>
  <si>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</si>
  <si>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</si>
  <si>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</si>
  <si>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</si>
  <si>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</si>
  <si>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</si>
  <si>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</si>
  <si>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</si>
  <si>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</si>
  <si>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</si>
  <si>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</si>
  <si>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</si>
  <si>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</si>
  <si>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</si>
  <si>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</si>
  <si>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</si>
  <si>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</si>
  <si>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</si>
  <si>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</si>
  <si>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</si>
  <si>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</si>
  <si>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</si>
  <si>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</si>
  <si>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</si>
  <si>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</si>
  <si>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</si>
  <si>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</si>
  <si>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</si>
  <si>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</si>
  <si>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</si>
  <si>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</si>
  <si>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</si>
  <si>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</si>
  <si>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</si>
  <si>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</si>
  <si>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</si>
  <si>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</si>
  <si>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</si>
  <si>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</si>
  <si>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</si>
  <si>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</si>
  <si>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</si>
  <si>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</si>
  <si>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Block Cuadriculado Layconsa A4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</si>
  <si>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</si>
  <si>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</si>
  <si>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</si>
  <si>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</si>
  <si>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</si>
  <si>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</si>
  <si>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</si>
  <si>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</si>
  <si>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</si>
  <si>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</si>
  <si>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</si>
  <si>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</si>
  <si>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</si>
  <si>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</si>
  <si>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</si>
  <si>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</si>
  <si>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</si>
  <si>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</si>
  <si>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</si>
  <si>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</si>
  <si>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</si>
  <si>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</si>
  <si>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</si>
  <si>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</si>
  <si>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</si>
  <si>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</si>
  <si>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</si>
  <si>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</si>
  <si>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</si>
  <si>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</si>
  <si>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</si>
  <si>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</si>
  <si>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</si>
  <si>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</si>
  <si>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</si>
  <si>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</si>
  <si>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</si>
  <si>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</si>
  <si>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</si>
  <si>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</si>
  <si>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</si>
  <si>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</si>
  <si>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</si>
  <si>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</si>
  <si>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</si>
  <si>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</si>
  <si>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</si>
  <si>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</si>
  <si>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</si>
  <si>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</si>
  <si>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</si>
  <si>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</si>
  <si>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</si>
  <si>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</si>
  <si>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</si>
  <si>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</si>
  <si>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</si>
  <si>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</si>
  <si>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</si>
  <si>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</si>
  <si>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</si>
  <si>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</si>
  <si>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</si>
  <si>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</si>
  <si>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</si>
  <si>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</si>
  <si>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</si>
  <si>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</si>
  <si>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</si>
  <si>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</si>
  <si>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</si>
  <si>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</si>
  <si>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</si>
  <si>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</si>
  <si>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</si>
  <si>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</si>
  <si>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</si>
  <si>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</si>
  <si>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</si>
  <si>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</si>
  <si>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</si>
  <si>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</si>
  <si>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</si>
  <si>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ALMA075</t>
  </si>
  <si>
    <t>Almacén Producción Imprenta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</si>
  <si>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</si>
  <si>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</si>
  <si>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</si>
  <si>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</si>
  <si>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</si>
  <si>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</si>
  <si>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</si>
  <si>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</si>
  <si>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</si>
  <si>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</si>
  <si>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</si>
  <si>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</si>
  <si>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</si>
  <si>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</si>
  <si>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</si>
  <si>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</si>
  <si>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</si>
  <si>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</si>
  <si>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</si>
  <si>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</si>
  <si>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</si>
  <si>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</si>
  <si>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</si>
  <si>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</si>
  <si>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</si>
  <si>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</si>
  <si>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</si>
  <si>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</si>
  <si>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</si>
  <si>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</si>
  <si>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</si>
  <si>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</si>
  <si>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</si>
  <si>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</si>
  <si>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</si>
  <si>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</si>
  <si>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</si>
  <si>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</si>
  <si>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</si>
  <si>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</si>
  <si>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</si>
  <si>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</si>
  <si>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</si>
  <si>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</si>
  <si>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</si>
  <si>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</si>
  <si>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</si>
  <si>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</si>
  <si>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</si>
  <si>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</si>
  <si>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</si>
  <si>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</si>
  <si>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</si>
  <si>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</si>
  <si>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</si>
  <si>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</si>
  <si>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Layconsa A4 P/D c/Fastener colores surtidos niños</t>
  </si>
  <si>
    <t>ALMAILI</t>
  </si>
  <si>
    <t>Almacen Importacion Lima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</si>
  <si>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</si>
  <si>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</si>
  <si>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</si>
  <si>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</si>
  <si>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</si>
  <si>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</si>
  <si>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</si>
  <si>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Folder Layconsa A4 D/T c/Gusanillo color rojo</t>
  </si>
  <si>
    <t>Folder Layconsa A4 D/T c/Gusanillo color amarillo</t>
  </si>
  <si>
    <t>Folder Layconsa A4 D/T c/Gusanillo color verde</t>
  </si>
  <si>
    <t>Folder Layconsa A4 D/T c/Gusanillo color azul</t>
  </si>
  <si>
    <t>Folder Layconsa A4 D/T c/Gusanillo color blanco</t>
  </si>
  <si>
    <t>Folder Layconsa A4 D/T c/Gusanillo color negro</t>
  </si>
  <si>
    <t>Folder Layconsa A4 D/T c/Gusanillo color marrón</t>
  </si>
  <si>
    <t>Folder Layconsa A4 D/T c/Gusanillo color celeste</t>
  </si>
  <si>
    <t>Folder Layconsa A4 D/T c/Gusanillo color lila</t>
  </si>
  <si>
    <t>Folder Layconsa Oficio D/T c/Gusanillo color rojo</t>
  </si>
  <si>
    <t>Folder Layconsa Oficio D/T c/Gusanillo color amarillo</t>
  </si>
  <si>
    <t>Folder Layconsa Oficio D/T c/Gusanillo color verde</t>
  </si>
  <si>
    <t>Folder Layconsa Oficio D/T c/Gusanillo color azul</t>
  </si>
  <si>
    <t>Folder Layconsa Oficio D/T c/Gusanillo color blanco</t>
  </si>
  <si>
    <t>Folder Layconsa Oficio D/T c/Gusanillo color negro</t>
  </si>
  <si>
    <t>Folder Layconsa Oficio D/T c/Gusanillo color marrón</t>
  </si>
  <si>
    <t>Folder Layconsa Oficio D/T c/Gusanillo color celeste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</si>
  <si>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</si>
  <si>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</si>
  <si>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</si>
  <si>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</si>
  <si>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</si>
  <si>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</si>
  <si>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</si>
  <si>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</si>
  <si>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</si>
  <si>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</si>
  <si>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</si>
  <si>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</si>
  <si>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</si>
  <si>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</si>
  <si>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</si>
  <si>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</si>
  <si>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</si>
  <si>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ALMA078</t>
  </si>
  <si>
    <t>Almacén Cuarentena LIM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</si>
  <si>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</si>
  <si>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</si>
  <si>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</si>
  <si>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</si>
  <si>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</si>
  <si>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</si>
  <si>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</si>
  <si>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</si>
  <si>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</si>
  <si>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</si>
  <si>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</si>
  <si>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</si>
  <si>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</si>
  <si>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</si>
  <si>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</si>
  <si>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</si>
  <si>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</si>
  <si>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</si>
  <si>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</si>
  <si>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A-4 75Gr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</si>
  <si>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</si>
  <si>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</si>
  <si>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</si>
  <si>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</si>
  <si>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</si>
  <si>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</si>
  <si>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</si>
  <si>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</si>
  <si>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</si>
  <si>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</si>
  <si>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</si>
  <si>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</si>
  <si>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</si>
  <si>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</si>
  <si>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</si>
  <si>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</si>
  <si>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</si>
  <si>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</si>
  <si>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</si>
  <si>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</si>
  <si>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</si>
  <si>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</si>
  <si>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</si>
  <si>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</si>
  <si>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</si>
  <si>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</si>
  <si>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</si>
  <si>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</si>
  <si>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</si>
  <si>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</si>
  <si>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</si>
  <si>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</si>
  <si>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</si>
  <si>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</si>
  <si>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</si>
  <si>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</si>
  <si>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</si>
  <si>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</si>
  <si>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</si>
  <si>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</si>
  <si>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</si>
  <si>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</si>
  <si>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</si>
  <si>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</si>
  <si>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</si>
  <si>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</si>
  <si>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</si>
  <si>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</si>
  <si>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</si>
  <si>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</si>
  <si>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</si>
  <si>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</si>
  <si>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</si>
  <si>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</si>
  <si>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</si>
  <si>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</si>
  <si>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</si>
  <si>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</si>
  <si>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</si>
  <si>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</si>
  <si>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</si>
  <si>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</si>
  <si>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</si>
  <si>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</si>
  <si>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</si>
  <si>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</si>
  <si>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</si>
  <si>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</si>
  <si>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</si>
  <si>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</si>
  <si>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</si>
  <si>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</si>
  <si>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</si>
  <si>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</si>
  <si>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</si>
  <si>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</si>
  <si>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</si>
  <si>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</si>
  <si>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</si>
  <si>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Claro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</si>
  <si>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</si>
  <si>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</si>
  <si>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</si>
  <si>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</si>
  <si>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</si>
  <si>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</si>
  <si>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</si>
  <si>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</si>
  <si>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</si>
  <si>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</si>
  <si>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</si>
  <si>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</si>
  <si>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</si>
  <si>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</si>
  <si>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</si>
  <si>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</si>
  <si>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</si>
  <si>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</si>
  <si>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</si>
  <si>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</si>
  <si>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</si>
  <si>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</si>
  <si>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</si>
  <si>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</si>
  <si>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</si>
  <si>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</si>
  <si>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</si>
  <si>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</si>
  <si>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Metalico P/30 Hojas Negro (701)</t>
  </si>
  <si>
    <t>Perforador Eagle Metalico P/30 Hojas Azul (701)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</si>
  <si>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</si>
  <si>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</si>
  <si>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</si>
  <si>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</si>
  <si>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</si>
  <si>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</si>
  <si>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</si>
  <si>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</si>
  <si>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</si>
  <si>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</si>
  <si>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</si>
  <si>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</si>
  <si>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</si>
  <si>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</si>
  <si>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</si>
  <si>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</si>
  <si>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</si>
  <si>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</si>
  <si>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</si>
  <si>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</si>
  <si>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</si>
  <si>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</si>
  <si>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</si>
  <si>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</si>
  <si>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</si>
  <si>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</si>
  <si>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</si>
  <si>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</si>
  <si>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</si>
  <si>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</si>
  <si>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</si>
  <si>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</si>
  <si>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</si>
  <si>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</si>
  <si>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</si>
  <si>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</si>
  <si>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</si>
  <si>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</si>
  <si>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</si>
  <si>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</si>
  <si>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</si>
  <si>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</si>
  <si>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</si>
  <si>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</si>
  <si>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</si>
  <si>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</si>
  <si>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</si>
  <si>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</si>
  <si>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</si>
  <si>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</si>
  <si>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</si>
  <si>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</si>
  <si>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</si>
  <si>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</si>
  <si>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</si>
  <si>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</si>
  <si>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</si>
  <si>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</si>
  <si>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</si>
  <si>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</si>
  <si>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</si>
  <si>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</si>
  <si>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</si>
  <si>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</si>
  <si>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</si>
  <si>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</si>
  <si>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</si>
  <si>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</si>
  <si>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</si>
  <si>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</si>
  <si>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</si>
  <si>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</si>
  <si>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</si>
  <si>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</si>
  <si>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</si>
  <si>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</si>
  <si>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</si>
  <si>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</si>
  <si>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</si>
  <si>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</si>
  <si>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</si>
  <si>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</si>
  <si>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</si>
  <si>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</si>
  <si>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</si>
  <si>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</si>
  <si>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</si>
  <si>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</si>
  <si>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</si>
  <si>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</si>
  <si>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</si>
  <si>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</si>
  <si>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</si>
  <si>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</si>
  <si>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</si>
  <si>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</si>
  <si>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</si>
  <si>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</si>
  <si>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</si>
  <si>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Portacatálogo Eagle Plást. 30 Bols Gris (9003A)</t>
  </si>
  <si>
    <t>Portacatálogo Eagle Plást. 100 Bols. Azul (9010AK)</t>
  </si>
  <si>
    <t>Portafile Ejecutivo Eagle Azul A-4 (ZP019-LV)</t>
  </si>
  <si>
    <t>Portacatálogo Eagle Plást. 20 Bols Azul (9002A)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</si>
  <si>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</si>
  <si>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</si>
  <si>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</si>
  <si>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</si>
  <si>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</si>
  <si>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</si>
  <si>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</si>
  <si>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</si>
  <si>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</si>
  <si>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</si>
  <si>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</si>
  <si>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</si>
  <si>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</si>
  <si>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</si>
  <si>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</si>
  <si>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</si>
  <si>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</si>
  <si>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</si>
  <si>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</si>
  <si>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</si>
  <si>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</si>
  <si>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</si>
  <si>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</si>
  <si>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</si>
  <si>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</si>
  <si>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</si>
  <si>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</si>
  <si>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</si>
  <si>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</si>
  <si>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</si>
  <si>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</si>
  <si>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</si>
  <si>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</si>
  <si>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</si>
  <si>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</si>
  <si>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</si>
  <si>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</si>
  <si>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</si>
  <si>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</si>
  <si>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</si>
  <si>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</si>
  <si>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</si>
  <si>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</si>
  <si>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</si>
  <si>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</si>
  <si>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</si>
  <si>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</si>
  <si>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</si>
  <si>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</si>
  <si>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</si>
  <si>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</si>
  <si>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</si>
  <si>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</si>
  <si>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</si>
  <si>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</si>
  <si>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</si>
  <si>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</si>
  <si>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</si>
  <si>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</si>
  <si>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</si>
  <si>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</si>
  <si>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</si>
  <si>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</si>
  <si>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</si>
  <si>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</si>
  <si>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</si>
  <si>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</si>
  <si>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</si>
  <si>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</si>
  <si>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</si>
  <si>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</si>
  <si>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</si>
  <si>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</si>
  <si>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</si>
  <si>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</si>
  <si>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</si>
  <si>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</si>
  <si>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</si>
  <si>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</si>
  <si>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</si>
  <si>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</si>
  <si>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</si>
  <si>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</si>
  <si>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</si>
  <si>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</si>
  <si>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</si>
  <si>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</si>
  <si>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</si>
  <si>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</si>
  <si>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</si>
  <si>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</si>
  <si>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</si>
  <si>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</si>
  <si>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</si>
  <si>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</si>
  <si>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</si>
  <si>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</si>
  <si>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</si>
  <si>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</si>
  <si>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</si>
  <si>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</si>
  <si>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</si>
  <si>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</si>
  <si>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</si>
  <si>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</si>
  <si>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</si>
  <si>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</si>
  <si>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</si>
  <si>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</si>
  <si>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</si>
  <si>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</si>
  <si>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</si>
  <si>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</si>
  <si>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</si>
  <si>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</si>
  <si>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</si>
  <si>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</si>
  <si>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</si>
  <si>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</si>
  <si>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</si>
  <si>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</si>
  <si>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</si>
  <si>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</si>
  <si>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</si>
  <si>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</si>
  <si>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</si>
  <si>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</si>
  <si>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</si>
  <si>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</si>
  <si>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</si>
  <si>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</si>
  <si>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</si>
  <si>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</si>
  <si>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</si>
  <si>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</si>
  <si>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</si>
  <si>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</si>
  <si>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</si>
  <si>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</si>
  <si>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</si>
  <si>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</si>
  <si>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</si>
  <si>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</si>
  <si>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</si>
  <si>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</si>
  <si>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</si>
  <si>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Lila (50cm. x 60cm.)</t>
  </si>
  <si>
    <t>Microporoso Layconsa Blanco (50cm. x 60cm.)</t>
  </si>
  <si>
    <t>Microporoso Layconsa Toffee (50cm. x 60cm.)</t>
  </si>
  <si>
    <t>Pioner Univ. A-4 2/A D 250 hojas Negro Layconsa</t>
  </si>
  <si>
    <t>Pioner Univ. A-4 2/A D 250 hojas Azul Layconsa</t>
  </si>
  <si>
    <t>Pioner Univ. A-4 2/A D 250 hojas Blanco Layconsa</t>
  </si>
  <si>
    <t>Pioner Univ. A-4 2/A D 450-500 hojas Negro Layconsa</t>
  </si>
  <si>
    <t>Pioner Univ. A-4 2/A D 450-500 hojas Blanco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</si>
  <si>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</si>
  <si>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</si>
  <si>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</si>
  <si>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</si>
  <si>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</si>
  <si>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</si>
  <si>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</si>
  <si>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</si>
  <si>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</si>
  <si>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</si>
  <si>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</si>
  <si>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</si>
  <si>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</si>
  <si>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</si>
  <si>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</si>
  <si>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</si>
  <si>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</si>
  <si>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</si>
  <si>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</si>
  <si>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</si>
  <si>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</si>
  <si>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</si>
  <si>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</si>
  <si>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</si>
  <si>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</si>
  <si>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</si>
  <si>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</si>
  <si>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</si>
  <si>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</si>
  <si>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</si>
  <si>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</si>
  <si>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</si>
  <si>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</si>
  <si>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</si>
  <si>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</si>
  <si>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</si>
  <si>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</si>
  <si>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</si>
  <si>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</si>
  <si>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</si>
  <si>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</si>
  <si>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</si>
  <si>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</si>
  <si>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</si>
  <si>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</si>
  <si>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</si>
  <si>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</si>
  <si>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</si>
  <si>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</si>
  <si>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</si>
  <si>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</si>
  <si>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</si>
  <si>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</si>
  <si>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</si>
  <si>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Pelota p/futbol #5, PU cosido, Estampada; Showgol Layconsa Pelotas</t>
  </si>
  <si>
    <t>Pelota p/voley #5, cuero PU cosido texturizado, Estampada; Matadorcita, Layconsa Pelotas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</si>
  <si>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</si>
  <si>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</si>
  <si>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</si>
  <si>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</si>
  <si>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</si>
  <si>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Azul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</si>
  <si>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</si>
  <si>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</si>
  <si>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</si>
  <si>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</si>
  <si>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</si>
  <si>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</si>
  <si>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</si>
  <si>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</si>
  <si>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</si>
  <si>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</si>
  <si>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Lápiz Layconsa Teens</t>
  </si>
  <si>
    <t>Lápiz de grafito cortos para compás Layconsa</t>
  </si>
  <si>
    <t>Lápiz de Color Layconsa Puppy Jumbo x 12 5 1/4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</si>
  <si>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</si>
  <si>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</si>
  <si>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</si>
  <si>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</si>
  <si>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</si>
  <si>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</si>
  <si>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</si>
  <si>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Layconsa Jumbo L-47 Azul NT</t>
  </si>
  <si>
    <t>Marcador Layconsa Jumbo L-47 Negro NT</t>
  </si>
  <si>
    <t>Marcador Layconsa Jumbo L-47 Rojo NT</t>
  </si>
  <si>
    <t>Marcador Layconsa Jumbo L-47 Verde NT</t>
  </si>
  <si>
    <t>Marcador Layconsa Jumbo L-47 Estuche x 6 Colores NT</t>
  </si>
  <si>
    <t>Marcador Layconsa Jumbo L-47 Estuche x 10 Colores NT</t>
  </si>
  <si>
    <t>Marcador Para Pizarra Layconsa L-123 Azul NT</t>
  </si>
  <si>
    <t>Marcador Para Pizarra Layconsa L-123 Negro NT</t>
  </si>
  <si>
    <t>Marcador Para Pizarra Layconsa L-123 Rojo NT</t>
  </si>
  <si>
    <t>Marcador Para Pizarra Layconsa L-123 Verde NT</t>
  </si>
  <si>
    <t>Marcador Permanente Layconsa L-23 Tinta Azul NT</t>
  </si>
  <si>
    <t>Marcador Permanente Layconsa L-23 Tinta Negra NT</t>
  </si>
  <si>
    <t>Marcador Permanente Layconsa L-23 Tinta Roja NT</t>
  </si>
  <si>
    <t>Marcador Permanente Layconsa L-23 Tinta Verde NT</t>
  </si>
  <si>
    <t>Marcador Para Pizarra Layconsa L-123 Estuche X 4 colores</t>
  </si>
  <si>
    <t>Plumones Layconsa School 45 estuche x 24</t>
  </si>
  <si>
    <t>Marcador Para Pizarra Recargable Layconsa L-123R Azul</t>
  </si>
  <si>
    <t>Marcador Para Pizarra Recargable Layconsa L-123R Negro</t>
  </si>
  <si>
    <t>Marcador Para Pizarra Recargable Layconsa L-123R Rojo</t>
  </si>
  <si>
    <t>Marcador Para Pizarra Recargable Layconsa L-123R Verde</t>
  </si>
  <si>
    <t>Marcador Layconsa Jumbo L-47 Marrón NT</t>
  </si>
  <si>
    <t>Marcador Layconsa Jumbo L-47 Anaranjado NT</t>
  </si>
  <si>
    <t>Marcador Layconsa Jumbo L-47 Celeste NT</t>
  </si>
  <si>
    <t>Marcador Layconsa Jumbo L-47 Morado NT</t>
  </si>
  <si>
    <t>Marcador Layconsa Jumbo L-47 Rosado NT</t>
  </si>
  <si>
    <t>Marcador Layconsa Jumbo L-47 Amarillo NT</t>
  </si>
  <si>
    <t>Marcador Layconsa Jumbo L-47 x 12 Colores NT Estuche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</si>
  <si>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</si>
  <si>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</si>
  <si>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</si>
  <si>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</si>
  <si>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Marcadores mágicos MG-47 x 10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</si>
  <si>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</si>
  <si>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</si>
  <si>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</si>
  <si>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</si>
  <si>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Marcador Pizarra Layconsa L-123 Est. x 4 colores especiales</t>
  </si>
  <si>
    <t>Marcador Pizarra Layconsa L-123 Est. x 4 colores básicos</t>
  </si>
  <si>
    <t>Plumones Layconsa School 45 Azul</t>
  </si>
  <si>
    <t>Plumones Layconsa School 45 Negro</t>
  </si>
  <si>
    <t>Plumones Layconsa School 45 Rojo</t>
  </si>
  <si>
    <t>Plumones Layconsa School 45 estuche x 36</t>
  </si>
  <si>
    <t>Marcador Para Pizarra L-123 Jumbo Layconsa Fucsia</t>
  </si>
  <si>
    <t>Marcador Para Pizarra L-123 Jumbo Layconsa Morado</t>
  </si>
  <si>
    <t>Marcador Para Pizarra L-123 Jumbo Layconsa Naranja</t>
  </si>
  <si>
    <t>Marcador Para Pizarra L-123 Jumbo Layconsa Verde Limón</t>
  </si>
  <si>
    <t>Témperas Layconsa Puppy Set x 7</t>
  </si>
  <si>
    <t>Témpera Puppy Layconsa Blanca 30cc</t>
  </si>
  <si>
    <t>Témpera Puppy Layconsa Roja 30cc</t>
  </si>
  <si>
    <t>Témpera Puppy Layconsa Azul 30cc</t>
  </si>
  <si>
    <t>Témpera Puppy Layconsa Verde Oscuro 30cc</t>
  </si>
  <si>
    <t>Témpera Puppy Layconsa Amarilla 30cc</t>
  </si>
  <si>
    <t>Témpera Puppy Layconsa Negra 30cc</t>
  </si>
  <si>
    <t>Témpera Puppy Layconsa Marrón 30cc</t>
  </si>
  <si>
    <t>Pintura Para Dedos Layconsa Puppy Set x 6</t>
  </si>
  <si>
    <t>Témperas Layconsa Puppy Set x 6 Neón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</si>
  <si>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</si>
  <si>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</si>
  <si>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</si>
  <si>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</si>
  <si>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Layconsa Puppy x 250 cc Verde c/Dispensador</t>
  </si>
  <si>
    <t>Témpera Layconsa Puppy x 250 cc Blanca c/Dispensador</t>
  </si>
  <si>
    <t>Témpera Layconsa Puppy x 250 cc Azul c/Dispensador</t>
  </si>
  <si>
    <t>Témpera Layconsa Puppy x 250 cc Roja c/Dispensador</t>
  </si>
  <si>
    <t>Témpera Layconsa Puppy x 250 cc Amarilla c/Dispensador</t>
  </si>
  <si>
    <t>Témpera Layconsa Puppy x 250 cc Piel c/Dispensador</t>
  </si>
  <si>
    <t>Témpera Layconsa Puppy x 250 cc Marrón c/Dispensador</t>
  </si>
  <si>
    <t>Témpera Layconsa Puppy x 250 cc Negro c/Dispensador</t>
  </si>
  <si>
    <t>Témpera Layconsa Puppy x 250 cc Rosado c/Dispensador</t>
  </si>
  <si>
    <t>Témpera Layconsa Puppy x 250 cc Celeste c/Dispensador</t>
  </si>
  <si>
    <t>Témpera Layconsa Puppy x 250 cc Anaranjado c/Dispensador</t>
  </si>
  <si>
    <t>Témpera Layconsa Puppy x 250 cc Morado c/Dispensador</t>
  </si>
  <si>
    <t>Témpera Layconsa Puppy x 250 cc Fucsia c/Dispensador</t>
  </si>
  <si>
    <t>Témpera Layconsa Puppy x 250 cc Verde Limón c/Dispensador</t>
  </si>
  <si>
    <t>Témpera Layconsa Puppy x 250 cc Neón Amarillo c/Dispensador</t>
  </si>
  <si>
    <t>Témpera Layconsa Puppy x 250 cc Neón Violeta c/Dispensador</t>
  </si>
  <si>
    <t>Témpera Layconsa Puppy x 250 cc Neón Naranja c/Dispensador</t>
  </si>
  <si>
    <t>Témpera Layconsa Puppy x 250 cc Neón Rosado c/Dispensador</t>
  </si>
  <si>
    <t>Témpera Layconsa Puppy x 250 cc Neón Verde c/Dispensador</t>
  </si>
  <si>
    <t>Témperas Layconsa setx 6 Metálicos x 15cc</t>
  </si>
  <si>
    <t>Témperas Layconsa set x 12- 15cc</t>
  </si>
  <si>
    <t>Témperas Set x 7 x 30cc ARTI</t>
  </si>
  <si>
    <t>Témperas Layconsa Puppy Set x 6 Pastel</t>
  </si>
  <si>
    <t>Témperas Layconsa Puppy Set x 6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</si>
  <si>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</si>
  <si>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</si>
  <si>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</si>
  <si>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</si>
  <si>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Témperas Layconsa Puppy set x 12- 20cc</t>
  </si>
  <si>
    <t>Témpera Layconsa Puppy x 250 cc Turquesa c/Dispensador</t>
  </si>
  <si>
    <t>Témpera Layconsa Puppy x 250 cc Neón Rojo c/Dispensador</t>
  </si>
  <si>
    <t>Témpera Puppy Layconsa Turquesa 30cc</t>
  </si>
  <si>
    <t>Témpera Puppy Layconsa Morado 30cc</t>
  </si>
  <si>
    <t>Témpera Puppy Layconsa Fucsia 30cc</t>
  </si>
  <si>
    <t>Crayón Layconsa Puppy Jumbo x 12</t>
  </si>
  <si>
    <t>Crayón Layconsa Puppy Jumbo x 6 Neón</t>
  </si>
  <si>
    <t>Crayón triangular Layconsa Puppy Jumbo x 12</t>
  </si>
  <si>
    <t>Crayón triangular cj. cartón Layconsa Puppy Jumbo x 12</t>
  </si>
  <si>
    <t>Crayón Jumbo Puppy x 4</t>
  </si>
  <si>
    <t>Crayón Delgado Palmolive x6</t>
  </si>
  <si>
    <t>Plastilina Layconsa Puppy Jumbo x 12 Neón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</si>
  <si>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</si>
  <si>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</si>
  <si>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</si>
  <si>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</si>
  <si>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Estuche Geométrico Layconsa x 30 cm</t>
  </si>
  <si>
    <t>Estuche Geométrico Layconsa x 20cm (PVC)</t>
  </si>
  <si>
    <t>Estuche Geométrico Layconsa x 30cm (PVC)</t>
  </si>
  <si>
    <t>Bolígrafo Layconsa L-031 Fine Azul</t>
  </si>
  <si>
    <t>Bolígrafo Layconsa L-031 Fine Negro</t>
  </si>
  <si>
    <t>Bolígrafo Layconsa L-031 Fine Rojo</t>
  </si>
  <si>
    <t>Bolígrafo Layconsa L-034 Medium Azul</t>
  </si>
  <si>
    <t>Bolígrafo Layconsa L-034 Medium Negro</t>
  </si>
  <si>
    <t>Bolígrafo Layconsa L-034 Medium Rojo</t>
  </si>
  <si>
    <t>Bolígrafo Layconsa LPS-020 Fine Azul</t>
  </si>
  <si>
    <t>Bolígrafo Layconsa LPS-020 Fine Negro</t>
  </si>
  <si>
    <t>Bolígrafo Layconsa LPS-020 Fine Rojo</t>
  </si>
  <si>
    <t>Bolígrafo Layconsa LPS-020 Fine Verde</t>
  </si>
  <si>
    <t>Bolígrafo Layconsa LPS-020 Fine Morado</t>
  </si>
  <si>
    <t>Bolígrafo Layconsa LPS-020 Fine Rosado</t>
  </si>
  <si>
    <t>Lapicero Lucas 069 Estilografo</t>
  </si>
  <si>
    <t>Bolígrafo Layconsa LPS-020 Fine Turquesa</t>
  </si>
  <si>
    <t>Estuche de bolígrafos Crystal L-36 x 10 colores</t>
  </si>
  <si>
    <t>Bolígrafo Layconsa crystal L-036 Azul</t>
  </si>
  <si>
    <t>Bolígrafo Layconsa crystal L-036 Negro</t>
  </si>
  <si>
    <t>Bolígrafo Layconsa crystal L-036 Rojo</t>
  </si>
  <si>
    <t>Bolígrafo Layconsa crystal L-036 Verde</t>
  </si>
  <si>
    <t>Tinta Para Marcador de Pizarra Layconsa L-126 Azul</t>
  </si>
  <si>
    <t>Tinta Para Marcador de Pizarra Layconsa L-126 Negro</t>
  </si>
  <si>
    <t>Tinta Para Marcador de Pizarra Layconsa L-126 Rojo</t>
  </si>
  <si>
    <t>Tinta Para Marcador de Pizarra Layconsa L-126 Verde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</si>
  <si>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</si>
  <si>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</si>
  <si>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</si>
  <si>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</si>
  <si>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</si>
  <si>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</si>
  <si>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Activador Fantasía Slime Layconsa x 250 ml</t>
  </si>
  <si>
    <t>Kit chanchito alcancía de cerámica +2 set de témperas x 6 (neón y básico)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</si>
  <si>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</si>
  <si>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</si>
  <si>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</si>
  <si>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</si>
  <si>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</si>
  <si>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</si>
  <si>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</si>
  <si>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</si>
  <si>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</si>
  <si>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</si>
  <si>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</si>
  <si>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</si>
  <si>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Pack Slime Princesa Galáctica</t>
  </si>
  <si>
    <t>Pack Slime Tesoro del Pirata</t>
  </si>
  <si>
    <t>02 Borrador Pets Layconsa de colores</t>
  </si>
  <si>
    <t>01 Mota practi económica + 02 Marcadores de pizarra L-123 (azu/neg)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</si>
  <si>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</si>
  <si>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</si>
  <si>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</si>
  <si>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</si>
  <si>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</si>
  <si>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</si>
  <si>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</si>
  <si>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Lápices Estudiante + 01 Tajador doble c/depósito + 01 borrador</t>
  </si>
  <si>
    <t>02 Bol.TRIPLUS (azu/roj)+01 Resaltador neón amarillo+01 Corrector Líquido 9ml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</si>
  <si>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</si>
  <si>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</si>
  <si>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</si>
  <si>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</si>
  <si>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</si>
  <si>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</si>
  <si>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</si>
  <si>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</si>
  <si>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</si>
  <si>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</si>
  <si>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</si>
  <si>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</si>
  <si>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</si>
  <si>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</si>
  <si>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</si>
  <si>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Pack escolar Layconsa Agroindustria</t>
  </si>
  <si>
    <t>01 Tajador Doble c/deposito L-614 Layconsa</t>
  </si>
  <si>
    <t>01 Tajador doble y Borrador Layconsa con depósito</t>
  </si>
  <si>
    <t>Pack bolsa Dupree</t>
  </si>
  <si>
    <t>Pack LIVVA-Azzorti 1 cuad.anill. pastel+ 1 blister lap. Gel LA+1 est. resalt liq</t>
  </si>
  <si>
    <t>Cola Escolar Layconsa x 125 gr.</t>
  </si>
  <si>
    <t>Cola Escolar Layconsa de 250Gr con Dispensador</t>
  </si>
  <si>
    <t>Cola Sintética Layconsa x 250Gr</t>
  </si>
  <si>
    <t>Goma escarchada Layconsa verde de 10 ml. x 24</t>
  </si>
  <si>
    <t>Cola sintética Layconsa x 60 g. c/ dispensador</t>
  </si>
  <si>
    <t>Cola Escolar Sweet x 250 Gr c/ dispensador</t>
  </si>
  <si>
    <t>Cola Escolar Cool x 250 Gr c/ dispensador</t>
  </si>
  <si>
    <t>Cola Escolar Princesas x 250 Gr c/ dispensador</t>
  </si>
  <si>
    <t>Goma Líquida Transparente Layconsa x 240 ml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</si>
  <si>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</si>
  <si>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</si>
  <si>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</si>
  <si>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</si>
  <si>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</si>
  <si>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</si>
  <si>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</si>
  <si>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</si>
  <si>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</si>
  <si>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</si>
  <si>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</si>
  <si>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</si>
  <si>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</si>
  <si>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01 Tajador Layconsa Con Depósito 408 Blister</t>
  </si>
  <si>
    <t>06 Lápices de Gráfito Pelikan N°2 Blister</t>
  </si>
  <si>
    <t>Bolígrafos Layconsa L-034 4+1 Gratis Blister</t>
  </si>
  <si>
    <t>03 Bolígrafos Layconsa Tinta Gel LA-1 Blister</t>
  </si>
  <si>
    <t>Resaltador Layconsa L-48 Amarillo Blister</t>
  </si>
  <si>
    <t>Resaltador Layconsa L-48 Rosado Blister</t>
  </si>
  <si>
    <t>Marcador Para Pizarra Layconsa L-123 Azul Blister</t>
  </si>
  <si>
    <t>Marcador Para Pizarra Layconsa L-123 Negro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</si>
  <si>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</si>
  <si>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</si>
  <si>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</si>
  <si>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Azul Blister</t>
  </si>
  <si>
    <t>Marcador Para Papel Layconsa L-47 Negro Blister</t>
  </si>
  <si>
    <t>Marcador Para Papel Layconsa L-47 Rojo Blister</t>
  </si>
  <si>
    <t>Marcador Para Papel Layconsa L-47 Verde Blister</t>
  </si>
  <si>
    <t>03 Marcador Para Papel Layconsa L-47 Blister</t>
  </si>
  <si>
    <t>Marcador Permanente Layconsa L-23 Azul Blister</t>
  </si>
  <si>
    <t>Marcador Permanente Layconsa L-23 Negro Blister</t>
  </si>
  <si>
    <t>Marcador Permanente Layconsa L-23 Rojo Blister</t>
  </si>
  <si>
    <t>Marcador Permanente Layconsa L-23 Verde Blister</t>
  </si>
  <si>
    <t>03 Marcador Permanente Layconsa L-23 Blister</t>
  </si>
  <si>
    <t>Compas Layconsa Blister</t>
  </si>
  <si>
    <t>Goma en Barra Layconsa 8gr + Tijera Layconsa de Acero Inoxidable Blister</t>
  </si>
  <si>
    <t>Goma en Barra Layconsa 21gr Blister</t>
  </si>
  <si>
    <t>02 Borradores Blancos Layconsa LA-20 Pequeños Blister</t>
  </si>
  <si>
    <t>02 Tajadores Layconsa Nugget con grip</t>
  </si>
  <si>
    <t>01 Tajador con Deposito 512 + 01 Borrador LA-20</t>
  </si>
  <si>
    <t>Lápiz Control Bicolor Mediano + Control Check Rojo+borrador gratis</t>
  </si>
  <si>
    <t>03 Bolígrafos L-036 Fine Azul/Negro/Rojo Blister</t>
  </si>
  <si>
    <t>03 Marcadores Permanentes Para CD L-8000 (A/N/R) Blister</t>
  </si>
  <si>
    <t>Marcadot Permanente Para CD L-8000 Negro</t>
  </si>
  <si>
    <t>01 Corrector Liquido Layconsa Blister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</si>
  <si>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</si>
  <si>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</si>
  <si>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</si>
  <si>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</si>
  <si>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</si>
  <si>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</si>
  <si>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</si>
  <si>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</si>
  <si>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</si>
  <si>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</si>
  <si>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</si>
  <si>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</si>
  <si>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</si>
  <si>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</si>
  <si>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</si>
  <si>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</si>
  <si>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</si>
  <si>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</si>
  <si>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</si>
  <si>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Tajador Layconsa Tri-3 c/dep. triple Blister</t>
  </si>
  <si>
    <t>Resaltador L-48 NEÓN Amarillo Layconsa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</si>
  <si>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</si>
  <si>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</si>
  <si>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</si>
  <si>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</si>
  <si>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</si>
  <si>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</si>
  <si>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</si>
  <si>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</si>
  <si>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</si>
  <si>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</si>
  <si>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</si>
  <si>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</si>
  <si>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Borrador LA-20 + Tajador con depósito doble 513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</si>
  <si>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</si>
  <si>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</si>
  <si>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</si>
  <si>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</si>
  <si>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01 Tijera escolar + 01 goma en barra de 21g Blister</t>
  </si>
  <si>
    <t>BL/1</t>
  </si>
  <si>
    <t>02 Portaminas Layconsa  + Mina Blister</t>
  </si>
  <si>
    <t>2 Bol.L-036(a/n)+1 resal.neón ama.+1 corrector 9ml</t>
  </si>
  <si>
    <t>Pack:Cola c/disp.250+Silicona 250+Goma en barra40g</t>
  </si>
  <si>
    <t>Blister Promocional</t>
  </si>
  <si>
    <t>Goma en Barra Layconsa 40gr Blister</t>
  </si>
  <si>
    <t>03 Bolígrafo TRI L-035 TRIPLUS  Azules blister</t>
  </si>
  <si>
    <t>03 Bolígrafos TRI L-035  Azul/1Negro/1Rojo Blister</t>
  </si>
  <si>
    <t>01 Marcador Para Papel Layconsa L-47 Azul Blister</t>
  </si>
  <si>
    <t>01 Marcador Para Papel Layconsa L-47 Negro Blister</t>
  </si>
  <si>
    <t>01 Marcador Para Pizarra Layconsa L-123 Azul Blister</t>
  </si>
  <si>
    <t>01 Marcador Para Pizarra Layconsa L-123 Negro Blister</t>
  </si>
  <si>
    <t>01 Marcador Permanente Layconsa L-23 Negro Blister</t>
  </si>
  <si>
    <t>01 Marcador Permanente Layconsa L-23 Azul Blister</t>
  </si>
  <si>
    <t>Folder Layconsa A4 Cut Pets c/Fastener colores surtidos</t>
  </si>
  <si>
    <t>Folder Layconsa A4 Kawaii c/Fastener colores surtidos</t>
  </si>
  <si>
    <t>Folder Layconsa A4 Princess c/Fastener colores surtidos</t>
  </si>
  <si>
    <t>Folder Layconsa A4 Unicorns c/Fastener colores surtidos</t>
  </si>
  <si>
    <t>Folder Layconsa A4 Sweet c/Fastener colores surtidos</t>
  </si>
  <si>
    <t>Folder Layconsa A4 Madala c/Fastener colores surtidos</t>
  </si>
  <si>
    <t>Folder Layconsa A4 Pre-Escolar Niña c/Fastener colores surtidos</t>
  </si>
  <si>
    <t>Folder Layconsa Oficio Cut Pets c/Fastener colores surtidos</t>
  </si>
  <si>
    <t>Folder Layconsa Oficio Kawaii c/Fastener colores surtidos</t>
  </si>
  <si>
    <t>Folder Layconsa Oficio Princess c/Fastener colores surtidos</t>
  </si>
  <si>
    <t>Folder Layconsa Oficio Unicorns c/Fastener colores surtidos</t>
  </si>
  <si>
    <t>Folder Layconsa Oficio Sweet c/Fastener colores surtidos</t>
  </si>
  <si>
    <t>Folder Layconsa Oficio Madala c/Fastener colores surtidos</t>
  </si>
  <si>
    <t>Folder Layconsa Oficio Pre-Escolar Niña c/Fastener colores surtidos</t>
  </si>
  <si>
    <t>Folder Layconsa A4 Dino Attack c/Fastener colores surtidos</t>
  </si>
  <si>
    <t>Folder Layconsa A4 Fast Racer c/Fastener colores surtidos</t>
  </si>
  <si>
    <t>Folder Layconsa A4 Pot. Extrema c/Fastener colores surtidos</t>
  </si>
  <si>
    <t>Folder Layconsa A4 Pre-Escolar Niño c/Fastener colores surtidos</t>
  </si>
  <si>
    <t>Folder Layconsa Oficio Dino Attack c/Fastener colores surtidos</t>
  </si>
  <si>
    <t>Folder Layconsa Oficio Fast Racer c/Fastener colores surtidos</t>
  </si>
  <si>
    <t>Folder Layconsa Oficio Pot. Extrema c/Fastener colores surtidos</t>
  </si>
  <si>
    <t>Folder Layconsa Oficio Pre-Escolar Niño c/Fastener colores surtidos</t>
  </si>
  <si>
    <t>Folder Layconsa A4 Femenino c/Fastener colores y diseños surtidos</t>
  </si>
  <si>
    <t>Folder Layconsa A4 Masculino c/Fastener colores y diseños surtidos</t>
  </si>
  <si>
    <t>Folder Layconsa Oficio Femenino c/Fastener colores y diseños surtidos</t>
  </si>
  <si>
    <t>Folder Layconsa Oficio Masculino c/Fastener colores y diseños surtidos</t>
  </si>
  <si>
    <t>Folder Layconsa A4 Gamer c/Fastener colores surtidos</t>
  </si>
  <si>
    <t>Folder Layconsa Oficio Gamer c/Fastener colores surtidos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</si>
  <si>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</si>
  <si>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</si>
  <si>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</si>
  <si>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</si>
  <si>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</si>
  <si>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</si>
  <si>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</si>
  <si>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</si>
  <si>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</si>
  <si>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</si>
  <si>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</si>
  <si>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</si>
  <si>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</si>
  <si>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</si>
  <si>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</si>
  <si>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</si>
  <si>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</si>
  <si>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</si>
  <si>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</si>
  <si>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</si>
  <si>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</si>
  <si>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</si>
  <si>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</si>
  <si>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</si>
  <si>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</si>
  <si>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</si>
  <si>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</si>
  <si>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</si>
  <si>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</si>
  <si>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</si>
  <si>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</si>
  <si>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</si>
  <si>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</si>
  <si>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</si>
  <si>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</si>
  <si>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</si>
  <si>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</si>
  <si>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</si>
  <si>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</si>
  <si>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</si>
  <si>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</si>
  <si>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</si>
  <si>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</si>
  <si>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</si>
  <si>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</si>
  <si>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</si>
  <si>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</si>
  <si>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</si>
  <si>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</si>
  <si>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</si>
  <si>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</si>
  <si>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</si>
  <si>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</si>
  <si>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</si>
  <si>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</si>
  <si>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</si>
  <si>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</si>
  <si>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Block de plantillas para pintar LYC</t>
  </si>
  <si>
    <t>Formato Parte Diario Maquinaria e Implementos (Block x 50) APB</t>
  </si>
  <si>
    <t>Cajita de obsequios LYC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</si>
  <si>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</si>
  <si>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</si>
  <si>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</si>
  <si>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</si>
  <si>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Base Blanca x 30 Kilos</t>
  </si>
  <si>
    <t>ALMA074</t>
  </si>
  <si>
    <t>Almacén Producción Pinturas</t>
  </si>
  <si>
    <t>Sur Base blanca bolsa x 20 kilos</t>
  </si>
  <si>
    <t>Sur Esmalte Amarillo Medio x 1 Galon</t>
  </si>
  <si>
    <t>Sur Esmalte Color Especial Lata x 5 Galones</t>
  </si>
  <si>
    <t>Sur Aceite de Linaza Doble Cocido X 1 Galón</t>
  </si>
  <si>
    <t>Sur Master Lac Rojo Oxido x 1 Galón</t>
  </si>
  <si>
    <t>Sur Master Lac Amarillo Ocre x 1 Galón</t>
  </si>
  <si>
    <t>Sur Master Lac Nogal x 1 Galón</t>
  </si>
  <si>
    <t>Sur Thinner Standard x 1 Galón</t>
  </si>
  <si>
    <t>Sur Pintura Tráfico Blanco TTP 115 x 1 Galón</t>
  </si>
  <si>
    <t>Pintura Ecosur Granito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</si>
  <si>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</si>
  <si>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</si>
  <si>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</si>
  <si>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</si>
  <si>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</si>
  <si>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</si>
  <si>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</si>
  <si>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</si>
  <si>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</si>
  <si>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</si>
  <si>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</si>
  <si>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</si>
  <si>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</si>
  <si>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Rojo Teja balde x 4 litros</t>
  </si>
  <si>
    <t>Pintura Ecosur Rosado Colonial balde x 4 litros</t>
  </si>
  <si>
    <t>Pintura Ecosur Citron balde x 4 litros</t>
  </si>
  <si>
    <t>Pintura Ecosur Azul TF balde x 4 litros</t>
  </si>
  <si>
    <t>Pintura Ecosur Océano balde x 4 litros</t>
  </si>
  <si>
    <t>Esmalte Sintetico Ecolat Blanco lata x 5 galones</t>
  </si>
  <si>
    <t>Esmalte Sintetico Ecosur Blanco Humo x 1 Galón</t>
  </si>
  <si>
    <t>Sur Master Satinado Color especial balde x 4 litros</t>
  </si>
  <si>
    <t>Sur Goltex Satinado Blanco Humo Balde X 20 Litros</t>
  </si>
  <si>
    <t>Borrador Negro LA-20</t>
  </si>
  <si>
    <t>Borrador Negro LA-30</t>
  </si>
  <si>
    <t>Borrador Layconsa Mixto LA-40</t>
  </si>
  <si>
    <t>Borrador Layconsa Mixto LA-80</t>
  </si>
  <si>
    <t>Borrador para colores BorraLor C-40 Layconsa</t>
  </si>
  <si>
    <t>Limpiatipos Layconsa x 35 gr.</t>
  </si>
  <si>
    <t>Limpiatipo Alpha x 35Gr. Celeste</t>
  </si>
  <si>
    <t>Limpiatipo Alpha x 35Gr. Fucsia</t>
  </si>
  <si>
    <t>Limpiatipo Alpha x 35Gr. Verde Alpha</t>
  </si>
  <si>
    <t>Limpiatipo Alpha x 35Gr. Morado</t>
  </si>
  <si>
    <t>Limpiatipos Layconsa Pastel x 35 gr.</t>
  </si>
  <si>
    <t>Limpiatipos Layconsa Duo Color x 35 gr.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</si>
  <si>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</si>
  <si>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</si>
  <si>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</si>
  <si>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</si>
  <si>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Tampón Grande Layconsa Office Azul L-T1</t>
  </si>
  <si>
    <t>Tampón Grande Layconsa Office Negro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</si>
  <si>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</si>
  <si>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</si>
  <si>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</si>
  <si>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</si>
  <si>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</si>
  <si>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</si>
  <si>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</si>
  <si>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</si>
  <si>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</si>
  <si>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</si>
  <si>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</si>
  <si>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</si>
  <si>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</si>
  <si>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</si>
  <si>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</si>
  <si>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</si>
  <si>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</si>
  <si>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</si>
  <si>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</si>
  <si>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</si>
  <si>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</si>
  <si>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</si>
  <si>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</si>
  <si>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</si>
  <si>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</si>
  <si>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</si>
  <si>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</si>
  <si>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</si>
  <si>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</si>
  <si>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</si>
  <si>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</si>
  <si>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</si>
  <si>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</si>
  <si>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</si>
  <si>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</si>
  <si>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</si>
  <si>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</si>
  <si>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</si>
  <si>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</si>
  <si>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</si>
  <si>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</si>
  <si>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</si>
  <si>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</si>
  <si>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</si>
  <si>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</si>
  <si>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</si>
  <si>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</si>
  <si>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</si>
  <si>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</si>
  <si>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</si>
  <si>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</si>
  <si>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</si>
  <si>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</si>
  <si>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</si>
  <si>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</si>
  <si>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</si>
  <si>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</si>
  <si>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</si>
  <si>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</si>
  <si>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</si>
  <si>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</si>
  <si>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</si>
  <si>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</si>
  <si>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</si>
  <si>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</si>
  <si>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</si>
  <si>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</si>
  <si>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</si>
  <si>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</si>
  <si>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</si>
  <si>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</si>
  <si>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</si>
  <si>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</si>
  <si>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</si>
  <si>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</si>
  <si>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</si>
  <si>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</si>
  <si>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</si>
  <si>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</si>
  <si>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</si>
  <si>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</si>
  <si>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</si>
  <si>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</si>
  <si>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</si>
  <si>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</si>
  <si>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</si>
  <si>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</si>
  <si>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</si>
  <si>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</si>
  <si>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</si>
  <si>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</si>
  <si>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</si>
  <si>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</si>
  <si>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</si>
  <si>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</si>
  <si>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</si>
  <si>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</si>
  <si>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</si>
  <si>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</si>
  <si>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</si>
  <si>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</si>
  <si>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</si>
  <si>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</si>
  <si>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</si>
  <si>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</si>
  <si>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</si>
  <si>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</si>
  <si>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</si>
  <si>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</si>
  <si>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</si>
  <si>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</si>
  <si>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</si>
  <si>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</si>
  <si>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</si>
  <si>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</si>
  <si>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</si>
  <si>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</si>
  <si>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</si>
  <si>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</si>
  <si>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</si>
  <si>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</si>
  <si>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</si>
  <si>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</si>
  <si>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</si>
  <si>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</si>
  <si>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</si>
  <si>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</si>
  <si>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</si>
  <si>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</si>
  <si>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</si>
  <si>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</si>
  <si>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</si>
  <si>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</si>
  <si>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</si>
  <si>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</si>
  <si>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</si>
  <si>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</si>
  <si>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</si>
  <si>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</si>
  <si>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</si>
  <si>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</si>
  <si>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</si>
  <si>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</si>
  <si>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</si>
  <si>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</si>
  <si>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</si>
  <si>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</si>
  <si>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</si>
  <si>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</si>
  <si>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</si>
  <si>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</si>
  <si>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</si>
  <si>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</si>
  <si>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</si>
  <si>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</si>
  <si>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</si>
  <si>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</si>
  <si>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</si>
  <si>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</si>
  <si>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</si>
  <si>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Cuadr. 80H  Layconsa Teens</t>
  </si>
  <si>
    <t>Cuad. Grap. A-4 Ray. 80H 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</si>
  <si>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</si>
  <si>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</si>
  <si>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</si>
  <si>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Cuadriculado Layconsa Teens 50 Hojas</t>
  </si>
  <si>
    <t>ALMA073</t>
  </si>
  <si>
    <t>Almacén Producción Cuadernos</t>
  </si>
  <si>
    <t>Cuad. Grap. A-4 Cuad. 88H Layconsa Princess Club</t>
  </si>
  <si>
    <t>Cuad. Grap. A-4 Cuad. 88H Layconsa Sweet</t>
  </si>
  <si>
    <t>Cuad. Grap. A-4 Cuad. 88H Layconsa Cute Pets</t>
  </si>
  <si>
    <t>Cuad. Grap. A-4 Ray. Layconsa Street Racer 88h</t>
  </si>
  <si>
    <t>Cuad. Grap. A-4 Cuad. 88H Layconsa Potencia Extrema</t>
  </si>
  <si>
    <t>Cuad. Grap. A-4 Ray. Layconsa Mandalas 88h</t>
  </si>
  <si>
    <t>Cuad.Grap. Cuad. 72H Arcoíris s/Sticker</t>
  </si>
  <si>
    <t>Cuad.Grap. Ray. 72H Arcoíris s/Sticker</t>
  </si>
  <si>
    <t>Cuad. Grap.T.Renglón 72H Arcoíris s/Sticker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</si>
  <si>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</si>
  <si>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</si>
  <si>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</si>
  <si>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</si>
  <si>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</si>
  <si>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</si>
  <si>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</si>
  <si>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</si>
  <si>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</si>
  <si>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</si>
  <si>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</si>
  <si>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</si>
  <si>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</si>
  <si>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</si>
  <si>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</si>
  <si>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</si>
  <si>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A4 Cuadr. 80 H Layconsa Estudiante</t>
  </si>
  <si>
    <t>Cuad. Grap. A4 Ray. 80H  Layconsa Estudiante</t>
  </si>
  <si>
    <t>Cuad. Grap. A4 Trip.Renglón 80H Layconsa Estudiante</t>
  </si>
  <si>
    <t>Cuad. Grap. Cuadr. 80 H. c/marco rojo Layconsa Puppy</t>
  </si>
  <si>
    <t>Cuad. Grap. Cuadr. Princess Club Layconsa 80 H</t>
  </si>
  <si>
    <t>Cuad. Grap. T.R. Caligráfico Princess Club Layconsa 80 H</t>
  </si>
  <si>
    <t>Cuad. Grap. Cuadr. Unicornios Layconsa 80 H</t>
  </si>
  <si>
    <t>Cuad. Grap. T.R. Caligráfico Unicornios Layconsa 80 H</t>
  </si>
  <si>
    <t>Cuad. Grap. Cuadr. Cute Pets Layconsa 80 H</t>
  </si>
  <si>
    <t>Cuad. Grap. Cuadr. Sweet Layconsa 80 H</t>
  </si>
  <si>
    <t>Cuad. Grap. Cuadr. Mandalas Layconsa 80 H</t>
  </si>
  <si>
    <t>Cuad. Grap. Cuadr. Dino Attack Layconsa 80 H</t>
  </si>
  <si>
    <t>Cuad. Grap. Cuadr. Street Racer Layconsa 80 H</t>
  </si>
  <si>
    <t>Cuad. Grap. Cuadr. Potencia Extrema Layconsa 80 H</t>
  </si>
  <si>
    <t>Cuaderno Anillado A4 dis. Mujer Arcoíris T/dura</t>
  </si>
  <si>
    <t>Cuaderno Anillado A4 dis. Hombre Arcoíris T/dura</t>
  </si>
  <si>
    <t>Cuaderno Anillado A4 básicos 160 H. Arcoíris T/dura</t>
  </si>
  <si>
    <t>Cuaderno Anillado A4 pastel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</si>
  <si>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</si>
  <si>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</si>
  <si>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</si>
  <si>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</si>
  <si>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Cuadriculado Deluxe 92 hj. A4 Layconsa PC</t>
  </si>
  <si>
    <t>Cuad. Grap. Ray. deluxe 92 hj. A4 Layconsa PC</t>
  </si>
  <si>
    <t>Cuad. Grap. Triple Reng. deluxe 92 hj. A4 Layconsa PC</t>
  </si>
  <si>
    <t>Cuad. Grap. Triple raya sur 80H Layconsa Estudiante</t>
  </si>
  <si>
    <t>Cuad. Grap. T.R. Caligráfico Dino Attack Layconsa 80 H.</t>
  </si>
  <si>
    <t>Cuad. Grap. Cuadr. Kawaii Layconsa 80 H.</t>
  </si>
  <si>
    <t>Cuad. Grap. Cuadr. Fast Racer Layconsa 80 H</t>
  </si>
  <si>
    <t>Cuad.Grap. Cuad. 72H Arcoíris femenino</t>
  </si>
  <si>
    <t>Cuad.Grap. Ray. 72H Arcoíris femenino</t>
  </si>
  <si>
    <t>Cuad.Grap. T. Renglón 72H Arcoíris femenino</t>
  </si>
  <si>
    <t>Cuad.Grap. Cuad. 72H Arcoíris masculino</t>
  </si>
  <si>
    <t>Cuad.Grap. Ray. 72H Arcoíris masculino</t>
  </si>
  <si>
    <t>Cuad.Grap. T. Renglón 72H Arcoíris masculino</t>
  </si>
  <si>
    <t>Cuad. Grap. T.R. Caligráfico Kawaii Layconsa 80 H.</t>
  </si>
  <si>
    <t>Cuad. Grap. Ray. Kawaii Layconsa 80 H.</t>
  </si>
  <si>
    <t>Cuad. Grap. Ray. Princess Club Layconsa 80 H</t>
  </si>
  <si>
    <t>Cuad. Grap. Ray. Unicornios Layconsa 80 H</t>
  </si>
  <si>
    <t>Cuad. Grap. T.R. Caligráfico Cute Pets Layconsa 80 H</t>
  </si>
  <si>
    <t>Cuad. Grap. Ray. Cute Pets Layconsa 80 H</t>
  </si>
  <si>
    <t>Cuad. Grap. Ray. Sweet Layconsa 80 H</t>
  </si>
  <si>
    <t>Cuad. Grap. Ray. Mandalas Layconsa 80 H</t>
  </si>
  <si>
    <t>Cuad. Grap. Ray. Dino Attack Layconsa 80 H</t>
  </si>
  <si>
    <t>Cuad. Grap. T.R. Caligráfico Fast Racer Layconsa 80 H</t>
  </si>
  <si>
    <t>Cuad. Grap. Ray. Fast Racer Layconsa 80 H</t>
  </si>
  <si>
    <t>Cuad. Grap. Ray. Potencia Extrema Layconsa 80 H</t>
  </si>
  <si>
    <t>Cuad. Grap. A4 Cuadriculado Lucas Markin 80 Hj</t>
  </si>
  <si>
    <t>Cuad. Grap. A4 Rayado Lucas Markin 80 Hj</t>
  </si>
  <si>
    <t>Cuad. Grap. A4 T. Renglón Lucas Markin 80 Hj</t>
  </si>
  <si>
    <t>Cuad.Grap. Cuad. 80H Lucas Markin fem. c/sticker</t>
  </si>
  <si>
    <t>Cuad.Grap. Ray 80H Lucas Markin fem. c/sticker</t>
  </si>
  <si>
    <t>Cuad.Grap. T. Renglón 80H Lucas Markin fem c/sticker</t>
  </si>
  <si>
    <t>Cuad.Grap. Cuad. 80H Lucas Markin masc. c/sticker</t>
  </si>
  <si>
    <t>Cuad.Grap. Ray 80H Lucas Markin masc. c/sticker</t>
  </si>
  <si>
    <t>Cuad.Grap. T. Renglón 80H Lucas Markin masc. c/sticker</t>
  </si>
  <si>
    <t>Cuad. Grap. Cuadr. 80 H. sin sticker c/marco rojo Layconsa Puppy</t>
  </si>
  <si>
    <t>Cuad. Grap. 1x1 c/mco rojo 80 H. Layconsa Puppy</t>
  </si>
  <si>
    <t>Cuad. Grap. 2x2 c/mco rojo 80 H. Layconsa Puppy</t>
  </si>
  <si>
    <t>Cuad. Grap. Decroly c/mco rojo 80 H. Layconsa Puppy</t>
  </si>
  <si>
    <t>Cuad. Grap. Triple Max c/mco rojo  80 H. Layconsa Puppy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</si>
  <si>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</si>
  <si>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</si>
  <si>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</si>
  <si>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</si>
  <si>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Cuad. Grap. Cuadriculado Lucas Markin 100 Hj</t>
  </si>
  <si>
    <t>Cuad. Grap. Rayado Lucas Markin 100 Hj</t>
  </si>
  <si>
    <t>Cuad. Grap. T. Renglón Lucas Markin 100 Hj</t>
  </si>
  <si>
    <t>Cuad. Grap. Cuadric. c/celeste 80H Layconsa Estudiante</t>
  </si>
  <si>
    <t>Cuad. Grap.Triple Reng. sin sombra 80H Layconsa Estudiante</t>
  </si>
  <si>
    <t>Cuad.Grap. Cuad. 70 H Arcoíris</t>
  </si>
  <si>
    <t>Cuad.Grap. Ray. 70 H Arcoíris</t>
  </si>
  <si>
    <t>Cuad. Grap.T.Renglón 70 H Arcoíris</t>
  </si>
  <si>
    <t>Cuad.Grap. 1x1 Cuadrimax. 70 H Arcoíris</t>
  </si>
  <si>
    <t>Cuad.Grap. Cuad. 70 H Arcoíris Femenino</t>
  </si>
  <si>
    <t>Cuad.Grap. Ray. 70 H Arcoíris Femenino</t>
  </si>
  <si>
    <t>Cuad.Grap. T. Renglón 70 H Arcoíris Femenino</t>
  </si>
  <si>
    <t>Cuad.Grap. 1x1 Cuadrimax. 70 H Arcoíris Femenino</t>
  </si>
  <si>
    <t>Cuad.Grap. Cuad. 70 H Arcoíris Masculino</t>
  </si>
  <si>
    <t>Cuad.Grap. Ray. 70 H Arcoíris Masculino</t>
  </si>
  <si>
    <t>Cuad.Grap. T. Renglón 70 H Arcoíris Masculino</t>
  </si>
  <si>
    <t>Cuad.Grap. 1x1 Cuadrimax. 70 H Arcoíris Masculino</t>
  </si>
  <si>
    <t>Cuad. Grap. 1X1 Lucas Markin 100 Hj</t>
  </si>
  <si>
    <t>Cuad. Grap. 2X2 Lucas Markin 100 Hj</t>
  </si>
  <si>
    <t>Cuad. Grap. Decroly Lucas Markin 100 Hj</t>
  </si>
  <si>
    <t>Cuad. Grap. A4 1x1 Lucas Markin 80 Hj</t>
  </si>
  <si>
    <t>Cuad. Grap. A4 2x2 Lucas Markin 80 Hj</t>
  </si>
  <si>
    <t>Cuad. Grap. A4 Decroly Lucas Markin 80 Hj</t>
  </si>
  <si>
    <t>Cuad.Grap. 1x1 80H Lucas Markin fem c/sticker</t>
  </si>
  <si>
    <t>Cuad.Grap. 2x2 80H Lucas Markin fem c/sticker</t>
  </si>
  <si>
    <t>Cuad.Grap. Decroly 80H Lucas Markin fem c/sticker</t>
  </si>
  <si>
    <t>Cuad.Grap. 1x1 80H Lucas Markin masc. c/sticker</t>
  </si>
  <si>
    <t>Cuad.Grap. 2x2 80H Lucas Markin masc. c/sticker</t>
  </si>
  <si>
    <t>Cuad. Grap. A4 Triple Max Lucas Markin 80 Hj c/sticker</t>
  </si>
  <si>
    <t>Cuad.Grap. Triple Max 80H Lucas Markin fem c/sticker</t>
  </si>
  <si>
    <t>Cuad. Grap. Triple Max Lucas Markin 100 Hj</t>
  </si>
  <si>
    <t>Cuad. Grap. cuadriculado 100 Hj Markin</t>
  </si>
  <si>
    <t>Bandeja Acrílica Layconsa Office 2 Pisos Negro</t>
  </si>
  <si>
    <t>Portatacos Acrílico Layconsa Office Sin Papel Topacio</t>
  </si>
  <si>
    <t>Portatacos Acrílico Layconsa Office Sin Papel Cristal</t>
  </si>
  <si>
    <t>Portaclips Layconsa Office Topacio</t>
  </si>
  <si>
    <t>Bandeja Acrílica Layconsa Office 1 Piso Negro</t>
  </si>
  <si>
    <t>Bandeja Acrílica Layconsa Office 1 Piso Topacio</t>
  </si>
  <si>
    <t>Revistero Plastificado Layconsa Office, Lomo Ancho, t/Oficio</t>
  </si>
  <si>
    <t>Archivador Plastificado Negro, Lomo Ancho, t/Oficio Layconsa Office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</si>
  <si>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</si>
  <si>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</si>
  <si>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</si>
  <si>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Azul</t>
  </si>
  <si>
    <t>Tablero Acrílico Layconsa Office T/Oficio Topacio</t>
  </si>
  <si>
    <t>Cartuchera de 6 Divisiones Internas Layconsa Box Niños</t>
  </si>
  <si>
    <t>Cartuchera Plástica Layconsa Jumbo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</si>
  <si>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</si>
  <si>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</si>
  <si>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</si>
  <si>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</si>
  <si>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Amarilla 180gr. Rllx1 Layconsa 50x70</t>
  </si>
  <si>
    <t>Cartulina Verde 180gr. Rllx1 Layconsa 50x70</t>
  </si>
  <si>
    <t>Cartulina Naranja 180gr. Rllx1 Layconsa 50x70</t>
  </si>
  <si>
    <t>Cartulina Azul 180gr. Rllx1 Layconsa 50x70</t>
  </si>
  <si>
    <t>Cartulina Rojo 180gr. Rllx1 Layconsa 50x70</t>
  </si>
  <si>
    <t>Cartulina escolar Celeste Rllx2 Layconsa</t>
  </si>
  <si>
    <t>ROLL/2</t>
  </si>
  <si>
    <t>Cartulina escolar Rosada Rllx2 Layconsa</t>
  </si>
  <si>
    <t>Cartulina escolar Verde Rllx2 Layconsa</t>
  </si>
  <si>
    <t>Cartulina escolar Amarillo Rllx2 Layconsa</t>
  </si>
  <si>
    <t>Cartulina escolar Rojo Rllx2 Layconsa</t>
  </si>
  <si>
    <t>Cartulina Blanca 180gr. Rllx1 Layconsa 50x70</t>
  </si>
  <si>
    <t>Cartulina Negra 180gr. Rllx1 Layconsa 50x70</t>
  </si>
  <si>
    <t>Cartulina Duplex 200gr. Rllx1 Layconsa 70x100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</si>
  <si>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</si>
  <si>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</si>
  <si>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</si>
  <si>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</si>
  <si>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</si>
  <si>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</si>
  <si>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</si>
  <si>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</si>
  <si>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Cartulina escolar Blanca Rllx3 Layconsa</t>
  </si>
  <si>
    <t>ROLL/3</t>
  </si>
  <si>
    <t>Cartulina escolar Negra Rllx2 Layconsa</t>
  </si>
  <si>
    <t>Peine 10A Colores Surtidos Grande Lucas</t>
  </si>
  <si>
    <t>Peine Patrullero Rojo Sin Cola 16A Lucas (NOPUCID)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</si>
  <si>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</si>
  <si>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</si>
  <si>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</si>
  <si>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</si>
  <si>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</si>
  <si>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</si>
  <si>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</si>
  <si>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</si>
  <si>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Block A4 Cuadriculado Layconsa 50 H.</t>
  </si>
  <si>
    <t>Block A4 Rayado Layconsa 50 H.</t>
  </si>
  <si>
    <t>Block A4 Triple Renglón Layconsa 50 H.</t>
  </si>
  <si>
    <t>Art Book Layconsa Papel Arcoiris 40 HJ.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</si>
  <si>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</si>
  <si>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</si>
  <si>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</si>
  <si>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</si>
  <si>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</si>
  <si>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Cuadriculado Rllx3 57x83cm 56gr. 25mm</t>
  </si>
  <si>
    <t>Papelógrafo Rayado Rllx3 57x83cm 56gr. 25mm</t>
  </si>
  <si>
    <t>Papelógrafo Blanco Rllx3 57x83cm  56gr. 25mm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</si>
  <si>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</si>
  <si>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</si>
  <si>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</si>
  <si>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</si>
  <si>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</si>
  <si>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</si>
  <si>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</si>
  <si>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</si>
  <si>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</si>
  <si>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</si>
  <si>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</si>
  <si>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</si>
  <si>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</si>
  <si>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</si>
  <si>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</si>
  <si>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</si>
  <si>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</si>
  <si>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</si>
  <si>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</si>
  <si>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</si>
  <si>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</si>
  <si>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</si>
  <si>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</si>
  <si>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</si>
  <si>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</si>
  <si>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</si>
  <si>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</si>
  <si>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</si>
  <si>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</si>
  <si>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</si>
  <si>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</si>
  <si>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</si>
  <si>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</si>
  <si>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</si>
  <si>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</si>
  <si>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</si>
  <si>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</si>
  <si>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</si>
  <si>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</si>
  <si>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Papel Celofan Surtido Pqtx2Layconsa</t>
  </si>
  <si>
    <t>PQ/2</t>
  </si>
  <si>
    <t>Papel Celofan Cristal Pqtx3 Layconsa</t>
  </si>
  <si>
    <t>PQ/3</t>
  </si>
  <si>
    <t>Papel Crepé Rojo Pqtx1 Layconsa</t>
  </si>
  <si>
    <t>PQ/1</t>
  </si>
  <si>
    <t>Papel Crepé Blanco Pqtx1 Layconsa</t>
  </si>
  <si>
    <t>Papel Crepé Amarillo Pqtx1 Layconsa</t>
  </si>
  <si>
    <t>Papel Crepé Dorado Pqtx1 Layconsa</t>
  </si>
  <si>
    <t>Papel Crepé Plateado Pqtx1 Layconsa</t>
  </si>
  <si>
    <t>Papel Crepé Carne Pqtx1 Layconsa</t>
  </si>
  <si>
    <t>Papel Crepé Naranja Pqtx1 Layconsa</t>
  </si>
  <si>
    <t>Papel Crepé Verde Pqtx1 Layconsa</t>
  </si>
  <si>
    <t>Papel Crepé Melón Pqtx1 Layconsa</t>
  </si>
  <si>
    <t>Papel Crepé Turquesa Pqtx1 Layconsa</t>
  </si>
  <si>
    <t>Papel Crepé Verde Claro Pqtx1 Layconsa</t>
  </si>
  <si>
    <t>Papel Crepé Azul Pqtx1 Layconsa</t>
  </si>
  <si>
    <t>Papel Glasine Pqtx3 Layconsa 50x75</t>
  </si>
  <si>
    <t>Papel Kraft 50gr. Pqtx3 Layconsa 70x100</t>
  </si>
  <si>
    <t>Papel Lustre Amarillo Rllx3 Layconsa 50x70</t>
  </si>
  <si>
    <t>Papel Lustre Azulino Rllx3 Layconsa 50x70</t>
  </si>
  <si>
    <t>Papel Lustre Blanco Rllx3 Layconsa 50x70</t>
  </si>
  <si>
    <t>Papel Lustre Celeste Rllx3 Layconsa 50x70</t>
  </si>
  <si>
    <t>Papel Lustre Fucsia Rllx3 Layconsa 50x70</t>
  </si>
  <si>
    <t>Papel Lustre Lila Rllx3 Layconsa 50x70</t>
  </si>
  <si>
    <t>Papel Lustre Marrón Rllx3 Layconsa 50x70</t>
  </si>
  <si>
    <t>Papel Lustre Naranja Oscuro Rllx3 Layconsa 50x70</t>
  </si>
  <si>
    <t>Papel Lustre Negro Rllx3 Layconsa 50x70</t>
  </si>
  <si>
    <t>Papel Lustre Rojo Rllx3 Layconsa 50x70</t>
  </si>
  <si>
    <t>Papel Lustre Rosado Rllx3 Layconsa 50x70</t>
  </si>
  <si>
    <t>Papel Lustre Verde Claro Rllx3 Layconsa 50x70</t>
  </si>
  <si>
    <t>Papel Lustre verde Oscuro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</si>
  <si>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</si>
  <si>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</si>
  <si>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</si>
  <si>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</si>
  <si>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</si>
  <si>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</si>
  <si>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</si>
  <si>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</si>
  <si>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</si>
  <si>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</si>
  <si>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</si>
  <si>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</si>
  <si>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</si>
  <si>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</si>
  <si>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</si>
  <si>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</si>
  <si>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Mantequilla Rll x 1 Layconsa 50x70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</si>
  <si>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</si>
  <si>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</si>
  <si>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</si>
  <si>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</si>
  <si>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</si>
  <si>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</si>
  <si>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</si>
  <si>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</si>
  <si>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</si>
  <si>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</si>
  <si>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</si>
  <si>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</si>
  <si>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</si>
  <si>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</si>
  <si>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</si>
  <si>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</si>
  <si>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</si>
  <si>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</si>
  <si>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</si>
  <si>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</si>
  <si>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</si>
  <si>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</si>
  <si>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</si>
  <si>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</si>
  <si>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</si>
  <si>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</si>
  <si>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</si>
  <si>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</si>
  <si>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</si>
  <si>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</si>
  <si>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</si>
  <si>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</si>
  <si>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</si>
  <si>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</si>
  <si>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</si>
  <si>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</si>
  <si>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</si>
  <si>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</si>
  <si>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</si>
  <si>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</si>
  <si>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</si>
  <si>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</si>
  <si>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</si>
  <si>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</si>
  <si>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</si>
  <si>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</si>
  <si>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</si>
  <si>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</si>
  <si>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</si>
  <si>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</si>
  <si>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</si>
  <si>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</si>
  <si>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</si>
  <si>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</si>
  <si>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</si>
  <si>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</si>
  <si>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</si>
  <si>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</si>
  <si>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</si>
  <si>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</si>
  <si>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</si>
  <si>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</si>
  <si>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</si>
  <si>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</si>
  <si>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</si>
  <si>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</si>
  <si>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</si>
  <si>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</si>
  <si>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</si>
  <si>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</si>
  <si>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</si>
  <si>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</si>
  <si>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</si>
  <si>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</si>
  <si>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</si>
  <si>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</si>
  <si>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</si>
  <si>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</si>
  <si>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</si>
  <si>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</si>
  <si>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</si>
  <si>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</si>
  <si>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</si>
  <si>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</si>
  <si>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</si>
  <si>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</si>
  <si>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</si>
  <si>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</si>
  <si>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</si>
  <si>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</si>
  <si>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</si>
  <si>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</si>
  <si>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</si>
  <si>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</si>
  <si>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</si>
  <si>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</si>
  <si>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</si>
  <si>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</si>
  <si>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</si>
  <si>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</si>
  <si>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</si>
  <si>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</si>
  <si>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</si>
  <si>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</si>
  <si>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</si>
  <si>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</si>
  <si>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</si>
  <si>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</si>
  <si>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</si>
  <si>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</si>
  <si>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</si>
  <si>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</si>
  <si>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</si>
  <si>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</si>
  <si>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</si>
  <si>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</si>
  <si>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</si>
  <si>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</si>
  <si>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</si>
  <si>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</si>
  <si>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</si>
  <si>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</si>
  <si>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</si>
  <si>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</si>
  <si>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</si>
  <si>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</si>
  <si>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</si>
  <si>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</si>
  <si>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</si>
  <si>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</si>
  <si>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</si>
  <si>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</si>
  <si>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</si>
  <si>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</si>
  <si>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</si>
  <si>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</si>
  <si>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</si>
  <si>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</si>
  <si>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</si>
  <si>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</si>
  <si>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</si>
  <si>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</si>
  <si>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</si>
  <si>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</si>
  <si>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</si>
  <si>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</si>
  <si>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</si>
  <si>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</si>
  <si>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</si>
  <si>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</si>
  <si>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</si>
  <si>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</si>
  <si>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</si>
  <si>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</si>
  <si>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</si>
  <si>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</si>
  <si>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</si>
  <si>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</si>
  <si>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</si>
  <si>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</si>
  <si>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</si>
  <si>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</si>
  <si>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</si>
  <si>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</si>
  <si>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</si>
  <si>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</si>
  <si>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</si>
  <si>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</si>
  <si>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</si>
  <si>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</si>
  <si>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</si>
  <si>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</si>
  <si>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</si>
  <si>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</si>
  <si>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Lápiz Estudiante C/B P.S.</t>
  </si>
  <si>
    <t>Lápiz Grafito Neón Para Blister</t>
  </si>
  <si>
    <t>Lápiz Teknic-o 2B para Blister</t>
  </si>
  <si>
    <t>Lápiz Tabla de Multiplicar para Blister</t>
  </si>
  <si>
    <t>Masa Para Témperas Negra LYC P.S.</t>
  </si>
  <si>
    <t>Masa Para Témperas Amarilla LYC P.S.</t>
  </si>
  <si>
    <t>Masa Para Témperas Roja LYC P.S.</t>
  </si>
  <si>
    <t>Masa Para Témperas Verde LYC P.S.</t>
  </si>
  <si>
    <t>Masa Para Témperas Azul LYC P.S.</t>
  </si>
  <si>
    <t>Masa Para Témperas Blanca LYC P.S.</t>
  </si>
  <si>
    <t>Masa Para Témperas Marrón LYC P.S.</t>
  </si>
  <si>
    <t>Masa Para Témpera Neón Amarilla LYC P.S.</t>
  </si>
  <si>
    <t>Masa Para Témpera Neón Roja LYC P.S.</t>
  </si>
  <si>
    <t>Masa Para Témpera Neón Verde LYC P.S.</t>
  </si>
  <si>
    <t>Masa Para Témpera Neón Naranja LYC P.S.</t>
  </si>
  <si>
    <t>Masa Para Témperas Naranja LYC P.S.</t>
  </si>
  <si>
    <t>Masa Para Témperas Rosada LYC P.S.</t>
  </si>
  <si>
    <t>Masa Para Témperas Verde Claro LYC P.S.</t>
  </si>
  <si>
    <t>Masa Para Témperas Piel LYC P.S.</t>
  </si>
  <si>
    <t>Masa Témpera Metálica Dorado</t>
  </si>
  <si>
    <t>Masa Témpera Metálica Rojo</t>
  </si>
  <si>
    <t>Masa Témpera Metálica Verde</t>
  </si>
  <si>
    <t>Masa Para Témperas Verde Limón P.S.</t>
  </si>
  <si>
    <t>Dispersión al Agua Azul Rojizo</t>
  </si>
  <si>
    <t>ALMA072</t>
  </si>
  <si>
    <t>Almacén Producción Masas y Tintas</t>
  </si>
  <si>
    <t>Dispersión al Agua Verde</t>
  </si>
  <si>
    <t>Masa Para Témperas Escarchada Plateado LYC P.S.</t>
  </si>
  <si>
    <t>Masa Para Témperas Escarchada Violeta LYC P.S.</t>
  </si>
  <si>
    <t>Masa Para Témperas Escarchada Amarillo LYC P.S.</t>
  </si>
  <si>
    <t>Masa Para Témperas Escarchada Rojo LYC P.S.</t>
  </si>
  <si>
    <t>Látex Vinil Acrílico al 55% Témperas</t>
  </si>
  <si>
    <t>Masa Para Témpera Neón Celeste  P.S.</t>
  </si>
  <si>
    <t>Tempera Metálica Verde 20 cc P.S.</t>
  </si>
  <si>
    <t>Tempera Metálica Rojo 20 cc P.S.</t>
  </si>
  <si>
    <t>Tempera Metálica Azul 20 cc P.S.</t>
  </si>
  <si>
    <t>Tempera Metálica Plateado 20 cc P.S.</t>
  </si>
  <si>
    <t>Tempera Metálica Dorado 20 cc P.S.</t>
  </si>
  <si>
    <t>Masa Para Témperas Escarchada Verde LYC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</si>
  <si>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</si>
  <si>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</si>
  <si>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</si>
  <si>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</si>
  <si>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</si>
  <si>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Crayón Puppy Jumbo Neón Color Rosado P.S.</t>
  </si>
  <si>
    <t>Formado Crayón Super Jumbo Bester Anaranjado</t>
  </si>
  <si>
    <t>Formado Crayón Jumbo Kores Salmon</t>
  </si>
  <si>
    <t>Formado Crayón Triangular  Jumbo LYC Rojo</t>
  </si>
  <si>
    <t>Formado Crayón Triangular  Jumbo LYC Amarillo</t>
  </si>
  <si>
    <t>Formado Crayón Triangular  Jumbo LYC Anaranjado</t>
  </si>
  <si>
    <t>Formado Crayón Triangular  Jumbo LYC Verde Claro</t>
  </si>
  <si>
    <t>Formado Crayón Triangular  Jumbo LYC Verde Oscuro</t>
  </si>
  <si>
    <t>Formado Crayón Triangular  Jumbo LYC Celeste</t>
  </si>
  <si>
    <t>Formado Crayón Triangular  Jumbo LYC Azul</t>
  </si>
  <si>
    <t>Formado Crayón Triangular  Jumbo LYC Violeta</t>
  </si>
  <si>
    <t>Formado Crayón Triangular  Jumbo LYC Negro</t>
  </si>
  <si>
    <t>Formado Crayón Triangular  Jumbo LYC Rosado</t>
  </si>
  <si>
    <t>Formado Crayón Triangular  Jumbo LYC Marrón</t>
  </si>
  <si>
    <t>Scrap Crayón LYC Rojo</t>
  </si>
  <si>
    <t>Formado Crayón Delgado c/Etiqueta LYC Amarillo</t>
  </si>
  <si>
    <t>Formado Crayón Delgado c/Etiqueta LYC Verde Claro</t>
  </si>
  <si>
    <t>Base Molienda de Crayones Roja LYC P.S.</t>
  </si>
  <si>
    <t>Base Molienda de Crayones Verde Oscuro LYC P.S.</t>
  </si>
  <si>
    <t>Base Molienda de Crayones Verde Claro LYC P.S.</t>
  </si>
  <si>
    <t>Base Molienda de Crayones Violeta LYC P.S.</t>
  </si>
  <si>
    <t>Base Molienda de Crayones Celeste LYC P.S.</t>
  </si>
  <si>
    <t>Base Molienda de Crayones Amarilla LYC P.S.</t>
  </si>
  <si>
    <t>Base Molienda de Crayones Marrón P.S.</t>
  </si>
  <si>
    <t>Base Molienda de Crayones Naranja P.S.</t>
  </si>
  <si>
    <t>Base Molienda de Crayones Negro P.S.</t>
  </si>
  <si>
    <t>Base Molienda de Crayones Azul P.S.</t>
  </si>
  <si>
    <t>Base Molienda de Crayones Rosado P.S.</t>
  </si>
  <si>
    <t>Formado Crayón   Jumbo LYC Blanco</t>
  </si>
  <si>
    <t>Formado Crayón  c/Etiqueta Jumbo LYC Rojo</t>
  </si>
  <si>
    <t>Formado Crayón   c/Etiqueta Jumbo LYC Amarillo</t>
  </si>
  <si>
    <t>Formado Crayón   c/Etiqueta Jumbo LYC Blanco</t>
  </si>
  <si>
    <t>Formado Crayón   c/Etiqueta Jumbo LYC Anaranjado</t>
  </si>
  <si>
    <t>Formado Crayón   c/Etiqueta Jumbo LYC Verde Claro</t>
  </si>
  <si>
    <t>Formado Crayón   c/Etiqueta Jumbo LYC Verde Oscuro</t>
  </si>
  <si>
    <t>Formado Crayón   c/Etiqueta Jumbo LYC Celeste</t>
  </si>
  <si>
    <t>Formado Crayón   c/Etiqueta Jumbo LYC Azul</t>
  </si>
  <si>
    <t>Formado Crayón   c/Etiqueta Jumbo LYC Violeta</t>
  </si>
  <si>
    <t>Formado Crayón   c/Etiqueta Jumbo LYC Negro</t>
  </si>
  <si>
    <t>Formado Crayón   c/Etiqueta Jumbo LYC Rosado</t>
  </si>
  <si>
    <t>Formado Crayón   c/Etiqueta Jumbo LYC Marrón</t>
  </si>
  <si>
    <t>Formado Crayón  Triangular Jumbo LYC Blanco</t>
  </si>
  <si>
    <t>Base Molienda de Crayones Blanco P.S.</t>
  </si>
  <si>
    <t>Scrap Crayón Verde Neón</t>
  </si>
  <si>
    <t>Scrap Crayón Celeste Neón</t>
  </si>
  <si>
    <t>Scrap Crayón Rojo Neón</t>
  </si>
  <si>
    <t>Scrap Crayón Anaranjado Neón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</si>
  <si>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</si>
  <si>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</si>
  <si>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</si>
  <si>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</si>
  <si>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</si>
  <si>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</si>
  <si>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Base Molienda de Plastilina Carne LYC P.S.</t>
  </si>
  <si>
    <t>ALMA076</t>
  </si>
  <si>
    <t>Almacén Producción Utiles AQP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</si>
  <si>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</si>
  <si>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</si>
  <si>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</si>
  <si>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</si>
  <si>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</si>
  <si>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</si>
  <si>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</si>
  <si>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</si>
  <si>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</si>
  <si>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</si>
  <si>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Celeste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</si>
  <si>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</si>
  <si>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</si>
  <si>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</si>
  <si>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</si>
  <si>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</si>
  <si>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</si>
  <si>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Naranja P.S.</t>
  </si>
  <si>
    <t>Base Molienda de Plastilina Negro P.S.</t>
  </si>
  <si>
    <t>Masa Plastilina Bester Rojo</t>
  </si>
  <si>
    <t>Masa Plastilina Bester Verde Claro</t>
  </si>
  <si>
    <t>Masa Plastilina Bester Negro</t>
  </si>
  <si>
    <t>Plastilina en Masa Color Violeta Neón P.S.</t>
  </si>
  <si>
    <t>Thinner Estandar Pintadoras</t>
  </si>
  <si>
    <t>Estuche PVC Marcador 047 x 10</t>
  </si>
  <si>
    <t>Barril Para Marcador 130 Blanco</t>
  </si>
  <si>
    <t>Barril LYC Para Marcador Grabado L-123 Blanco</t>
  </si>
  <si>
    <t>Barril Para Bolígrafo 036 Cristal P.S.</t>
  </si>
  <si>
    <t>Barril LYC Para Marcador Grabado L-123R Blanco</t>
  </si>
  <si>
    <t>Barril Para Marcador 042 - N Blanco P.S.</t>
  </si>
  <si>
    <t>Barril Para Marcador LYC Grabado 123 - N Blanco</t>
  </si>
  <si>
    <t>Barril Para Marcador LYC Grabado 023 - N Negro</t>
  </si>
  <si>
    <t>Barril LYC Para Marcador Grabado 47-N Rojo</t>
  </si>
  <si>
    <t>Barril LYC Para Marcador Grabado 47-N Marrón</t>
  </si>
  <si>
    <t>Barril LYC Para Marcador Grabado 47-N Anaranjado</t>
  </si>
  <si>
    <t>Barril Para Resaltador 048 Negro P.S.</t>
  </si>
  <si>
    <t>Barril Para Plumón 045 - N Morado</t>
  </si>
  <si>
    <t>Barril Para Plumón 045 - N  Marrón Claro</t>
  </si>
  <si>
    <t>Barril Para Plumón 045 - N  Lila</t>
  </si>
  <si>
    <t>Barril Para Plumón 045 - N  Mostaza</t>
  </si>
  <si>
    <t>Barril Para Plumón 045 - N  Turqueza</t>
  </si>
  <si>
    <t>Barril Para Plumón 045 - N  Naranja Claro</t>
  </si>
  <si>
    <t>Barril Para Plumón 045 - N  Azul Claro</t>
  </si>
  <si>
    <t>Barril Para Plumón 045 - N  Gris Plata</t>
  </si>
  <si>
    <t>Barril Para Plumón 045 - N  Rojo Rubi</t>
  </si>
  <si>
    <t>Barril Para Plumón 045 - N  Verde Militar</t>
  </si>
  <si>
    <t>Barril Para Plumón 045 - N  Amarillo Claro</t>
  </si>
  <si>
    <t>Barril Para Plumón 045 - N Rosado  Claro</t>
  </si>
  <si>
    <t>Barril Para Marcador 042 - NP Azul P.S.</t>
  </si>
  <si>
    <t>Barril Para Marcador 042 - NP Negro P.S.</t>
  </si>
  <si>
    <t>Barril Para Marcador 042 - NP Verde P.S.</t>
  </si>
  <si>
    <t>Barril Para Marcador 042 - NP Marrón P.S.</t>
  </si>
  <si>
    <t>Barril Para Marcador 042 - NP Celeste P.S.</t>
  </si>
  <si>
    <t>Barril Para Marcador 042 - NP Rosado P.S.</t>
  </si>
  <si>
    <t>Barril Para Marcador 042 - NP Morado P.S.</t>
  </si>
  <si>
    <t>Barril Para Marcador 042 - NP Anaranjado P.S.</t>
  </si>
  <si>
    <t>Barril Para Marcador 042 - NP Verde Claro P.S.</t>
  </si>
  <si>
    <t>Barril Para Marcador 042 - NP Piel P.S.</t>
  </si>
  <si>
    <t>Barril LYC Para Marcador Grabado 47-NP Azul</t>
  </si>
  <si>
    <t>Barril LYC Para Marcador Grabado 47-NP Negro</t>
  </si>
  <si>
    <t>Barril LYC Para Marcador Grabado 47-NP Rojo</t>
  </si>
  <si>
    <t>Barril LYC Para Marcador Grabado 47-NP Verde</t>
  </si>
  <si>
    <t>Barril 048 NP para Resaltador LYC - Grabado</t>
  </si>
  <si>
    <t>Barril Para Marcador LYC Serigrafiado 047 - MK Azul Imp. Blanco</t>
  </si>
  <si>
    <t>Barril Para Marcador LYC Serigrafiado 047 - MK Negro Imp. Blanco</t>
  </si>
  <si>
    <t>Barril Para Marcador LYC Serigrafiado 047 - MK Rojo Imp. Blanco</t>
  </si>
  <si>
    <t>Barril Para Marcador LYC Serigrafiado 047 - MK Verde Imp. Blanco</t>
  </si>
  <si>
    <t>Barril Para Marcador LYC Serigrafiado 047 - MK Amarillo Imp. Blanco</t>
  </si>
  <si>
    <t>Barril Para Marcador LYC Serigrafiado 047 - MK Marrrón Imp. Blanco</t>
  </si>
  <si>
    <t>Barril Para Marcador LYC Serigrafiado 047 - MK Rosado Imp. Blanco</t>
  </si>
  <si>
    <t>Barril Para Marcador LYC Serigrafiado 047 - MK Morado Imp. Blanco</t>
  </si>
  <si>
    <t>Barril Para Marcador LYC Serigrafiado 047 - MK Anaranjado Imp. Blanco</t>
  </si>
  <si>
    <t>Barril Para Marcador LYC Serigrafiado 047 - MK Verde Claro Imp. Blanco</t>
  </si>
  <si>
    <t>Barril Para Marcador LYC Serigrafiado 047 - MK Piel Imp. Blanco</t>
  </si>
  <si>
    <t>Barril Para Resaltador 048 MK fluor Amarillo P.S.</t>
  </si>
  <si>
    <t>Barril LYC Para Marcador Grabado 47-MK Amarillo</t>
  </si>
  <si>
    <t>Barril LYC Para Marcador Grabado 47-MK Marrón</t>
  </si>
  <si>
    <t>Barril LYC Para Marcador Grabado 47-MK Celeste</t>
  </si>
  <si>
    <t>Barril LYC Para Marcador Grabado 47-MK Rosado</t>
  </si>
  <si>
    <t>Barril LYC Para Marcador Grabado 47-MK Morado</t>
  </si>
  <si>
    <t>Barril 42  C/Etiqueta Marcador Magico P.S.</t>
  </si>
  <si>
    <t>Barril  Pastel 048  Grabado - N Salmón P.S</t>
  </si>
  <si>
    <t>Barril Para Marcador 042 (123P) - NP Blanco P.S.</t>
  </si>
  <si>
    <t>ALMA070</t>
  </si>
  <si>
    <t>Almacén Producción Inyección</t>
  </si>
  <si>
    <t>Barril Para Marcador LYC Grabado 123 - N Azul</t>
  </si>
  <si>
    <t>Barril Para Marcador LYC Grabado 123 - N Rojo</t>
  </si>
  <si>
    <t>Barril Para Marcador LYC Grabado 123 - N Negro</t>
  </si>
  <si>
    <t>Barril Para Marcador LYC Grabado 123 - N Verde</t>
  </si>
  <si>
    <t>Barril Para Plumón 045 Amarillo limón P.S.</t>
  </si>
  <si>
    <t>Barril Para Plumón 045 Verde lima P.S.</t>
  </si>
  <si>
    <t>Barril Para Plumón 045 Amarillo pastel P.S.</t>
  </si>
  <si>
    <t>Barril Para Plumón 045 Verde esmeralda P.S.</t>
  </si>
  <si>
    <t>Barril Para Plumón 045 Salmón oscuro P.S.</t>
  </si>
  <si>
    <t>Barril Para Plumón 045 Lavanda P.S.</t>
  </si>
  <si>
    <t>Barril Para Plumón 045 Azul acero P.S.</t>
  </si>
  <si>
    <t>Barril Para Plumón 045 Azul cobalto P.S.</t>
  </si>
  <si>
    <t>Barril Para Plumón 045 Gris P.S.</t>
  </si>
  <si>
    <t>Barril Para Plumón 045 Berenjena P.S.</t>
  </si>
  <si>
    <t>Barril Para Plumón 045 Canela P.S.</t>
  </si>
  <si>
    <t>Barril Para Plumón 045 Chocolate P.S.</t>
  </si>
  <si>
    <t>Scrap 214-EP Cristal</t>
  </si>
  <si>
    <t>Scrap de Polipropileno 20H</t>
  </si>
  <si>
    <t>Scrap de Polipropileno 40H</t>
  </si>
  <si>
    <t>Scrap Polietileno Alta Densidad Inyección HME 9180</t>
  </si>
  <si>
    <t>Scrap Polietileno de baja densidad Equistar GA564-189</t>
  </si>
  <si>
    <t>Scrap Materia Prima Borrador (RT-000)</t>
  </si>
  <si>
    <t>Scrap San</t>
  </si>
  <si>
    <t>Scrap de Polipropileno 20H10NA</t>
  </si>
  <si>
    <t>Gotero Para Tinta 4k P.S.</t>
  </si>
  <si>
    <t>Tapa Para Limpiatipos x 35gr P.S.</t>
  </si>
  <si>
    <t>Tapas Para Témperas P.S.</t>
  </si>
  <si>
    <t>Tapa Para Bolígrafo 036 Azul</t>
  </si>
  <si>
    <t>Tapa Para Bolígrafo 036 Rojo</t>
  </si>
  <si>
    <t>Tapa Para Bolígrafo 036 Negro</t>
  </si>
  <si>
    <t>Tapa Para Bolígrafo 036 Verde</t>
  </si>
  <si>
    <t>Tapita Para Bolígrafo 036 Verde Oscuro</t>
  </si>
  <si>
    <t>Tapa Para Pote de 220gr</t>
  </si>
  <si>
    <t>Tapa Para Plumón 045 Morado</t>
  </si>
  <si>
    <t>Tapa Para Plumón 045 Marrón Claro</t>
  </si>
  <si>
    <t>Tapita Para Plumón 045 Morado</t>
  </si>
  <si>
    <t>Tapita Para Plumón 045 Marrón Claro</t>
  </si>
  <si>
    <t>Tapa Dosificador Ensamblada Azul</t>
  </si>
  <si>
    <t>Tapas Para Témpera Mongol P.S.</t>
  </si>
  <si>
    <t>Tapa Para Plumón 045 Lila P.S.</t>
  </si>
  <si>
    <t>Tapa Para Plumón 045 Mostaza P.S.</t>
  </si>
  <si>
    <t>Tapa Para Plumón 045 Turqueza P.S.</t>
  </si>
  <si>
    <t>Tapita Para Plumón 045 Lila P.S.</t>
  </si>
  <si>
    <t>Tapita Para Plumón 045 Mostaza P.S.</t>
  </si>
  <si>
    <t>Tapita Para Plumón 045 Turqueza P.S.</t>
  </si>
  <si>
    <t>Tapa Para Marcador 042 - N Azul P.S.</t>
  </si>
  <si>
    <t>Tapa Para Marcador 042 - N Negro P.S.</t>
  </si>
  <si>
    <t>Tapa Para Marcador 042 - N Rojo P.S.</t>
  </si>
  <si>
    <t>Tapa Para Marcador 042 - N Verde P.S.</t>
  </si>
  <si>
    <t>Tapa Para Marcador 042 - N Amarillo P.S.</t>
  </si>
  <si>
    <t>Tapa Para Marcador 042 - N Marrón P.S.</t>
  </si>
  <si>
    <t>Tapa Para Marcador 042 - N Celeste P.S.</t>
  </si>
  <si>
    <t>Tapa Para Marcador 042 - N Rosado P.S.</t>
  </si>
  <si>
    <t>Tapa Para Marcador 042 - N Morado P.S.</t>
  </si>
  <si>
    <t>Tapa Para Marcador 042 - N Anaranjado P.S.</t>
  </si>
  <si>
    <t>Tapita Para Marcador 042 - N Azul</t>
  </si>
  <si>
    <t>Tapita Para Marcador 042 - N Negro</t>
  </si>
  <si>
    <t>Tapita Para Marcador 042 - N Rojo</t>
  </si>
  <si>
    <t>Tapita Para Marcador 042 - N Verde</t>
  </si>
  <si>
    <t>Tapita Para Marcador 042 - N Amarillo</t>
  </si>
  <si>
    <t>Tapita Para Marcador 042 - N Marrón</t>
  </si>
  <si>
    <t>Tapita Para Marcador 042 - N Celeste</t>
  </si>
  <si>
    <t>Tapita Para Marcador 042 - N Rosado</t>
  </si>
  <si>
    <t>Tapita Para Marcador 042 - N Morado</t>
  </si>
  <si>
    <t>Tapita Para Marcador 042 - N Anaranjado</t>
  </si>
  <si>
    <t>Tapa Azul Para Tinta LT-4 P.S.</t>
  </si>
  <si>
    <t>Tapa Negra Para Tinta LT-4 P.S.</t>
  </si>
  <si>
    <t>Tapa Roja Para Tinta LT-4 P.S.</t>
  </si>
  <si>
    <t>Tapa Verde Para Tinta LT-4 P.S.</t>
  </si>
  <si>
    <t>Sobre Tapa Dosificador Rojo P.S.</t>
  </si>
  <si>
    <t>Tapa Para Témpera 30cc Sin Logo Color Blanco P.S.</t>
  </si>
  <si>
    <t>Tapa Dosificador Ensamblada Rojo</t>
  </si>
  <si>
    <t>Tapita Para Marcador 042 - N Piel</t>
  </si>
  <si>
    <t>Tapita Para Marcador 042 - N Verde Claro</t>
  </si>
  <si>
    <t>Tapa Para Marcador 042 - N Piel P.S.</t>
  </si>
  <si>
    <t>Tapa Para Marcador 042 - N Verde Claro P.S.</t>
  </si>
  <si>
    <t>Tapa Para Resaltador 048 - N Amarillo P.S.</t>
  </si>
  <si>
    <t>Tapa Para Resaltador 048 - N Verde P.S.</t>
  </si>
  <si>
    <t>Tapita Para Resaltador 048 - N Amarillo P.S.</t>
  </si>
  <si>
    <t>Punta Para Marcador 130 - N Azul</t>
  </si>
  <si>
    <t>Punta Para Marcador 130 - N  Negro</t>
  </si>
  <si>
    <t>Punta Para Marcador 130 - N Rojo</t>
  </si>
  <si>
    <t>Punta Para Marcador 130 - N Verde</t>
  </si>
  <si>
    <t>Tapita Para Bolígrafo 036 Azul - N</t>
  </si>
  <si>
    <t>Tapita Para Bolígrafo 036 Rojo - N</t>
  </si>
  <si>
    <t>Tapita Para Bolígrafo 036 Negro  - N</t>
  </si>
  <si>
    <t>Tapita  036 Amarillo N</t>
  </si>
  <si>
    <t>Tapita  036 Naranja N</t>
  </si>
  <si>
    <t>Tapita  036 Rosado N</t>
  </si>
  <si>
    <t>Tapita  036 Morado N</t>
  </si>
  <si>
    <t>Tapita  036 Turqueza N</t>
  </si>
  <si>
    <t>Tapita Para Bolígrafo 036 Verde Claro</t>
  </si>
  <si>
    <t>Tapita  036 Marron  N</t>
  </si>
  <si>
    <t>Tapa  036 Amarillo</t>
  </si>
  <si>
    <t>Tapa  036 Naranja</t>
  </si>
  <si>
    <t>Tapa  036 Rosado</t>
  </si>
  <si>
    <t>Tapa  036 Morado</t>
  </si>
  <si>
    <t>Tapa  036 Turqueza</t>
  </si>
  <si>
    <t>Tapa  036 Marron</t>
  </si>
  <si>
    <t>Tapita Para Marcador 042 (123) - N Verde</t>
  </si>
  <si>
    <t>Tapa Para Bolígrafo 036 Verde Claro</t>
  </si>
  <si>
    <t>Tapa Para Bolígrafo 033 Morado</t>
  </si>
  <si>
    <t>Tapa Para Plumon 045 Naranja Claro</t>
  </si>
  <si>
    <t>Tapa Para Plumon 045 Gris Plata</t>
  </si>
  <si>
    <t>Tapa Para Plumon 045 Rojo Rubi</t>
  </si>
  <si>
    <t>Tapa Para Plumon 045 Verde Militar</t>
  </si>
  <si>
    <t>Tapa Para Plumon 045 Amarillo Intensa</t>
  </si>
  <si>
    <t>Tapita Para Plumón 045  Marrón Claro NP</t>
  </si>
  <si>
    <t>Tapita Para Plumón 045  Naranja Claro</t>
  </si>
  <si>
    <t>Tapita Para Plumón 045  Azul Claro</t>
  </si>
  <si>
    <t>Tapita Para Plumón 045  Rojo Rubi</t>
  </si>
  <si>
    <t>Tapita Para Plumón 045  Verde Militar</t>
  </si>
  <si>
    <t>Tapa Para Plumón 045 Rosado Claro P.S.</t>
  </si>
  <si>
    <t>Tapita Para Plumón 045 Rosado Claro P.S.</t>
  </si>
  <si>
    <t>Tapita Para Plumón 045 Amarillo Claro</t>
  </si>
  <si>
    <t>Tapa Base Dosificador Rojo P.S. (30R40CD)</t>
  </si>
  <si>
    <t>Tapa Para Resaltador 048 fluorescente - N Amarillo P.S.</t>
  </si>
  <si>
    <t>Tapita Para Resaltador 048 fluorescente- N Amarillo P.S.</t>
  </si>
  <si>
    <t>Tapita Para Resaltador 048 fluorescente- N Verde P.S.</t>
  </si>
  <si>
    <t>Tapa Para Bolígrafo 036 Verde Oscuro</t>
  </si>
  <si>
    <t>Tapa Para Marcador 042 - N Escarchado P.S.</t>
  </si>
  <si>
    <t>Tapa Para Marcador 042 - N Naranja Claro  P.S.</t>
  </si>
  <si>
    <t>Tapa Para Marcador 042 - N Azul Claro  P.S.</t>
  </si>
  <si>
    <t>Tapita Para Marcador 042 - N Escarchado</t>
  </si>
  <si>
    <t>Tapita Para Marcador 042 - N Amarillo Claro</t>
  </si>
  <si>
    <t>Tapita Para Marcador 042 - N Morado Claro</t>
  </si>
  <si>
    <t>Tapita Para Marcador 042 - N Amarillo Neón</t>
  </si>
  <si>
    <t>Tapita Para Marcador 042 - N Verde Neón</t>
  </si>
  <si>
    <t>Tapita Para Marcador 042 - N Rosado Claro</t>
  </si>
  <si>
    <t>Tapa Para Resaltador Pastel 048 - N Menta P.S.</t>
  </si>
  <si>
    <t>Tapa Para Marcador  123P  NP Negro P.S.</t>
  </si>
  <si>
    <t>Tapa Para Marcador  123P  NP Azul P.S.</t>
  </si>
  <si>
    <t>Tapa Para Marcador  123P NP  Rojo P.S.</t>
  </si>
  <si>
    <t>Tapa Para Marcador  123P  NP Verde P.S.</t>
  </si>
  <si>
    <t>Tapa Base Dosificador Azul paleta P.S.</t>
  </si>
  <si>
    <t>Tapita Para Marcador 123P NP Azul P.S.</t>
  </si>
  <si>
    <t>Tapita Para Marcador  123P  NP Rojo P.S.</t>
  </si>
  <si>
    <t>Tapita Para Marcador  123P  NP Verde P.S.</t>
  </si>
  <si>
    <t>Tapita Para Marcador  123P  NP Negro P.S.</t>
  </si>
  <si>
    <t>Sobre Tapa Dosificador Rojo paleta P.S.</t>
  </si>
  <si>
    <t>Tapa Base Dosificador Rojo paleta P.S.</t>
  </si>
  <si>
    <t>Tapa Dosificador Ensamblada Rojo Paleta</t>
  </si>
  <si>
    <t>Tapa Limpiatipo DIALE x 35gr P.S.</t>
  </si>
  <si>
    <t>Tapas Para Témpera Mango 30 cc P.S.</t>
  </si>
  <si>
    <t>Tapas Para Témperas 20 cc P.S.</t>
  </si>
  <si>
    <t>Tapa 30 cc P.S.</t>
  </si>
  <si>
    <t>Tapa Para Témpera 20 cc Sin Logo Blanco P.S.</t>
  </si>
  <si>
    <t>Tapita Para Marcador 123P NP Fucsia P.S.</t>
  </si>
  <si>
    <t>Tapita Para Marcador 123P NP Verde Limón P.S.</t>
  </si>
  <si>
    <t>Tapita Para Marcador 123P NP Anaranjado P.S.</t>
  </si>
  <si>
    <t>Tapita Para Marcador 123P NP Morado P.S.</t>
  </si>
  <si>
    <t>Tapa Para Marcador 123P NP Fucsia P.S.</t>
  </si>
  <si>
    <t>Tapa Para Marcador 123P NP Verde Limon P.S.</t>
  </si>
  <si>
    <t>Tapa Para Marcador 123P NP Anaranjado P.S.</t>
  </si>
  <si>
    <t>Tapa Para Marcador 123P NP Morado P.S.</t>
  </si>
  <si>
    <t>Tapa Para Plumón 045 Amarillo limón P.S.</t>
  </si>
  <si>
    <t>Tapa Para Plumón 045 Amarillo pastel P.S.</t>
  </si>
  <si>
    <t>Tapa Para Plumón 045 Verde esmeralda P.S.</t>
  </si>
  <si>
    <t>Tapa Para Plumón 045 Salmón oscuro P.S.</t>
  </si>
  <si>
    <t>Tapa Para Plumón 045 Lavanda P.S.</t>
  </si>
  <si>
    <t>Tapa Para Plumón 045 Azul acero P.S.</t>
  </si>
  <si>
    <t>Tapa Para Plumón 045 Gris P.S.</t>
  </si>
  <si>
    <t>Tapa Para Plumón 045 Berenjena P.S.</t>
  </si>
  <si>
    <t>Tapa Para Plumón 045 Canela P.S.</t>
  </si>
  <si>
    <t>Tapa Para Plumón 045 Chocolate P.S.</t>
  </si>
  <si>
    <t>Tapita Para Plumón 045 Amarillo limón P.S.</t>
  </si>
  <si>
    <t>Tapita Para Plumón 045 Verde lima P.S.</t>
  </si>
  <si>
    <t>Tapita Para Plumón 045 Amarillo pastel P.S.</t>
  </si>
  <si>
    <t>Tapita Para Plumón 045 Verde esmeralda P.S.</t>
  </si>
  <si>
    <t>Tapita Para Plumón 045 Lavanda P.S.</t>
  </si>
  <si>
    <t>Tapita Para Plumón 045 Salmón oscuro P.S.</t>
  </si>
  <si>
    <t>Tapita Para Plumón 045 Azul acero P.S.</t>
  </si>
  <si>
    <t>Tapita Para Plumón 045 Azul cobalto P.S.</t>
  </si>
  <si>
    <t>Tapita Para Plumón 045 Gris P.S.</t>
  </si>
  <si>
    <t>Tapita Para Plumón 045 Berenjena P.S.</t>
  </si>
  <si>
    <t>Tapita Para Plumón 045 Canela P.S.</t>
  </si>
  <si>
    <t>Tapita Para Plumón 045 Chocolate P.S.</t>
  </si>
  <si>
    <t>Base Para Limpiatipos x 35gr P.S.</t>
  </si>
  <si>
    <t>Base Limpiatipo Diale P.S.</t>
  </si>
  <si>
    <t>Tinta Reentintaje Azul Para Tinta 4k P.S.</t>
  </si>
  <si>
    <t>Tinta 2K Para Tampón Azul P.S.</t>
  </si>
  <si>
    <t>Tinta Plumón Lavable Marrón Claro P.S.</t>
  </si>
  <si>
    <t>Tinta Plumón Lavable Turqueza P.S.</t>
  </si>
  <si>
    <t>Tinta Plumón Lavable Rosado P.S.</t>
  </si>
  <si>
    <t>Tinta Plumón Lavable Lila P.S.</t>
  </si>
  <si>
    <t>Tinta Plumón Lavable Mostaza P.S.</t>
  </si>
  <si>
    <t>Tinta Plumón Lavable Azul Claro P.S.</t>
  </si>
  <si>
    <t>Tinta Plumón Lavable Gris Plata P.S.</t>
  </si>
  <si>
    <t>Tinta Plumón Lavable Verde Militar P.S.</t>
  </si>
  <si>
    <t>Tinta Plumón Lavable Morado P.S.</t>
  </si>
  <si>
    <t>Tinta Plumón Lavable Amarillo Intenso P.S.</t>
  </si>
  <si>
    <t>Tinta Bolígrafo verde Claro P.S.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</si>
  <si>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</si>
  <si>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</si>
  <si>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</si>
  <si>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</si>
  <si>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</si>
  <si>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</si>
  <si>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</si>
  <si>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</si>
  <si>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</si>
  <si>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</si>
  <si>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</si>
  <si>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</si>
  <si>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Bolígrafo Layconsa L-036 Fine Azul Granel P.S.</t>
  </si>
  <si>
    <t>Bolígrafo Layconsa L-036 Fine Negro Granel P.S.</t>
  </si>
  <si>
    <t>Bolígrafo Layconsa L-033 Medio Rojo Granel P.S.</t>
  </si>
  <si>
    <t>Bolígrafo Layconsa L-033 Medio Azul Granel P.S.</t>
  </si>
  <si>
    <t>Bolígrafo Layconsa L-033 Medio Negro Granel P.S.</t>
  </si>
  <si>
    <t>Bolígrafo Layconsa L-033 Medio Verde Granel P.S.</t>
  </si>
  <si>
    <t>Bolígrafo Layconsa L-033 Medio Amarillo Granel P.S.</t>
  </si>
  <si>
    <t>Bolígrafo Layconsa L-033 Medio Rosado Granel P.S.</t>
  </si>
  <si>
    <t>Bolígrafo Layconsa L-033 Medio Morado Granel P.S.</t>
  </si>
  <si>
    <t>Bolígrafo Layconsa L-033 Medio Turquesa Granel P.S.</t>
  </si>
  <si>
    <t>Bolígrafo Layconsa L-033 Medio Anaranjado Granel P.S.</t>
  </si>
  <si>
    <t>Barril Para Bolígrafos Serigrafiado 036</t>
  </si>
  <si>
    <t>Plumones Layconsa School 45 Granel Morado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</si>
  <si>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</si>
  <si>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</si>
  <si>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</si>
  <si>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</si>
  <si>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</si>
  <si>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</si>
  <si>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</si>
  <si>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</si>
  <si>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</si>
  <si>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</si>
  <si>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</si>
  <si>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</si>
  <si>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Marcador LYC Jumbo 047 - MK Azul Granel P.S.</t>
  </si>
  <si>
    <t>Marcador LYC Jumbo 047 - MK Negro Granel P.S.</t>
  </si>
  <si>
    <t>Marcador LYC Jumbo 047 - MK Rojo Granel P.S.</t>
  </si>
  <si>
    <t>Marcador LYC Jumbo 047 - MK Verde Granel P.S.</t>
  </si>
  <si>
    <t>Marcador LYC Jumbo 047 - MK Amarillo Granel P.S.</t>
  </si>
  <si>
    <t>Marcador LYC Jumbo 047 - MK Marrón Granel P.S.</t>
  </si>
  <si>
    <t>Marcador LYC Jumbo 047 - MK Celeste Granel P.S.</t>
  </si>
  <si>
    <t>Marcador LYC Jumbo 047 - MK Rosado Granel P.S.</t>
  </si>
  <si>
    <t>Marcador LYC Jumbo 047 - MK Morado Granel P.S.</t>
  </si>
  <si>
    <t>Marcador LYC Jumbo 047 - MK Anaranjado Granel P.S.</t>
  </si>
  <si>
    <t>Marcador LYC Jumbo 047 - MK Piel Granel P.S.</t>
  </si>
  <si>
    <t>Marcador LYC Jumbo 047 - MK Verde Claro Granel P.S.</t>
  </si>
  <si>
    <t>Marcador Mágico Amarillo a Rojo Granel P.S.</t>
  </si>
  <si>
    <t>Marcador Mágico  Naranja a Rosado Granel P.S.</t>
  </si>
  <si>
    <t>Marcador Mágico Rojo a Amarillo Granel P.S.</t>
  </si>
  <si>
    <t>Marcador Mágico  Azul a Turquesa Granel P.S.</t>
  </si>
  <si>
    <t>Marcador Mágico  Verde a Naranja Granel P.S.</t>
  </si>
  <si>
    <t>Marcador Mágico  Azul a amarillo Granel P.S.</t>
  </si>
  <si>
    <t>Marcador Mágico Violeta a Rosado Granel P.S.</t>
  </si>
  <si>
    <t>Marcador Mágico  Marrón a Verde Granel P.S.</t>
  </si>
  <si>
    <t>Marcador Mágico  Negro a Rosado Granel P.S.</t>
  </si>
  <si>
    <t>Marcador Mágico Revelador Granel P.S.</t>
  </si>
  <si>
    <t>Plumones LYC School 45 Granel Morado P.S. NP</t>
  </si>
  <si>
    <t>Plumones LYC  School 45 Granel Marrón Claro P.S. NP</t>
  </si>
  <si>
    <t>Plumones LYC  School 45 Granel Lila P.S.  NP</t>
  </si>
  <si>
    <t>Plumones LYC  School 45 Granel Mostaza P.S.  NP</t>
  </si>
  <si>
    <t>Plumones LYC  School 45 Granel Turqueza P.S. NP</t>
  </si>
  <si>
    <t>Plumones LYC  School 45 Granel Naranja Claro P.S. NP</t>
  </si>
  <si>
    <t>Plumones LYC  School 45 Granel Azul Claro P.S. NP</t>
  </si>
  <si>
    <t>Plumones LYC  School 45 Granel Gris Plata P.S. NP</t>
  </si>
  <si>
    <t>Plumones LYC  School 45 Granel Rojo Rubi P.S. NP</t>
  </si>
  <si>
    <t>Plumones LYC  School 45 Granel Rosado Claro P.S.  NP</t>
  </si>
  <si>
    <t>Plumones LYC  School 45 Granel Verde Militar P.S. NP</t>
  </si>
  <si>
    <t>Plumones LYC  School 45 Granel Amarillo Claro P.S. NP</t>
  </si>
  <si>
    <t>Plumones LYC  School 45 Granel Amarillo intenso P.S.  NP</t>
  </si>
  <si>
    <t>Plumones LYC School 45 Granel Amarillo limón P.S.</t>
  </si>
  <si>
    <t>Plumones LYC School 45 Granel Verde lima P.S.</t>
  </si>
  <si>
    <t>Plumones LYC School 45 Granel Amarillo pastel P.S.</t>
  </si>
  <si>
    <t>Plumones LYC School 45 Granel Verde esmeralda P.S.</t>
  </si>
  <si>
    <t>Plumones LYC School 45 Granel Salmón oscuro P.S.</t>
  </si>
  <si>
    <t>Plumones LYC School 45 Granel Lavanda P.S.</t>
  </si>
  <si>
    <t>Plumones LYC School 45 Granel Azul acero P.S.</t>
  </si>
  <si>
    <t>Plumones LYC School 45 Granel Azul cobalto P.S.</t>
  </si>
  <si>
    <t>Plumones LYC School 45 Granel Gris P.S.</t>
  </si>
  <si>
    <t>Plumones LYC School 45 Granel Berenjena P.S.</t>
  </si>
  <si>
    <t>Plumones LYC School 45 Granel Canela P.S.</t>
  </si>
  <si>
    <t>Plumones LYC School 45 Granel Chocolate P.S.</t>
  </si>
  <si>
    <t>Frascos Para Témperas P.S.</t>
  </si>
  <si>
    <t>Frascos Transparente de 250cc Para Témpera P.S.</t>
  </si>
  <si>
    <t>Frascos Para Témperas Puppy Imp. Puppy Gris P.S.</t>
  </si>
  <si>
    <t>Frasco Para Cola de 220gr</t>
  </si>
  <si>
    <t>Frasco Blanco Ovalado Para Cola Sintética con Aplicador 250Gr P.S.</t>
  </si>
  <si>
    <t>Frasco Blanco Ovalado Para Cola Sintética con Aplicador 125Gr P.S.</t>
  </si>
  <si>
    <t>Frasco 126 Plata Para Tinta</t>
  </si>
  <si>
    <t>Frasco Etiquetado Para Témpera Neon Violeta 250 gr.</t>
  </si>
  <si>
    <t>Frasco Blanco Ovalado de 60 gr con Aplicador P.S.</t>
  </si>
  <si>
    <t>Frasco Transparente de 60 gr con Aplicador P.S.</t>
  </si>
  <si>
    <t>Frascos Para Témperas 30 cc NP P.S.</t>
  </si>
  <si>
    <t>Frascos Para Témperas 30 cc NP Imp. Gris P.S.</t>
  </si>
  <si>
    <t>Frascos Para Témperas 20 cc P.S.</t>
  </si>
  <si>
    <t>Frasco Etiquetado Goma Escarchado Dorado 60 g. P.S.</t>
  </si>
  <si>
    <t>Frascos Etiquetado Rosado Tempera 250 g P.S.</t>
  </si>
  <si>
    <t>Frasco de tempera etiquetado 30 cc ARTI P.S.</t>
  </si>
  <si>
    <t>Masa Para Limpiatipos x 35gr Verde Neón P.S.</t>
  </si>
  <si>
    <t>Masa Para Limpiatipos x 35gr Rosado P.S.</t>
  </si>
  <si>
    <t>Masa Para Limpiatipos x 35gr Azul LYC P.S.</t>
  </si>
  <si>
    <t>Masa Para Limpiatipos x 35gr Anaranjado P.S.</t>
  </si>
  <si>
    <t>Masa Para Limpiatipos x 35gr Violeta P.S.</t>
  </si>
  <si>
    <t>Limpiatipo Layconsa 35Gr Azul Granel</t>
  </si>
  <si>
    <t>Limpiatipo Layconsa 35Gr Rosado Granel</t>
  </si>
  <si>
    <t>Limpiatipo Layconsa 35Gr Verde Neón Granel</t>
  </si>
  <si>
    <t>Masa Para Limpiatipos x 35gr Turquesa P.S.</t>
  </si>
  <si>
    <t>Limpiatipo Layconsa 35Gr Violeta Granel P.S.</t>
  </si>
  <si>
    <t>Limpiatipo Layconsa 35Gr Turquesa Granel P.S.</t>
  </si>
  <si>
    <t>Limpiatipo Layconsa 35Gr Anaranjado Granel P.S.</t>
  </si>
  <si>
    <t>Masa Limpiatipos x 35gr Celeste Pastel LYC P.S.</t>
  </si>
  <si>
    <t>Masa Limpiatipos x 35gr Rosado Pastel LYC P.S.</t>
  </si>
  <si>
    <t>Masa Limpiatipos x 35gr Salmon pastel LYC P.S.</t>
  </si>
  <si>
    <t>Masa Limpiatipos x 35gr Amarillo Pastel LYC P.S.</t>
  </si>
  <si>
    <t>Masa Limpiatipos x 35gr Lila Pastel LYC P.S.</t>
  </si>
  <si>
    <t>Masa Limpiatipos x 35gr Blanco LYC P.S.</t>
  </si>
  <si>
    <t>Limpiatipos x 35gr Celeste Pastel granel LYC P.S.</t>
  </si>
  <si>
    <t>Limpiatipos x 35gr Rosado Pastel granel LYC P.S.</t>
  </si>
  <si>
    <t>Limpiatipos x 35gr Salmon pastel granel LYC P.S.</t>
  </si>
  <si>
    <t>Limpiatipos x 35gr Amarillo Pastel granel LYC P.S.</t>
  </si>
  <si>
    <t>Limpiatipos x 35gr Lila Pastel granel LYC P.S.</t>
  </si>
  <si>
    <t>Limpiatipos x 35gr Blanco granel LYC P.S.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</si>
  <si>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</si>
  <si>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</si>
  <si>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</si>
  <si>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</si>
  <si>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Celeste Pastel/Azul Granel</t>
  </si>
  <si>
    <t>Fieltro Gris 10.9x6.4 cm Para Tampon T2</t>
  </si>
  <si>
    <t>Pasta Rojo Laca (5906) (Crayón / Plastilina)</t>
  </si>
  <si>
    <t>Pasta Azul Milori (1985) (Crayón / Plastilina)</t>
  </si>
  <si>
    <t>Masa Acelerador P.S.</t>
  </si>
  <si>
    <t>Masa BR Roja P.S.</t>
  </si>
  <si>
    <t>Masa BR Azul P.S.</t>
  </si>
  <si>
    <t>Masa Desperdicio Yuyo P.S.</t>
  </si>
  <si>
    <t>Borrador Gris LA-40 Granel P.S.</t>
  </si>
  <si>
    <t>Tapa Tomatodo Amarilla P.S.</t>
  </si>
  <si>
    <t>Masa Para Cola Escolar Layconsa P.S.</t>
  </si>
  <si>
    <t>Cuaderno del Docente Layconsa</t>
  </si>
  <si>
    <t>Espuma de 22.5mm Troquelada P.S.</t>
  </si>
  <si>
    <t>Tapa Tomatodo Verde Claro P.S.</t>
  </si>
  <si>
    <t>Adaptador 48 P.S.</t>
  </si>
  <si>
    <t>Cartuchera Layconsa Jumbo Box Lila Escarchado P.S.</t>
  </si>
  <si>
    <t>Cartuchera Layconsa Jumbo Box Roasdo Escarchado P.S.</t>
  </si>
  <si>
    <t>Vaso Tomatodo Azul P.S.</t>
  </si>
  <si>
    <t>Vaso Tomatodo Rosado P.S.</t>
  </si>
  <si>
    <t>Vaso Tomatodo Verde Limon P.S.</t>
  </si>
  <si>
    <t>Vaso Tomatodo Amarillo P.S.</t>
  </si>
  <si>
    <t>Lonchera Lila + Asa Fucsia P.S.</t>
  </si>
  <si>
    <t>Homopolímero de Acetato de Vinilo PVA</t>
  </si>
  <si>
    <t>Carga Para Bolígrafo 036 PFTR Azul N</t>
  </si>
  <si>
    <t>Carga Para Bolígrafo 036 PFTR Rojo N</t>
  </si>
  <si>
    <t>Carga Para Bolígrafo 036 PFTR Negro N</t>
  </si>
  <si>
    <t>Carga Para Bolígrafo 036 PFTR Verde N</t>
  </si>
  <si>
    <t>Pasta Archivador Oficio LYC forrado - Color Azul</t>
  </si>
  <si>
    <t>Pasta Archivador Oficio LYC forrado - Color Amarillo</t>
  </si>
  <si>
    <t>Terotex 110 P.S.</t>
  </si>
  <si>
    <t>Cartuchera Layconsa Jumbo Box Fucsia Escarchado P.S.</t>
  </si>
  <si>
    <t>Cartuchera Layconsa Jumbo Box Amarillo Escarchado P.S.</t>
  </si>
  <si>
    <t>Tapa Tomatodo Celeste Pastel P.S.</t>
  </si>
  <si>
    <t>Hojas Impresa Block Cuadriculado LYC x 8</t>
  </si>
  <si>
    <t>Hojas Impresa Block Rayado LYC  x 8</t>
  </si>
  <si>
    <t>Hojas Impresa Block T. Renglón LYC x 8</t>
  </si>
  <si>
    <t>Separador Anillado A5X 16  Bond 120 gr. 84 X 65 cm</t>
  </si>
  <si>
    <t>Separador Anillado A5X 16  Bond 120 gr. 84 X 65 cm Femenino</t>
  </si>
  <si>
    <t>Vaso Tomatodo Verde P.S.</t>
  </si>
  <si>
    <t>Goma glitter plateado a granel P.S.</t>
  </si>
  <si>
    <t>Masa de goma escarchado Rojo P.S.</t>
  </si>
  <si>
    <t>Punta Carga 036F + Adaptador</t>
  </si>
  <si>
    <t>Punta Carga 036M + Adaptador</t>
  </si>
  <si>
    <t>Carga para Bolígrafo 036 PT MD Azul</t>
  </si>
  <si>
    <t>Carga Para Bolígrafo 036 PT MD Rojo</t>
  </si>
  <si>
    <t>Carga para Bolígrafo 036 PT MD Amarillo</t>
  </si>
  <si>
    <t>Tubito Para Bolígrafo 036</t>
  </si>
  <si>
    <t>Marcador Layconsa Jumbo L-47 Rosado Granel P.S.</t>
  </si>
  <si>
    <t>Marcador LYC Jumbo 047 - N Azul Granel P.S.</t>
  </si>
  <si>
    <t>Marcador LYC Jumbo 047 - N Negro Granel P.S.</t>
  </si>
  <si>
    <t>Marcador LYC Jumbo 047 - N Morado Granel P.S.</t>
  </si>
  <si>
    <t>Marcador Pizarra LYC 123 - N Grabado Azul Granel P.S.</t>
  </si>
  <si>
    <t>Marcador Pizarra LYC 123 - N Grabado Negro Granel P.S.</t>
  </si>
  <si>
    <t>Marcador Pizarra LYC 123 - N Grabado Rojo Granel P.S.</t>
  </si>
  <si>
    <t>Marcador Pizarra LYC 123 - N Grabado Verde Granel P.S.</t>
  </si>
  <si>
    <t>Marcador Indeleble LYC 023 - N Grabado Azul Granel P.S.</t>
  </si>
  <si>
    <t>Marcador Indeleble LYC 023 - N Grabado Negro Granel P.S.</t>
  </si>
  <si>
    <t>Marcador Indeleble LYC 023 - N Grabado Rojo Granel P.S.</t>
  </si>
  <si>
    <t>Marcador Pizarra LYC 123 - N Grabado Verde Limon Granel P.S</t>
  </si>
  <si>
    <t>Marcador Pizarra LYC 123 - N Grabado Anaranjado Granel P.S</t>
  </si>
  <si>
    <t>Marcador Pizarra LYC 123 - N Grabado Morado Granel P.S</t>
  </si>
  <si>
    <t>Peine Patrullero Amarillo Sin Cola 16A Lucas</t>
  </si>
  <si>
    <t>Peine 2A Amarillo Lucas</t>
  </si>
  <si>
    <t>Peine Patrullero Verde Sin Cola 16A Lucas</t>
  </si>
  <si>
    <t>Peine Patrullero Crema Sin Cola 16A Lucas</t>
  </si>
  <si>
    <t>Peine Patrullero Rosado Sin Cola 16A Lucas</t>
  </si>
  <si>
    <t>Peine 2A Verde Lucas</t>
  </si>
  <si>
    <t>Peine 2A Rojo Lucas</t>
  </si>
  <si>
    <t>Peine 2A Celeste Lucas</t>
  </si>
  <si>
    <t>Peine 2A Ambar Lucas P.S.</t>
  </si>
  <si>
    <t>Peine 6A Negro Lucas P.S.</t>
  </si>
  <si>
    <t>Peine 6A Amarillo Lucas P.S.</t>
  </si>
  <si>
    <t>Peine 6A Rojo Lucas P.S.</t>
  </si>
  <si>
    <t>Peine 6A Celeste Lucas P.S.</t>
  </si>
  <si>
    <t>Peine 6A Azul Lucas P.S.</t>
  </si>
  <si>
    <t>Peine 8B Naranaja Lucas P.S.</t>
  </si>
  <si>
    <t>Peine 8B Rosado Lucas P.S.</t>
  </si>
  <si>
    <t>Peine Patrullero Celeste Sin Cola 16A Lucas P.S.</t>
  </si>
  <si>
    <t>Peine 6A Verde Lucas P.S.</t>
  </si>
  <si>
    <t>Peine 6A Anaranjado Lucas P.S.</t>
  </si>
  <si>
    <t>Soporte Para Bandeja Negro P.S.</t>
  </si>
  <si>
    <t>Tablero Acrílico Layconsa Office T/Oficio Azul P.S.</t>
  </si>
  <si>
    <t>Portaclips Layconsa Office Negro Granel P.S.</t>
  </si>
  <si>
    <t>Bandeja Acrilica Negro a Granel Para Pack</t>
  </si>
  <si>
    <t>Cartuchera Layconsa Jumbo Box Azul P.S.</t>
  </si>
  <si>
    <t>Cartuchera Layconsa Jumbo Box Rojo P.S.</t>
  </si>
  <si>
    <t>Cartuchera Layconsa Jumbo Box Verde P.S.</t>
  </si>
  <si>
    <t>Cartuchera Layconsa Jumbo Box Turqueza P.S.</t>
  </si>
  <si>
    <t>Cartuchera Layconsa Jumbo Box Lila P.S.</t>
  </si>
  <si>
    <t>Cartuchera Layconsa Jumbo Box Piel Escarchado P.S.</t>
  </si>
  <si>
    <t>Cartuchera Layconsa Jumbo Box Verde Escarchado P.S.</t>
  </si>
  <si>
    <t>Cartuchera Jumbo Box  Morado Metalizada P.S.</t>
  </si>
  <si>
    <t>Cartuchera Jumbo Box Fucsia Metalizada P.S.</t>
  </si>
  <si>
    <t>Cartuchera Jumbo Box Fucsia P.S.</t>
  </si>
  <si>
    <t>Tapa cuaderno anillado A4 MUJER - Impreso - Plastificado - Acabado - Armado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</si>
  <si>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</si>
  <si>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</si>
  <si>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</si>
  <si>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</si>
  <si>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</si>
  <si>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</si>
  <si>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</si>
  <si>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</si>
  <si>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Caja para Plumones Layconsa school 45 x 12 pz.</t>
  </si>
  <si>
    <t>Caja para Boligrafo Layconsa 36 x 10 pz.</t>
  </si>
  <si>
    <t>Caja Para Marcadores LYC L-47 x 12pz</t>
  </si>
  <si>
    <t>Caja para Marcadores Layconsa 47 x 12 pz. Amarillo - Marron</t>
  </si>
  <si>
    <t>Caja Rosas y Paloma - Estampada</t>
  </si>
  <si>
    <t>Cajita Estudiante C/B docena (P.T.)</t>
  </si>
  <si>
    <t>Cajita Crayón Delgada x 12 (P.T.)</t>
  </si>
  <si>
    <t>Cajita P´Témperas Set x 7 (PT)</t>
  </si>
  <si>
    <t>Cajita P´ Témperas Sueltas x 30 (PT)</t>
  </si>
  <si>
    <t>Cajita Negrito Graso Docena (P.T.)</t>
  </si>
  <si>
    <t>Cajita Crayón JUMBO x 12</t>
  </si>
  <si>
    <t>Cajita Témpera Set x 6 Neón P.T.</t>
  </si>
  <si>
    <t>Cajita Decoración LYC</t>
  </si>
  <si>
    <t>Cajita Colores Puppy Largo x 24</t>
  </si>
  <si>
    <t>Cajita Crayola Puppy Jumbo Neón x 6</t>
  </si>
  <si>
    <t>Cajita Plastilina Puppy Jumbo Neón x 12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</si>
  <si>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</si>
  <si>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</si>
  <si>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</si>
  <si>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</si>
  <si>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</si>
  <si>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</si>
  <si>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</si>
  <si>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</si>
  <si>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</si>
  <si>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Caja para Marcadores Layconsa L-47 x 6 pz.</t>
  </si>
  <si>
    <t>Caja para Marcadores Layconsa L-123 x 12 pz. Azul</t>
  </si>
  <si>
    <t>Caja para Marcadores Layconsa L-123 x 12 pz. Negro</t>
  </si>
  <si>
    <t>Caja para Marcadores Layconsa L-123 x 12 pz. Rojo</t>
  </si>
  <si>
    <t>Caja para Marcadores Layconsa L-123 x 12 pz. Verde</t>
  </si>
  <si>
    <t>Cajita Borrador LA-20</t>
  </si>
  <si>
    <t>Cajita Porta Clips LYC Rojo</t>
  </si>
  <si>
    <t>cajita Para Témperas Mongol Set x 6</t>
  </si>
  <si>
    <t>Cajita Borrador Negro LA-20</t>
  </si>
  <si>
    <t>Caja Para Marcadores Layconsa L-123 R x 12 pz. Azul</t>
  </si>
  <si>
    <t>Caja Para Marcadores Layconsa L-123 R x 12 pz. Negro</t>
  </si>
  <si>
    <t>Caja Para Marcadores Layconsa L-123 R x 12 pz. Rojo</t>
  </si>
  <si>
    <t>Caja Para Marcadores Layconsa L-123 R x 12 pz. Verde</t>
  </si>
  <si>
    <t>Cajita Layconsa Borrador LA-40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</si>
  <si>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</si>
  <si>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</si>
  <si>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</si>
  <si>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</si>
  <si>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</si>
  <si>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</si>
  <si>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</si>
  <si>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</si>
  <si>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</si>
  <si>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</si>
  <si>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</si>
  <si>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</si>
  <si>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</si>
  <si>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</si>
  <si>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Caja LYC Frasco de Tinta 126 Azul</t>
  </si>
  <si>
    <t>Caja LYC Frasco de Tinta 126 Negro</t>
  </si>
  <si>
    <t>Caja LYC Frasco de Tinta 126 Rojo</t>
  </si>
  <si>
    <t>Caja LYC Frasco de Tinta 126 Verde</t>
  </si>
  <si>
    <t>Caja LYC Resaltador Verde 48x10pz</t>
  </si>
  <si>
    <t>Cajita de Crayón Delgado Layconsa x12</t>
  </si>
  <si>
    <t>Cajita de Crayón Jumbo Triangular Layconsa x12</t>
  </si>
  <si>
    <t>Cajita de Crayón Delgado Layconsa x 6</t>
  </si>
  <si>
    <t>Cajita Para Crayón Delgado Alpha x 12</t>
  </si>
  <si>
    <t>Caja para Marcadores Layconsa 23 x 12 pz. Generico</t>
  </si>
  <si>
    <t>Caja para Marcadores Layconsa 123 x 12 pz. Generico</t>
  </si>
  <si>
    <t>Caja para Marcadores Layconsa 47 x 12 pz. Generico</t>
  </si>
  <si>
    <t>Caja para Marcadores Layconsa 123R x 12 pz. Generico</t>
  </si>
  <si>
    <t>Caja Para Bolígrafo Crystal Layconsa L-036 Fine Generico</t>
  </si>
  <si>
    <t>Caja LYC Resaltador 48x10pz Generico</t>
  </si>
  <si>
    <t>Cajita Para Resaltador 48 fluorescente</t>
  </si>
  <si>
    <t>Caja para Marcadores Layconsa 47 x 12 pz. Generico Colores Especiales</t>
  </si>
  <si>
    <t>Cajita Marcadores mágicos MG-47 x 10</t>
  </si>
  <si>
    <t>Cajita Resaltador Pastel  Genérico  LYC x 10</t>
  </si>
  <si>
    <t>Cajita Crayola Puppy Jumbo  x 4</t>
  </si>
  <si>
    <t>Estuche para Agenda Cartón 225g  53.10 x 36.60 Barnizado</t>
  </si>
  <si>
    <t>Cajita Marcador 47x12 colores  33x22x9.5 cm</t>
  </si>
  <si>
    <t>Cajita Marcador 47x10 colores  33x18.5x9.5 cm</t>
  </si>
  <si>
    <t>Cajita Marcador 47x6 colores  33x12.5x9.5 cm</t>
  </si>
  <si>
    <t>Cajita Para Tèmperas Mongol Set x 7</t>
  </si>
  <si>
    <t>Cajita para Témperas Set x 7 ARTI</t>
  </si>
  <si>
    <t>Cajita Para Témperas Set x 6 pastel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</si>
  <si>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</si>
  <si>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</si>
  <si>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</si>
  <si>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</si>
  <si>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para Témperas Layconsa Set x 6 30 cc</t>
  </si>
  <si>
    <t>Cajita para Markin Color Amarillo</t>
  </si>
  <si>
    <t>Cajita para Markin Color Rojo</t>
  </si>
  <si>
    <t>Cajita para Markin Color Blanco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</si>
  <si>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</si>
  <si>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</si>
  <si>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</si>
  <si>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</si>
  <si>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Cajita Para Témpera LYC 20 cc Set x 12</t>
  </si>
  <si>
    <t>Estuche para Agenda B5</t>
  </si>
  <si>
    <t>Cajitas Temperas pastel EF mongol set x 6</t>
  </si>
  <si>
    <t>Cajitas Tempera metalica EF mongol set x 6 x 20 cc</t>
  </si>
  <si>
    <t>Cajitas Tempera glitter EF mongol set x 6 x 20 cc</t>
  </si>
  <si>
    <t>Cajitas Crayones jumbo EF mongol kids x 12</t>
  </si>
  <si>
    <t>Caja para Boligrafo LYC 36 x 10 colores 32.9x14.7x6.9 cm</t>
  </si>
  <si>
    <t>Cajita para Marcadores LYC 123 x 4 pz</t>
  </si>
  <si>
    <t>Cajita Marcadores LYC 123 x 4 pz colores especiales</t>
  </si>
  <si>
    <t>Cajita Para Témpera Neón Mongol 30cc Set x 6</t>
  </si>
  <si>
    <t>Cajita Pintura Para Dedos Mongol</t>
  </si>
  <si>
    <t>Caja para Marcadores LYC 123x4x12 cj/12 colores especiales</t>
  </si>
  <si>
    <t>Caja para Marcadores LYC 123x4x12 cj/12 colores basicos</t>
  </si>
  <si>
    <t>Cajita plumones EF Mongol School 45x12</t>
  </si>
  <si>
    <t>Cajita Miniengrapador c/sacag. LM-15 Pastel surt. 3</t>
  </si>
  <si>
    <t>Cajita Lapices de Colores CONAFOVICER</t>
  </si>
  <si>
    <t>Cajita para Plumones LYC school 45 x 24</t>
  </si>
  <si>
    <t>Cajita para Plumones LYC school 45 x 36</t>
  </si>
  <si>
    <t>Cajita para Marcadores Layconsa L-123 x 12 pz. Fucsia</t>
  </si>
  <si>
    <t>Cajita para Marcadores Layconsa L-123 x 12 pz. Naranja</t>
  </si>
  <si>
    <t>Cajita para Marcadores Layconsa L-123 x 12 pz. Verde limón</t>
  </si>
  <si>
    <t>Cajita Para Plumones LYC School 45x12pz-Negro</t>
  </si>
  <si>
    <t>Inner Para Plumones LYC School 45 x12pz mcol.</t>
  </si>
  <si>
    <t>Cajita Para Plumones LYC School 45x12pz-Azul</t>
  </si>
  <si>
    <t>Cajita Para Plumones LYC School 45x12pz-Rojo</t>
  </si>
  <si>
    <t>Blister caja bolígrafo triplus x 1 Azul/1Negro/1Rojo Blister</t>
  </si>
  <si>
    <t>Blister caja bolígrafo triplus x Azules blister</t>
  </si>
  <si>
    <t>Tapa de Cajón P/Cuaderno Markin Femenino</t>
  </si>
  <si>
    <t>Tapa de Cajón P/Cuaderno Markin Masculino</t>
  </si>
  <si>
    <t>Tapa de Cajón P/Cuaderno Dinosaurio</t>
  </si>
  <si>
    <t>Tapa de Cajón P/Cuaderno Street Racer</t>
  </si>
  <si>
    <t>Tapa de Cajón P/Cuaderno Pets</t>
  </si>
  <si>
    <t>Tapa de Cajón P/Cuaderno Mandala</t>
  </si>
  <si>
    <t>Tapa de Cajón P/Cuaderno Depote extremo</t>
  </si>
  <si>
    <t>Tapa de Cajón P/Cuaderno Princes Club</t>
  </si>
  <si>
    <t>Tapa de Cajón P/Cuaderno Sweet</t>
  </si>
  <si>
    <t>Tapa de Cajón P/Cuaderno Unicornio</t>
  </si>
  <si>
    <t>Tapa de Cajón P/Cuaderno Kawaii</t>
  </si>
  <si>
    <t>Tapa de Cajón P/Cuaderno Teens</t>
  </si>
  <si>
    <t>Etiqueta Crayón Jumbo Neón</t>
  </si>
  <si>
    <t>Etiqueta Crayón Delgado LYC P.S.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</si>
  <si>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</si>
  <si>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</si>
  <si>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</si>
  <si>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</si>
  <si>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Cola Sintética x 220 gr.</t>
  </si>
  <si>
    <t>Sticker Para Lonchera</t>
  </si>
  <si>
    <t>Respaldo LYC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</si>
  <si>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</si>
  <si>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</si>
  <si>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</si>
  <si>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</si>
  <si>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</si>
  <si>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</si>
  <si>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</si>
  <si>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</si>
  <si>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</si>
  <si>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</si>
  <si>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</si>
  <si>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</si>
  <si>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</si>
  <si>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Azul</t>
  </si>
  <si>
    <t>Etiqueta Para Tablero Acrílico Color Rojo</t>
  </si>
  <si>
    <t>Etiqueta Para Tablero Acrílico Color Topacio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</si>
  <si>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</si>
  <si>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</si>
  <si>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</si>
  <si>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</si>
  <si>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</si>
  <si>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</si>
  <si>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</si>
  <si>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</si>
  <si>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</si>
  <si>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</si>
  <si>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</si>
  <si>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</si>
  <si>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</si>
  <si>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</si>
  <si>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</si>
  <si>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</si>
  <si>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</si>
  <si>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</si>
  <si>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</si>
  <si>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</si>
  <si>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Respaldo 03 Bolígrafos L-036 Fine Azul Blister</t>
  </si>
  <si>
    <t>Respaldo 03 Bolígrafos L-036 Fine Azul/Negro/Rojo Blister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</si>
  <si>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</si>
  <si>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</si>
  <si>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</si>
  <si>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</si>
  <si>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</si>
  <si>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</si>
  <si>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</si>
  <si>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de Marcador 123x4</t>
  </si>
  <si>
    <t>Respaldo Boligrafo Layconsa 36 x 10 pz.</t>
  </si>
  <si>
    <t>Respaldo Layconsa para Glitter de 10 ml x 6 pz.</t>
  </si>
  <si>
    <t>Etiqueta para Crayón Layconsa Puppy Delgado x 12</t>
  </si>
  <si>
    <t>Etiqueta para Plastilina Layconsa Puppy Jumbo x 12 Neón</t>
  </si>
  <si>
    <t>Fajilla Para Borrador Mongol M-20</t>
  </si>
  <si>
    <t>Respaldo 1 Corrector Líquido ergonómico Layconsa 9 ml.</t>
  </si>
  <si>
    <t>Respaldo 1 Mini Corrector Líquido Layconsa 4 ml.</t>
  </si>
  <si>
    <t>Respaldo Marcadores LYC L-47 x 12pz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</si>
  <si>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</si>
  <si>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</si>
  <si>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</si>
  <si>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</si>
  <si>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</si>
  <si>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</si>
  <si>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</si>
  <si>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</si>
  <si>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</si>
  <si>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 p/Papelografo Layconsa Cuadriculado</t>
  </si>
  <si>
    <t>Etiqueta p/Papelografo Layconsa Rayado</t>
  </si>
  <si>
    <t>Etiqueta p/Papelografo Layconsa Mini-Cuadriculado</t>
  </si>
  <si>
    <t>Respaldo Borrador LA-20 + Tajador con depósito doble 513</t>
  </si>
  <si>
    <t>Respaldo Mi primera tijera  Layconsa con rebote</t>
  </si>
  <si>
    <t>Respaldo Goma en Barra Layconsa x 36gr Blister</t>
  </si>
  <si>
    <t>Etiqueta Crayon Jumbo LYC Rojo</t>
  </si>
  <si>
    <t>Etiqueta  Crayon Jumbo LYC Amarillo</t>
  </si>
  <si>
    <t>Etiqueta Crayon  Jumbo LYC Blanco</t>
  </si>
  <si>
    <t>Etiqueta  Crayon Jumbo LYC Anaranjado</t>
  </si>
  <si>
    <t>Etiqueta  Crayon Jumbo LYC Verde Claro</t>
  </si>
  <si>
    <t>Etiqueta  Crayon Jumbo LYC Verde Oscuro</t>
  </si>
  <si>
    <t>Etiqueta Crayon  Jumbo LYC Celeste</t>
  </si>
  <si>
    <t>Etiqueta  Crayon Jumbo LYC Violeta</t>
  </si>
  <si>
    <t>Etiqueta  Crayon Jumbo LYC Negro</t>
  </si>
  <si>
    <t>Etiqueta Crayon  Jumbo LYC Rosado</t>
  </si>
  <si>
    <t>Etiqueta  Crayon Jumbo LYC Marrón</t>
  </si>
  <si>
    <t>Etiqueta  Crayon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</si>
  <si>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</si>
  <si>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</si>
  <si>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</si>
  <si>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</si>
  <si>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Sticker 2.90 x 2.00 cm</t>
  </si>
  <si>
    <t>Stickers para packs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</si>
  <si>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</si>
  <si>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</si>
  <si>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</si>
  <si>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</si>
  <si>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</si>
  <si>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</si>
  <si>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</si>
  <si>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</si>
  <si>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</si>
  <si>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</si>
  <si>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</si>
  <si>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</si>
  <si>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</si>
  <si>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</si>
  <si>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</si>
  <si>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</si>
  <si>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</si>
  <si>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</si>
  <si>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</si>
  <si>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</si>
  <si>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</si>
  <si>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</si>
  <si>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</si>
  <si>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</si>
  <si>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</si>
  <si>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</si>
  <si>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</si>
  <si>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</si>
  <si>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</si>
  <si>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</si>
  <si>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</si>
  <si>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</si>
  <si>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</si>
  <si>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</si>
  <si>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</si>
  <si>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</si>
  <si>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</si>
  <si>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</si>
  <si>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</si>
  <si>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</si>
  <si>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</si>
  <si>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</si>
  <si>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</si>
  <si>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</si>
  <si>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</si>
  <si>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</si>
  <si>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Tallimetro Layconsa</t>
  </si>
  <si>
    <t>Volantes Layconsa</t>
  </si>
  <si>
    <t>Papel Tapiz Layconsa</t>
  </si>
  <si>
    <t>Carteles Mascotas Puppy Layconsa</t>
  </si>
  <si>
    <t>Volantes Mercado Consumidor</t>
  </si>
  <si>
    <t>Pizarra Layconsa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</si>
  <si>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</si>
  <si>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</si>
  <si>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</si>
  <si>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</si>
  <si>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</si>
  <si>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</si>
  <si>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</si>
  <si>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</si>
  <si>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</si>
  <si>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</si>
  <si>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</si>
  <si>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</si>
  <si>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Guarda Couche Puppy A4</t>
  </si>
  <si>
    <t>Carta de Colores de Master Lac</t>
  </si>
  <si>
    <t>Tapa Teens 50h Barniz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</si>
  <si>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</si>
  <si>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</si>
  <si>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</si>
  <si>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</si>
  <si>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</si>
  <si>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</si>
  <si>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</si>
  <si>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Tapa Arcoíris 72 HJ Barniz 20.5x27.4cm</t>
  </si>
  <si>
    <t>Guarda Couche Teens A4</t>
  </si>
  <si>
    <t>Guarda Couche Teens x 50 h  A4</t>
  </si>
  <si>
    <t>Guarda Poster Unicornio A4</t>
  </si>
  <si>
    <t>Guarda 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</si>
  <si>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</si>
  <si>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</si>
  <si>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</si>
  <si>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</si>
  <si>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</si>
  <si>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</si>
  <si>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</si>
  <si>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</si>
  <si>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</si>
  <si>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</si>
  <si>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</si>
  <si>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</si>
  <si>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</si>
  <si>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</si>
  <si>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</si>
  <si>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</si>
  <si>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</si>
  <si>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</si>
  <si>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</si>
  <si>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</si>
  <si>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</si>
  <si>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</si>
  <si>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</si>
  <si>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</si>
  <si>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</si>
  <si>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</si>
  <si>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</si>
  <si>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</si>
  <si>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</si>
  <si>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</si>
  <si>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</si>
  <si>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</si>
  <si>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</si>
  <si>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</si>
  <si>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</si>
  <si>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</si>
  <si>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</si>
  <si>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</si>
  <si>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</si>
  <si>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</si>
  <si>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</si>
  <si>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</si>
  <si>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</si>
  <si>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</si>
  <si>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</si>
  <si>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</si>
  <si>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</si>
  <si>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</si>
  <si>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</si>
  <si>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</si>
  <si>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</si>
  <si>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Papelógrafo Blanco 57x83cm 56gr 25mm</t>
  </si>
  <si>
    <t>Papelógrafo Rayado 57x83cm 56gr 25mm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</si>
  <si>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</si>
  <si>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</si>
  <si>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</si>
  <si>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</si>
  <si>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</si>
  <si>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MUJER Barniz 20.5x27.4cm Sin Stickers</t>
  </si>
  <si>
    <t>Tapa Arcoíris 70 HJ c/diseño HOMBRE Barniz 20.5x27.4cm Sin Stickers</t>
  </si>
  <si>
    <t>Guarda Adhesiva Markin Color Pre Escolar A4 troq.</t>
  </si>
  <si>
    <t>PL/3</t>
  </si>
  <si>
    <t>Guarda Bond Markin Color Pre - Escolar</t>
  </si>
  <si>
    <t>Encarte Informativo - Cuaderno diseño</t>
  </si>
  <si>
    <t>Encarte Informativo - Folder Diseño</t>
  </si>
  <si>
    <t>CONA Guarda bond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</si>
  <si>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</si>
  <si>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</si>
  <si>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</si>
  <si>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</si>
  <si>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</si>
  <si>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</si>
  <si>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Etiqueta Barra Dubai x 45gr. - ESTAMPADO</t>
  </si>
  <si>
    <t>Cuatrifoliado de cuadernos Layconsa</t>
  </si>
  <si>
    <t>Suplex para Cajitas de Crayón</t>
  </si>
  <si>
    <t>Carta de color de Ecosur</t>
  </si>
  <si>
    <t>Horarios Layco Star</t>
  </si>
  <si>
    <t>LAY-SST-P-001 Reglamento Interno de Seguridad y Salud en el Trabajo LYC</t>
  </si>
  <si>
    <t>Juego de Cartas Con Fotos de Productos</t>
  </si>
  <si>
    <t>Juego de carton armable PS</t>
  </si>
  <si>
    <t>Rompecabezas Puppy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</si>
  <si>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</si>
  <si>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</si>
  <si>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</si>
  <si>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</si>
  <si>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</si>
  <si>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</si>
  <si>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</si>
  <si>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</si>
  <si>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</si>
  <si>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</si>
  <si>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</si>
  <si>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Sweet 1 Barniz + Efecto</t>
  </si>
  <si>
    <t>Tapa Sweet 2 Barniz + Efecto</t>
  </si>
  <si>
    <t>Tapa Dinosaurio 1 Barniz + Efecto</t>
  </si>
  <si>
    <t>Tapa Dinosaurio 2 Barniz + Efecto</t>
  </si>
  <si>
    <t>Tapa Fast Racer 1 Barniz + Efecto</t>
  </si>
  <si>
    <t>Tapa Fast Racer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</si>
  <si>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</si>
  <si>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</si>
  <si>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</si>
  <si>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</si>
  <si>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</si>
  <si>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</si>
  <si>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Unicornios 1 Barniz + Efecto</t>
  </si>
  <si>
    <t>Tapa Princesa Propia 1 Barniz + Efecto</t>
  </si>
  <si>
    <t>Tapa Princesa Propia 2 Barniz + Efecto</t>
  </si>
  <si>
    <t>Tapa kawaii 1 Barniz + Efecto</t>
  </si>
  <si>
    <t>Tapa kawaii 2 Barniz + Efecto</t>
  </si>
  <si>
    <t>Tapa Puppy Barniz Gofrada</t>
  </si>
  <si>
    <t>Tapa Estudiante Barniz Gofrada</t>
  </si>
  <si>
    <t>Tapa Teens Barniz Gofrada</t>
  </si>
  <si>
    <t>Tapa Markin Color Barniz Gofrada 20.7 cm x 27.8 cm</t>
  </si>
  <si>
    <t>Tapa Markin 100 HJ Color Barniz Gofrada</t>
  </si>
  <si>
    <t>Tapa Markin 100 HJ Color Barniz</t>
  </si>
  <si>
    <t>Tapa Markin Color Barniz Gofrada 20.7 cm x 27.8 cm Pre-escolar</t>
  </si>
  <si>
    <t>Tapa Markin Masculino Barniz 20.7 cm x 27.8 cm Pre-escolar</t>
  </si>
  <si>
    <t>Tapa Markin Femenino Barniz 20.7 cm x 27.8 cm Pre-escolar</t>
  </si>
  <si>
    <t>Tapa Convenio LYC 92 HJ Barniz 20.5x27.4cm</t>
  </si>
  <si>
    <t>CONA tapa diseño grapado</t>
  </si>
  <si>
    <t>Encarte Kawaii a4</t>
  </si>
  <si>
    <t>Encarte Princess Club a4</t>
  </si>
  <si>
    <t>Encarte Mandala a4</t>
  </si>
  <si>
    <t>Encarte Unicornio a4</t>
  </si>
  <si>
    <t>Encarte Dino Atack a4</t>
  </si>
  <si>
    <t>Encarte Cute Pes a4</t>
  </si>
  <si>
    <t>Encarte Niña pre escolar a4</t>
  </si>
  <si>
    <t>Encarte Potencia extrema a4</t>
  </si>
  <si>
    <t>Encarte Street Race a4</t>
  </si>
  <si>
    <t>Encarte Niño pre escolar a4</t>
  </si>
  <si>
    <t>Encarte Sweet Oficio</t>
  </si>
  <si>
    <t>Encarte Kawaii Oficio</t>
  </si>
  <si>
    <t>Encarte Princess club Oficio</t>
  </si>
  <si>
    <t>Encarte Mandala Oficio</t>
  </si>
  <si>
    <t>Encarte Unicornio Oficio</t>
  </si>
  <si>
    <t>Encarte Niña pre escolar Oficio</t>
  </si>
  <si>
    <t>Encarte Dino Atack Oficio</t>
  </si>
  <si>
    <t>Encarte Cute Pes Oficio</t>
  </si>
  <si>
    <t>Encarte Potencia extrema Oficio</t>
  </si>
  <si>
    <t>Encarte Street Race Oficio</t>
  </si>
  <si>
    <t>Encarte Niño pre escolar Oficio</t>
  </si>
  <si>
    <t>Encarte Gamer a4</t>
  </si>
  <si>
    <t>Encarte Gamer Oficio</t>
  </si>
  <si>
    <t>Thinner de Limpieza para Imprenta</t>
  </si>
  <si>
    <t>Plastic MEK Make UP</t>
  </si>
  <si>
    <t>LT/1000</t>
  </si>
  <si>
    <t>Dispersion Amarillo Ocre</t>
  </si>
  <si>
    <t>Dispersión al Agua Rosa E CI 122</t>
  </si>
  <si>
    <t>Solución Silicona AK-350 al 1%</t>
  </si>
  <si>
    <t>GR/1</t>
  </si>
  <si>
    <t>Master lac blanco (reproceso)</t>
  </si>
  <si>
    <t>Elastómero Termoplástico AA006-6462 Link Upon (para borrador)</t>
  </si>
  <si>
    <t>Etanolamina</t>
  </si>
  <si>
    <t>Pintura Verde</t>
  </si>
  <si>
    <t>GA/1</t>
  </si>
  <si>
    <t>Pigmento Fire Red FEX-15</t>
  </si>
  <si>
    <t>Pigmento Naranja Color Index 13</t>
  </si>
  <si>
    <t>Masterbach Lila 14005/5</t>
  </si>
  <si>
    <t>Masterbach Azul 15052/1</t>
  </si>
  <si>
    <t>Pigmento Verde TRA9500</t>
  </si>
  <si>
    <t>Pigmento Violeta Panax Violet 605</t>
  </si>
  <si>
    <t>Pigmento Pearl KC-100</t>
  </si>
  <si>
    <t>Pigmento Pearl KC-300</t>
  </si>
  <si>
    <t>Hostatint blanco T-BR</t>
  </si>
  <si>
    <t>Pigmento Verde Stellar Green FEX-8</t>
  </si>
  <si>
    <t>Masterbatch MB Negro  Premiun 74-LL</t>
  </si>
  <si>
    <t>Pigmento Verde V-13512</t>
  </si>
  <si>
    <t>Pigmento Azul Ftalocianina 1501-C</t>
  </si>
  <si>
    <t>Pigmento Verde Fluor</t>
  </si>
  <si>
    <t>Pigmento Transparente Amarillo - A9596</t>
  </si>
  <si>
    <t>Masterbach Azul 15100/3</t>
  </si>
  <si>
    <t>Masterbach Blanco LL70</t>
  </si>
  <si>
    <t>Pigmento Multipure Amarillo Y-1456</t>
  </si>
  <si>
    <t>Pigmento Plata Para Plásticos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</si>
  <si>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</si>
  <si>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</si>
  <si>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</si>
  <si>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</si>
  <si>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</si>
  <si>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</si>
  <si>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Escarcha  V01079019</t>
  </si>
  <si>
    <t>Pigmento KC-500</t>
  </si>
  <si>
    <t>Pigmento Regal 330 Negro de Humo</t>
  </si>
  <si>
    <t>Pigmento Megafast Blue BD-909-BMR</t>
  </si>
  <si>
    <t>Pigmento Violete Lumiere 0348R-NC-PM</t>
  </si>
  <si>
    <t>Pigmento Rojo Noperm BBL</t>
  </si>
  <si>
    <t>Masterbach Naranja F82</t>
  </si>
  <si>
    <t>Pigmento  Negro de Humo 220</t>
  </si>
  <si>
    <t>Pigmento Rosado Astral Pink Fex-1</t>
  </si>
  <si>
    <t>Pigmento Naranja Neon Blaze FEX- 5</t>
  </si>
  <si>
    <t>Pigmento negro carbón 10.961 m</t>
  </si>
  <si>
    <t>Pigmento Rosado Astral Pink 1 HMP</t>
  </si>
  <si>
    <t>Pigmento Amarillo Lunar Yellow 27 HMP</t>
  </si>
  <si>
    <t>Pigmento Magenta FB-21</t>
  </si>
  <si>
    <t>Pigmento Violeta FB-20</t>
  </si>
  <si>
    <t>Pigmento Naranja Lazindynt 2X-4</t>
  </si>
  <si>
    <t>Pigmento Amarillo Permanent Yellow 1311</t>
  </si>
  <si>
    <t>Pigmento Sudafast Verde 2730K</t>
  </si>
  <si>
    <t>Pigmento Fluoresente FB-17 Amarillo Limon</t>
  </si>
  <si>
    <t>Pigmento Fluorescente FB-11 Rosado</t>
  </si>
  <si>
    <t>Pigmento Naranja Amarillo Fluorescente FB-15</t>
  </si>
  <si>
    <t>Pigmento Amarillo Oro Fluorescente FB-16</t>
  </si>
  <si>
    <t>Charms estrellas</t>
  </si>
  <si>
    <t>Pigmento Prosphere S-17 Yellow</t>
  </si>
  <si>
    <t>Poliestireno Cristal</t>
  </si>
  <si>
    <t>San</t>
  </si>
  <si>
    <t>Paletas Burbujas Blanca para Témpera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</si>
  <si>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</si>
  <si>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</si>
  <si>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</si>
  <si>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</si>
  <si>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</si>
  <si>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</si>
  <si>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</si>
  <si>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</si>
  <si>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</si>
  <si>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</si>
  <si>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</si>
  <si>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</si>
  <si>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</si>
  <si>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</si>
  <si>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</si>
  <si>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</si>
  <si>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</si>
  <si>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</si>
  <si>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</si>
  <si>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</si>
  <si>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</si>
  <si>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</si>
  <si>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</si>
  <si>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</si>
  <si>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Tinta Para Resaltador Pastel Salmón</t>
  </si>
  <si>
    <t>Tinta Flexográfica Rojo p/Papel Bond</t>
  </si>
  <si>
    <t>Tinta Pizarra Verde WB 7339.1</t>
  </si>
  <si>
    <t>Tinta Pizarra Rojo  WB 7322.1</t>
  </si>
  <si>
    <t>Tinta Pizarra Negro WB 7311.1</t>
  </si>
  <si>
    <t>Tinta Pizarra Azul WB 7302.1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</si>
  <si>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</si>
  <si>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</si>
  <si>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</si>
  <si>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</si>
  <si>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</si>
  <si>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</si>
  <si>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</si>
  <si>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</si>
  <si>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Tinta Pizarra Anaranjado WB 7362.1</t>
  </si>
  <si>
    <t>Tinta Pizarra Magenta WB 7342.1</t>
  </si>
  <si>
    <t>Tinta Pizarra Violeta WB 7341.1</t>
  </si>
  <si>
    <t>Tinta Pizarra Yellow-Green WB 7336.1</t>
  </si>
  <si>
    <t>Tinta serigrafica Polydyne</t>
  </si>
  <si>
    <t>Acido Estearico (COPSACID)</t>
  </si>
  <si>
    <t>Estearato de Calcio</t>
  </si>
  <si>
    <t>Parafina Micro</t>
  </si>
  <si>
    <t>Cera de Polietileno Licowax PE 520 fine grain</t>
  </si>
  <si>
    <t>Vaselina Líquida</t>
  </si>
  <si>
    <t>Dritex (Aceite de Soya Completamente Hidrogenado)</t>
  </si>
  <si>
    <t>Acido esteárico Triple prensado</t>
  </si>
  <si>
    <t>Cera Oppanol (N-150)</t>
  </si>
  <si>
    <t>Aceite ANPQ 22 Brinco</t>
  </si>
  <si>
    <t>Cera Microcristalina INDRAMIC 78D</t>
  </si>
  <si>
    <t>Blanco Optico 2222K</t>
  </si>
  <si>
    <t>Cera Microcristalina R-6874A</t>
  </si>
  <si>
    <t>Cera Microcristalina 5714A</t>
  </si>
  <si>
    <t>Punta Carga 036F</t>
  </si>
  <si>
    <t>Pegamento Para Fieltro</t>
  </si>
  <si>
    <t>Tiza CP-44</t>
  </si>
  <si>
    <t>Almidón de Maiz Insa</t>
  </si>
  <si>
    <t>Polvo de cuarzo malla 100</t>
  </si>
  <si>
    <t>Remaches</t>
  </si>
  <si>
    <t>Remache (Rivet) 7.5 x 40 ( XR-060-40 070 00000)</t>
  </si>
  <si>
    <t>Film PVC Ctristal 110 mm x 100 mic</t>
  </si>
  <si>
    <t>Film PVC Ctristal 245 mm x 120 mic</t>
  </si>
  <si>
    <t>Filtro 042 (CPE2873)</t>
  </si>
  <si>
    <t>Punta carga 042</t>
  </si>
  <si>
    <t>Punta Poliester 6x5.3x29.5mm Marcador 123 (045) ET-060PN(T)</t>
  </si>
  <si>
    <t>Tinta indeleble verde ma 2131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</si>
  <si>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</si>
  <si>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</si>
  <si>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</si>
  <si>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</si>
  <si>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</si>
  <si>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Tinta Fluorescente Amarillo PF 6102</t>
  </si>
  <si>
    <t>Tinta Fluorescente Rosado PF 6140</t>
  </si>
  <si>
    <t>Punta Carga 17 (X-9578)</t>
  </si>
  <si>
    <t>Film PET Transferencia 10x7cm Marcador 047</t>
  </si>
  <si>
    <t>Film PET Transferencia 10x7cm Marcador L123-R</t>
  </si>
  <si>
    <t>Filtro 048 (CPE3115)</t>
  </si>
  <si>
    <t>Punta Poliester Marcador L-47 ( 4.60 X 30 MM) MEI KEKE</t>
  </si>
  <si>
    <t>Film PET Transferencia 10x7cm Marcador 047 NP</t>
  </si>
  <si>
    <t>Film PET Transferencia 10x7cm Marcador 047 Rojo</t>
  </si>
  <si>
    <t>Film PET Transferencia 10x7cm Marcador 047 Negro</t>
  </si>
  <si>
    <t>Film PET Transferencia 10x7cm Marcador 047 Verde</t>
  </si>
  <si>
    <t>Film PET Transferencia 10.5x7cm Marcador L123 Azul</t>
  </si>
  <si>
    <t>Film PET Transferencia 10.5x7cm Marcador L123 Rojo</t>
  </si>
  <si>
    <t>Film PET Transferencia 10.5x7cm Marcador L123 Negro</t>
  </si>
  <si>
    <t>Film PET Transferencia 10.5x7cm Marcador L123 Verde</t>
  </si>
  <si>
    <t>Resina Colofonia</t>
  </si>
  <si>
    <t>Alcohol Polivinílico PVA Kuraray Poval 49-88</t>
  </si>
  <si>
    <t>Alcohol Polivinílico PVA SPVA088-50 Colorchem</t>
  </si>
  <si>
    <t>Disolvente Retardador Vinilico</t>
  </si>
  <si>
    <t>Solvente ZY-783</t>
  </si>
  <si>
    <t>Urea</t>
  </si>
  <si>
    <t>Dibutyl Ftalato (DBP)</t>
  </si>
  <si>
    <t>Hexametafosfato de Sodio</t>
  </si>
  <si>
    <t>Incromold S-BE-HU</t>
  </si>
  <si>
    <t>Polietilenglycol 400</t>
  </si>
  <si>
    <t>Slip PLA1606597 Avient</t>
  </si>
  <si>
    <t>Ácido Fénico (Fenil)</t>
  </si>
  <si>
    <t>Perfume Fragancia Talco</t>
  </si>
  <si>
    <t>Fragancia DOV body wash</t>
  </si>
  <si>
    <t>Esencia aromatizador pino AZ</t>
  </si>
  <si>
    <t>Sal Industrial</t>
  </si>
  <si>
    <t>Acelerador de Vulcanización TMTD</t>
  </si>
  <si>
    <t>Borato de Sodio - Borax</t>
  </si>
  <si>
    <t>Blanqueador Optico</t>
  </si>
  <si>
    <t>Cabosil M5</t>
  </si>
  <si>
    <t>Byk W-966</t>
  </si>
  <si>
    <t>Malla para Serigrafiado # 150 Nylon 34W x 158cm Ancho</t>
  </si>
  <si>
    <t>MT/100</t>
  </si>
  <si>
    <t>Barniz U.V. 6162 - 8020 (6102)</t>
  </si>
  <si>
    <t>Polietileno Alta Densidad Soplado LH 7350</t>
  </si>
  <si>
    <t>Piedra Pomex M-100</t>
  </si>
  <si>
    <t>Retardador DL-1000</t>
  </si>
  <si>
    <t>Catalizador Exc</t>
  </si>
  <si>
    <t>Excelite Blanco Ultra</t>
  </si>
  <si>
    <t>Excelite Negro DTK</t>
  </si>
  <si>
    <t>Poliretano con Perfil Doble 25x5mm - Duitt</t>
  </si>
  <si>
    <t>Emulsión Dirasol 22x900ml</t>
  </si>
  <si>
    <t>Pincel Plástico Plateado de 17cm</t>
  </si>
  <si>
    <t>Compuesto PVC Plastificado AND 570</t>
  </si>
  <si>
    <t>Polipropileno 20H92N</t>
  </si>
  <si>
    <t>Polipropileno 03H</t>
  </si>
  <si>
    <t>Cinta 40x122 Blanca</t>
  </si>
  <si>
    <t>Cinta 61x122 Dorado Polipropileno</t>
  </si>
  <si>
    <t>Alcohol Polivinilico Celvol 203</t>
  </si>
  <si>
    <t>Alambre Redondo N°24 p/Cuaderno</t>
  </si>
  <si>
    <t>Polipropileno Clarificado 10R10C</t>
  </si>
  <si>
    <t>Filtro Para Cola</t>
  </si>
  <si>
    <t>Bencina</t>
  </si>
  <si>
    <t>Escarcha  Dorado para Glitter</t>
  </si>
  <si>
    <t>Polimero de Poliacrilato 940</t>
  </si>
  <si>
    <t>Papel Bond 70g x 84.6cm</t>
  </si>
  <si>
    <t>Polipropileno Clarificado 45R60CD</t>
  </si>
  <si>
    <t>COPOLIMERO R. 80R90CD</t>
  </si>
  <si>
    <t>MONOMERO  DE ACETATO VINIL  (VAM)</t>
  </si>
  <si>
    <t>PERSULFATO DE AMONIO</t>
  </si>
  <si>
    <t>BICARBONATO DE SODIO</t>
  </si>
  <si>
    <t>Forro Layconsa ext. impreso y plastificado 68x39 cm Papel Bond 75gr - Archivador</t>
  </si>
  <si>
    <t>Guarda Layconsa int. impreso y plastificado 64x34cm Papel Bond 75gr - Archivador</t>
  </si>
  <si>
    <t>Alcohol Polivinilico Celvol 205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</si>
  <si>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</si>
  <si>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</si>
  <si>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</si>
  <si>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</si>
  <si>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</si>
  <si>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</si>
  <si>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</si>
  <si>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</si>
  <si>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Polipropileno 20H10NA</t>
  </si>
  <si>
    <t>Adaptador Para Bolígrafo 036</t>
  </si>
  <si>
    <t>Bandeja Plastico 45 x 24 School</t>
  </si>
  <si>
    <t>Escarcha plateada TS 1/128"</t>
  </si>
  <si>
    <t>Acrilato de butilo</t>
  </si>
  <si>
    <t>Papel Bond 56g x 83cm Prisma bright Suzano</t>
  </si>
  <si>
    <t>Papel Bond 75g x 84cm Prisma bright Suzano</t>
  </si>
  <si>
    <t>Clip Jumbo 118.6 x 67.2 ( C200120A00000W)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</si>
  <si>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</si>
  <si>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</si>
  <si>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</si>
  <si>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</si>
  <si>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</si>
  <si>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</si>
  <si>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</si>
  <si>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</si>
  <si>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</si>
  <si>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</si>
  <si>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</si>
  <si>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</si>
  <si>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</si>
  <si>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</si>
  <si>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</si>
  <si>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</si>
  <si>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</si>
  <si>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</si>
  <si>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</si>
  <si>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</si>
  <si>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</si>
  <si>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</si>
  <si>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</si>
  <si>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</si>
  <si>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</si>
  <si>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</si>
  <si>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</si>
  <si>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</si>
  <si>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</si>
  <si>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</si>
  <si>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</si>
  <si>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</si>
  <si>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</si>
  <si>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</si>
  <si>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</si>
  <si>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</si>
  <si>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</si>
  <si>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</si>
  <si>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</si>
  <si>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</si>
  <si>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</si>
  <si>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</si>
  <si>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</si>
  <si>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</si>
  <si>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</si>
  <si>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</si>
  <si>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</si>
  <si>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</si>
  <si>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</si>
  <si>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</si>
  <si>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</si>
  <si>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</si>
  <si>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</si>
  <si>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</si>
  <si>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</si>
  <si>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</si>
  <si>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</si>
  <si>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</si>
  <si>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</si>
  <si>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</si>
  <si>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</si>
  <si>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</si>
  <si>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</si>
  <si>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</si>
  <si>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</si>
  <si>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</si>
  <si>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</si>
  <si>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Negro 50x70 cm</t>
  </si>
  <si>
    <t>Papel Lustre Rojo 50x70 cm</t>
  </si>
  <si>
    <t>Papel Lustre Verde Claro 50x70 cm</t>
  </si>
  <si>
    <t>Papel Lustre Verde Oscuro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</si>
  <si>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</si>
  <si>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</si>
  <si>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</si>
  <si>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</si>
  <si>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</si>
  <si>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</si>
  <si>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</si>
  <si>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</si>
  <si>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</si>
  <si>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</si>
  <si>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Cartón Compacto Gris (1mm) Nro 6 de 64.5 x 84.5 cm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</si>
  <si>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</si>
  <si>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</si>
  <si>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</si>
  <si>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</si>
  <si>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</si>
  <si>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</si>
  <si>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</si>
  <si>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</si>
  <si>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</si>
  <si>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</si>
  <si>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</si>
  <si>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</si>
  <si>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Brimopol 35-BN 70 tensoactivo</t>
  </si>
  <si>
    <t>Papelógrafo Blanco 57x83cm 56gr. 25mm</t>
  </si>
  <si>
    <t>Papel Bond 75g x 84cm Paper One</t>
  </si>
  <si>
    <t>Arena Sílice Seca</t>
  </si>
  <si>
    <t>Papel Bond 90g x 84cm</t>
  </si>
  <si>
    <t>Papel Bond 70g x 84cm Paper One</t>
  </si>
  <si>
    <t>Alambre Redondo N°24 p/Cuaderno 2KG</t>
  </si>
  <si>
    <t>Etiqueta Cartulina escolar Negra 150 gr. 50 x 65cm</t>
  </si>
  <si>
    <t>Mecanismo p/Archivador Lomo Ancho</t>
  </si>
  <si>
    <t>Sujetador compresor metalico</t>
  </si>
  <si>
    <t>Anillo Metalico archivador</t>
  </si>
  <si>
    <t>Tapa Archivador LYC</t>
  </si>
  <si>
    <t>Remache para archivador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</si>
  <si>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</si>
  <si>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</si>
  <si>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</si>
  <si>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</si>
  <si>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</si>
  <si>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</si>
  <si>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</si>
  <si>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Autocopiativo CB Blanco 61x86 cm</t>
  </si>
  <si>
    <t>Autocopiativo CFB Verde 61x86cm.</t>
  </si>
  <si>
    <t>Autocopiativo CF Rosado 61x86cm</t>
  </si>
  <si>
    <t>Cartón Duplex R/B C20 - 70 x 100cm</t>
  </si>
  <si>
    <t>Carton Duplex Maule 225gr. - 70cm. Bobina</t>
  </si>
  <si>
    <t>Cartulina Dúplex Rev. Kraft 245g x 70 cm Cal.16 (RC)</t>
  </si>
  <si>
    <t>Cartulina Dúplex Rev. Kraft 265g x 70 cm Cal. 18 (RC)</t>
  </si>
  <si>
    <t>Cartón Duplex Maule R/B C12 - 100cm.</t>
  </si>
  <si>
    <t>Cartón Duplex Maule R/B C14 - 70cm.</t>
  </si>
  <si>
    <t>Cartón Duplex Maule R/B C14 - 100cm.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</si>
  <si>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</si>
  <si>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</si>
  <si>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</si>
  <si>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</si>
  <si>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</si>
  <si>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</si>
  <si>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</si>
  <si>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</si>
  <si>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Papel Autoahesivo 45x85cm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</si>
  <si>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</si>
  <si>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</si>
  <si>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</si>
  <si>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</si>
  <si>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120 Gr 72x102cm</t>
  </si>
  <si>
    <t>Papel Couche 115 Gr 61x86 R/500</t>
  </si>
  <si>
    <t>Papel Couche 200 Gr 72x102cm</t>
  </si>
  <si>
    <t>Papel Couche Mate 200Grs. 72x102cm.</t>
  </si>
  <si>
    <t>Papel Couche Brillante 150G 72 x 81 cm Hannoart</t>
  </si>
  <si>
    <t>Papel Couche Brillante 115G 60 x 84 cm Hannoart</t>
  </si>
  <si>
    <t>Papel Couche Brillante 300G 72 x 102 cm Hannoart</t>
  </si>
  <si>
    <t>Papel Couche Brillante 150G 72 x 102 cm Hannoart</t>
  </si>
  <si>
    <t>Papel Couche Brillo 150G 72 x 102 cm</t>
  </si>
  <si>
    <t>Papel Couche Mate 115G 90 x 84 cm</t>
  </si>
  <si>
    <t>Papel Kraft 50gr 120x75cm x 500</t>
  </si>
  <si>
    <t>Tinta Blanco Cubritivo Ecolcart</t>
  </si>
  <si>
    <t>Tinta Blanco Transparente Ecolcart</t>
  </si>
  <si>
    <t>Tinta Azul Reflejo Ecolcart</t>
  </si>
  <si>
    <t>Tinta Pantone Rubine Red C EC3450 (Magent Bas</t>
  </si>
  <si>
    <t>Tinta Pantone Blue 072 C EC4400</t>
  </si>
  <si>
    <t>Tinta Pantone Green C EC5400</t>
  </si>
  <si>
    <t>Tinta Pantone Marrón 4695C</t>
  </si>
  <si>
    <t>Tinta Pantone 873</t>
  </si>
  <si>
    <t>Tinta Fluorecente Aurora Flurex</t>
  </si>
  <si>
    <t>Tinta Pantone 9184C (Crema)</t>
  </si>
  <si>
    <t>Warm Red C</t>
  </si>
  <si>
    <t>Contrahendido Cito RS 0.4x1.0 (Canaleta Verde)</t>
  </si>
  <si>
    <t>Contrahendido Kiss Gris 0.4x0.6mm</t>
  </si>
  <si>
    <t>Plástico Polynex Mate 30Mic 350mm x 2750m</t>
  </si>
  <si>
    <t>Lámina Polynex Mate 30Mic x 500mm x 2750m</t>
  </si>
  <si>
    <t>Plástico Polynex Gloss 570mm</t>
  </si>
  <si>
    <t>Papel Klupac Klabin de 82gr. - Bobina 121 cm.</t>
  </si>
  <si>
    <t>Planchas Azura 740x600x0.30 - KOMORI 528</t>
  </si>
  <si>
    <t>Planchas Azura - 745x605x0.30 - SM742</t>
  </si>
  <si>
    <t>Planchas Azura - 1030x770x0.30 - SM102SP</t>
  </si>
  <si>
    <t>Tinta Epple Extra Cyan</t>
  </si>
  <si>
    <t>Tinta Epple Extra Magenta</t>
  </si>
  <si>
    <t>Tinta Epple Extra Amarillo</t>
  </si>
  <si>
    <t>Tinta Epple Extra Negro</t>
  </si>
  <si>
    <t>Purycol CV 126AT</t>
  </si>
  <si>
    <t>Pegamento Imprenta Purycol 1546</t>
  </si>
  <si>
    <t>Pegamento Purycol 1544</t>
  </si>
  <si>
    <t>Pegamento Purycol CV-040</t>
  </si>
  <si>
    <t>Barniz Brillante RR 10L9720</t>
  </si>
  <si>
    <t>Resina Corta de Soya al 70%</t>
  </si>
  <si>
    <t>Espesante Acrílico al 55% Floprint TA 180</t>
  </si>
  <si>
    <t>Mowital B60</t>
  </si>
  <si>
    <t>Látex Vinil Acrílico Brillante al 55%</t>
  </si>
  <si>
    <t>Caucho Facticio</t>
  </si>
  <si>
    <t>Caucho Sintético 1502</t>
  </si>
  <si>
    <t>Caucho Sintético 1510</t>
  </si>
  <si>
    <t>Caucho Facticio (Enrofil 400C) BR</t>
  </si>
  <si>
    <t>Caucho Facticio /WHITE LIV</t>
  </si>
  <si>
    <t>Espesante Acrilico al 40%</t>
  </si>
  <si>
    <t>Modificador Reologico asociativo (Polacril AT960) al 30%</t>
  </si>
  <si>
    <t>Aceite de Ricino</t>
  </si>
  <si>
    <t>Nitrocelulosa RS de 2000 en IPA al 30%</t>
  </si>
  <si>
    <t>Harina Industrial</t>
  </si>
  <si>
    <t>Hidroxi Etil Celulosa Natrosol 250HHBR</t>
  </si>
  <si>
    <t>Mecellose</t>
  </si>
  <si>
    <t>Butil Acetato de Celulosa CAB-551</t>
  </si>
  <si>
    <t>Hidroxi Etil Celulosa Cellosize QP-52000 H</t>
  </si>
  <si>
    <t>Resina Maleica</t>
  </si>
  <si>
    <t>Polisacarida Goma Arábiga</t>
  </si>
  <si>
    <t>Poliestireno alto impacto HP8250 Tairerex</t>
  </si>
  <si>
    <t>Polipropileno Clarificado Soplado</t>
  </si>
  <si>
    <t>Oxido de Magnesio</t>
  </si>
  <si>
    <t>Dióxido de Titanio Tipo Aguas, Esm y Lacas</t>
  </si>
  <si>
    <t>Dióxido de Titanio CR-506</t>
  </si>
  <si>
    <t>Tiza Malla 600 Ultrafina</t>
  </si>
  <si>
    <t>Tiza Malla 325 Blanca Imprimantes</t>
  </si>
  <si>
    <t>Carbonato de calcio M-400 (Tiza Cisne)</t>
  </si>
  <si>
    <t>Talco Blanco Micronizado</t>
  </si>
  <si>
    <t>Neogen 2000</t>
  </si>
  <si>
    <t>Poligloss 90C</t>
  </si>
  <si>
    <t>Hydrite UF 90</t>
  </si>
  <si>
    <t>Caolín Malla 400 PZ 600 (Silicato de Aluminio)</t>
  </si>
  <si>
    <t>Caolín Malla 400 Extender (Silicato de Aluminio)</t>
  </si>
  <si>
    <t>Dispersión al Agua Negro</t>
  </si>
  <si>
    <t>Pigmento Negro de Humo Color Index 7 (B.7)</t>
  </si>
  <si>
    <t>Pigmento Oxido Hierro Amarillo Importado</t>
  </si>
  <si>
    <t>Pigmento Amarillo Óxido de Hierro 4313 Synox</t>
  </si>
  <si>
    <t>Dispersión Universal Amarillo Ocre Oxido</t>
  </si>
  <si>
    <t>Pigmento Amarillo Cromo Mediano Color Index Y.34</t>
  </si>
  <si>
    <t>Dispersión al Agua Amarillo Hansa</t>
  </si>
  <si>
    <t>Pigmento Amarillo limón AV 11148-1</t>
  </si>
  <si>
    <t>Pigmento Amarillo pastel AV 11149-2</t>
  </si>
  <si>
    <t>Pigmento Gris AV 17060-2</t>
  </si>
  <si>
    <t>Pigmento Naranja Molibdato Color Index R.104</t>
  </si>
  <si>
    <t>Dispersión al Agua Anaranjada</t>
  </si>
  <si>
    <t>Diacetanil Orange</t>
  </si>
  <si>
    <t>Crysoidina G Conc. BO2 Color Index 11270</t>
  </si>
  <si>
    <t>Pigmento Salmon oscuro AV 13274-2</t>
  </si>
  <si>
    <t>Pigmento Oxido de Hierro Rojo Importado</t>
  </si>
  <si>
    <t>Pigmento Óxido de Hierro Rojo</t>
  </si>
  <si>
    <t>Polvo de Bronce RG 7600</t>
  </si>
  <si>
    <t>Pigmento Rojo FGR Color Index R.112</t>
  </si>
  <si>
    <t>Dispersión al Agua Rojo FGR</t>
  </si>
  <si>
    <t>Pigmento Rojo F5RK Color Index R.170</t>
  </si>
  <si>
    <t>Red G Conc. AR1 Color Index 16 ó ci 12150</t>
  </si>
  <si>
    <t>Pigmento Marrón Bon Color Index R.52:2</t>
  </si>
  <si>
    <t>Pigmento Marrón claro AV 18075-2</t>
  </si>
  <si>
    <t>Pigmento Chocolate AV 18076-2</t>
  </si>
  <si>
    <t>Pigmento Azul Ultramar Color Index B.29 Grado 8</t>
  </si>
  <si>
    <t>Azul Milory PV</t>
  </si>
  <si>
    <t>Victoria Pure Blue Color Index 7</t>
  </si>
  <si>
    <t>Pigmento Azul acero AV 15228-1</t>
  </si>
  <si>
    <t>Pigmento Azul Cobalto AV 15227-2</t>
  </si>
  <si>
    <t>Dispersión al Agua Azul Rojizo 15:1</t>
  </si>
  <si>
    <t>Pigmento Azul Rojizo Color Index B.15:1</t>
  </si>
  <si>
    <t>Dispersión al Agua Azul Verdoso 15:3</t>
  </si>
  <si>
    <t>Reflex Azul A6L-R 31</t>
  </si>
  <si>
    <t>Pigmento Reflex Azul R-56</t>
  </si>
  <si>
    <t>Dispersión al Agua Verde Azuloso</t>
  </si>
  <si>
    <t>Pigmento Verde Azuloso Color Index G.7</t>
  </si>
  <si>
    <t>Malachite Green Powder BG4</t>
  </si>
  <si>
    <t>Pigmento Verde Lima AV 16250-1</t>
  </si>
  <si>
    <t>Pigmento Verde esmeralda AV 16249-1</t>
  </si>
  <si>
    <t>Dispersión al Agua Violeta</t>
  </si>
  <si>
    <t>Methil Violet Powder Conc. BV1</t>
  </si>
  <si>
    <t>Colorante Solvent Violet 8</t>
  </si>
  <si>
    <t>Colorante Basic Violet 3</t>
  </si>
  <si>
    <t>Pigmento Berenjena AV 14120-1</t>
  </si>
  <si>
    <t>Pigmento Lila AV 13273-1</t>
  </si>
  <si>
    <t>Trietanolamina 99%</t>
  </si>
  <si>
    <t>Dioctil Ftalato  DOP</t>
  </si>
  <si>
    <t>Plastificante Mesamoll</t>
  </si>
  <si>
    <t>Emulsión de Silicona</t>
  </si>
  <si>
    <t>Emulsión Silicona Protector</t>
  </si>
  <si>
    <t>Lecitina de Soya</t>
  </si>
  <si>
    <t>Nousperse</t>
  </si>
  <si>
    <t>Agente Humectante Para Aguas</t>
  </si>
  <si>
    <t>Agente Antiespumante Para Aguas</t>
  </si>
  <si>
    <t>Agente Dispersante Para Aguas</t>
  </si>
  <si>
    <t>Amino Propanol AMP</t>
  </si>
  <si>
    <t>Hidroxido de Sodio</t>
  </si>
  <si>
    <t>Finbond M-198</t>
  </si>
  <si>
    <t>Vulkasit MBTS</t>
  </si>
  <si>
    <t>Dispersante Para Tintas Aerosol</t>
  </si>
  <si>
    <t>Lauril Sulfato de Sodio (Aurol S 28)</t>
  </si>
  <si>
    <t>Acelerador de Caucho MBTS (DM) Huangyan</t>
  </si>
  <si>
    <t>Regulador de pH para Base</t>
  </si>
  <si>
    <t>Estearato de Zinc</t>
  </si>
  <si>
    <t>Carbonato de Sodio liviano bolsa x 25 kilos</t>
  </si>
  <si>
    <t>Tripolifosfato de Sodio</t>
  </si>
  <si>
    <t>Acticide Spx</t>
  </si>
  <si>
    <t>Azufre de Pantera S-500</t>
  </si>
  <si>
    <t>Acticide HF</t>
  </si>
  <si>
    <t>Protector de Pelicula Seca (Acticide EPW)</t>
  </si>
  <si>
    <t>Ipel PB16 (Preservante de Imprimantes y Temples)</t>
  </si>
  <si>
    <t>Biocida IPL 507</t>
  </si>
  <si>
    <t>Parafina Macro 58/60</t>
  </si>
  <si>
    <t>Licowax OP LF Cera de Poli Estireno</t>
  </si>
  <si>
    <t>Bentonita</t>
  </si>
  <si>
    <t>Bentone SD-2</t>
  </si>
  <si>
    <t>Solvente 1</t>
  </si>
  <si>
    <t>Toluol/ Tolueno cilindro x 180 kilos</t>
  </si>
  <si>
    <t>Alcohol Isopropílico IPA</t>
  </si>
  <si>
    <t>Alcohol Metílico</t>
  </si>
  <si>
    <t>Alcohol Edularante Sorbitol al 72%</t>
  </si>
  <si>
    <t>Acetato de Etilo cilindro x 185 kilos</t>
  </si>
  <si>
    <t>Alcohol ester Texanol</t>
  </si>
  <si>
    <t>Acetato de Metilo</t>
  </si>
  <si>
    <t>Cellosolve Solvent</t>
  </si>
  <si>
    <t>Etilen Glicol</t>
  </si>
  <si>
    <t>Butil Glicol</t>
  </si>
  <si>
    <t>Dietilenglicol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</si>
  <si>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</si>
  <si>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</si>
  <si>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</si>
  <si>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</si>
  <si>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</si>
  <si>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</si>
  <si>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</si>
  <si>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</si>
  <si>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</si>
  <si>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</si>
  <si>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</si>
  <si>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</si>
  <si>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</si>
  <si>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</si>
  <si>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</si>
  <si>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</si>
  <si>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Circular Limpiatipo Duo Color LYC</t>
  </si>
  <si>
    <t>Etiqueta Curvo Para Témpera x 250 cc Turqueza c/Aplicador LYC</t>
  </si>
  <si>
    <t>STICKER CONA MEDIANO 6.5X5CM</t>
  </si>
  <si>
    <t>Cajón 208A C/I 40.40x45.20x28.20 (LYC)</t>
  </si>
  <si>
    <t>Cajón 211A C/I 20.00x39.00x31.50 (LYC)</t>
  </si>
  <si>
    <t>Cajón 200 S/I 23.00x31.00x23.50 (LYC)</t>
  </si>
  <si>
    <t>Cajón 205 C/I 33.0x22.7x17cm (LYC) cola sintetica c/aplicador x 250 gr</t>
  </si>
  <si>
    <t>Cajón 219 S/I 20.00x38.00x12.00 (EXP-PLK)</t>
  </si>
  <si>
    <t>Cajón 211N C/I 20.00x39.00x28.50 (LYC)</t>
  </si>
  <si>
    <t>Cajón de Cartón C/I 37.00x41.00x30.60 (LYC) Temperas Sueltas</t>
  </si>
  <si>
    <t>Cajón 209A C/I 42.00x50.00x34.00 (LYC)</t>
  </si>
  <si>
    <t>Cajón Para Bandeja Portapapeles 54.8 mm x 38 mm x 29.4 mm</t>
  </si>
  <si>
    <t>Cajón 209 C/I 41.30x46.50x33.20 (Imprenta)</t>
  </si>
  <si>
    <t>Caja Para Tablero Acrílico de 510mm x 390mm x 242mm</t>
  </si>
  <si>
    <t>Cajón Para Bolígrafo Layconsa L-36 L-34 L-31</t>
  </si>
  <si>
    <t>Cajón p/Marcadores 23,47,123 LYC de 38.8 x 29.4 x 20.8 cm</t>
  </si>
  <si>
    <t>Cajón C/I 38.00x39.00x18.50 (LYC)</t>
  </si>
  <si>
    <t>Cajón Layconsa 21 x 23.9 x 18.2cm</t>
  </si>
  <si>
    <t>Cajón 47.00x22.00x19.50cm Tinta T4</t>
  </si>
  <si>
    <t>Cajón para Tampón L - T2 (L40.6cm x A40.1cm x H18cm)</t>
  </si>
  <si>
    <t>Cajón Layconsa 44.5*32.7*22.5 cm - Marcador 123 estuche x 4</t>
  </si>
  <si>
    <t>Cajón Layconsa 35.8 x 23.5 x 20.3 cm - Limpiatipo</t>
  </si>
  <si>
    <t>Cajón Layconsa 40*21*31.6cm - crayón delgado</t>
  </si>
  <si>
    <t>Cajón 213A C/I 21.00x30.50x24.00 (LYC)</t>
  </si>
  <si>
    <t>Cajon 209T C/I 51.00x40.60x44.50 (LYC)</t>
  </si>
  <si>
    <t>Cajón Colores EF Mongol Lx12 (41x36x29)</t>
  </si>
  <si>
    <t>Caja de Embalaje para Archivador: 60x36x36 cm</t>
  </si>
  <si>
    <t>Cajon 209Z C/I 40.80x36.50x31.00 (LYC)</t>
  </si>
  <si>
    <t>Caja de Embalaje Marcador x 12 Colores  41.00x31.00x22.00</t>
  </si>
  <si>
    <t>Cajón para Témpera Set x7 Colores 44.50x28.70x31.50cm.</t>
  </si>
  <si>
    <t>Cajon de Embalaje  Cola 60 gr. 33x27.5x25.50 cm</t>
  </si>
  <si>
    <t>Cajón Para Plumones LYC School 45x12pz  34x31x36.00cm</t>
  </si>
  <si>
    <t>Cajon de Embalaje Bolígrafo 36 x 10 Colores, 65x31.50x15.50cm</t>
  </si>
  <si>
    <t>Cajon 209F C/I 33.50x43.70x25.80 (LYC)</t>
  </si>
  <si>
    <t>Cajón 209B C/I 44.50x39.00x33.20 (LYC)</t>
  </si>
  <si>
    <t>Cajón 209W C/I L=408 x AN=365 x AL=272 mm (LYC)</t>
  </si>
  <si>
    <t>Cajón 213B 21.00x30.50x24.00 Sin impresión</t>
  </si>
  <si>
    <t>Cajón 208C C/I L=40.20 x AN=40.40 x AL=30.20 cm (LYC)</t>
  </si>
  <si>
    <t>Cajón embalaje Marcador L-47 x 10 x 6 colores 38.5x34x20.5 cm</t>
  </si>
  <si>
    <t>Caja de Embalaje Marcador x 12 Colores 45x34x20.5 cm</t>
  </si>
  <si>
    <t>Cajon de embalaje Colombia 44x33.7x26 cm</t>
  </si>
  <si>
    <t>Cajón 208D C/I L=45.20 x AN=40.40 x AL=30.20 cm (LYC)</t>
  </si>
  <si>
    <t>Cajón Markin p/Cuaderno c/Tapa 21.5 x 29 x 17.2</t>
  </si>
  <si>
    <t>Cajón Para Teknic-o Set x 12 C/I L=45.00 AN=21.30 AL=21.50 (LYC)</t>
  </si>
  <si>
    <t>Caja de Embalaje Limpiatipos DIALE 35.80x23.50x12.50 cm</t>
  </si>
  <si>
    <t>Cajón Layconsa 29 x 29 x 22.5 cm - Limpiatipo</t>
  </si>
  <si>
    <t>Cajon Embalaje Cuad. Anillado Arco Iris A5 39.7x21.7x22.5 cm</t>
  </si>
  <si>
    <t>Cajón de Embalaje 61x25x45.2 cm alcancia</t>
  </si>
  <si>
    <t>Cajón para tempera 21.8 x 20.6 x 30.3 cm set x 6 20 cc</t>
  </si>
  <si>
    <t>Cajón para tempera 42.7 x 20.6 x 30.3 cm set x 12 20 cc</t>
  </si>
  <si>
    <t>Cajón Teen 50HJ p/Cuaderno c/Solapa 42.3x28.5x15</t>
  </si>
  <si>
    <t>Cajon Embalaje Block LYC 42x30.2x13.5 cm</t>
  </si>
  <si>
    <t>Cajon pack dupree 27.8x64x28.5 cm sin impresión</t>
  </si>
  <si>
    <t>Cajon de embalaje 61x17x28 cm papelografo</t>
  </si>
  <si>
    <t>Cajón para Témpera Set x6 Colores 44.50x25x30.5 cm.</t>
  </si>
  <si>
    <t>Base Cajón Cuaderno diseño Arcoiris 27.6x41.30x15.30 cm</t>
  </si>
  <si>
    <t>Tapa Amarilla Cajón Cuaderno Arcoiris 28.2 x 42 x 7 cm</t>
  </si>
  <si>
    <t>Tapa Masculino Cajón Cuaderno diseño Arcoiris 28.2 x 42 x 7 cm</t>
  </si>
  <si>
    <t>Tapa Femenino Cajón Cuaderno diseño Arcoiris 28.2 x 42 x 7 cm</t>
  </si>
  <si>
    <t>BASE Markin Cajón  p/Cuaderno c/Tapa 21.2 x 28.7 x 19.2</t>
  </si>
  <si>
    <t>TAPA Markin COLOR Cajón p/Cuaderno c/Tapa 21.8 x 29.4 x 7</t>
  </si>
  <si>
    <t>TAPA Markin FEMENINO Cajón p/Cuaderno c/Tapa 21.8 x 29.4 x 7</t>
  </si>
  <si>
    <t>Cajon embalaje para tempera 250 Arti 38.9x29.2x22.4 cm</t>
  </si>
  <si>
    <t>Cajon embalaje para tempera Setx7 Arti  29.5x29.4x21 cm</t>
  </si>
  <si>
    <t>Cajón de embalaje pioner 53x30x33.5 cm</t>
  </si>
  <si>
    <t>BASE Markin 100 HJ Cajón p/Cuaderno c/Tapa</t>
  </si>
  <si>
    <t>TAPA Markin 100 HJ COLOR Cajón p/Cuaderno c/Tapa</t>
  </si>
  <si>
    <t>Cajón de embalaje pioner 32x27.7x32.5 cm 250 hj</t>
  </si>
  <si>
    <t>Base Cajón Layconsa p/Cuaderno 28.7 x 20.9 x 22.3</t>
  </si>
  <si>
    <t>Tapa de Cajón P/Cuaderno Puppy</t>
  </si>
  <si>
    <t>Tapa de Cajón P/Cuaderno Estudiante</t>
  </si>
  <si>
    <t>Base Markin Cajón p/Cuaderno c/Tapa 28.7 x 20.9 x 19.2</t>
  </si>
  <si>
    <t>Tapa de Cajón p/Cuaderno Markin Color</t>
  </si>
  <si>
    <t>Cajón Para Plumones LYC School 45x12pz  mcol. 29.5x27.1X13.9 cm</t>
  </si>
  <si>
    <t>Cajón Para Plumones LYC School 45x24pz  30 x 27.2X35 cm</t>
  </si>
  <si>
    <t>Cajón Para Plumones LYC School 45x36pz  40.5x30X26.8  cm</t>
  </si>
  <si>
    <t>Cajón p/cuaderno con solapa - Convenio LYC</t>
  </si>
  <si>
    <t>Base Convenio Layconsa Cajón  p/Cuaderno 41.5 x 27.6 x 21.8 cm</t>
  </si>
  <si>
    <t>Tapa de Cajón p/Cuaderno Convenio Layconsa 42.4 x 28.5 x 7 cm</t>
  </si>
  <si>
    <t>Parihuela de madera EAN 1.20 x 1.00 mts</t>
  </si>
  <si>
    <t>Etiqueta Autoadhesiva Para Pintura Para Dedos Bester 30cc Set x 6</t>
  </si>
  <si>
    <t>Etiqueta Para Cola x 250gr (Rollo)</t>
  </si>
  <si>
    <t>Etiqueta Curvo Para Témpera x 250 cc Verde c/Aplicador LYC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</si>
  <si>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</si>
  <si>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</si>
  <si>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</si>
  <si>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Amarilla c/Aplicador LYC</t>
  </si>
  <si>
    <t>Etiqueta Curvo Para Témpera x 250 cc Piel c/Aplicador LYC</t>
  </si>
  <si>
    <t>Etiqueta Curvo Para Témpera x 250 cc Negro c/Aplicador LYC</t>
  </si>
  <si>
    <t>Etiqueta Curvo Para Témpera x 250 cc Marrón c/Aplicador LYC</t>
  </si>
  <si>
    <t>Etiqueta Curvo Para Témpera x 250 cc Rosado c/Aplicador LYC</t>
  </si>
  <si>
    <t>Etiqueta Curvo Para Témpera x 250 cc Celeste c/Aplicador LYC</t>
  </si>
  <si>
    <t>Etiqueta Curvo Para Témpera x 250 cc Anaranjado c/Aplicador LYC</t>
  </si>
  <si>
    <t>Etiqueta Curvo Para Témpera x 250 cc Morado c/Aplicador LYC</t>
  </si>
  <si>
    <t>Etiqueta Curvo Para Témpera x 250 cc Fucsia c/Aplicador LYC</t>
  </si>
  <si>
    <t>Etiqueta Curvo Para Témpera  x 250 cc Verde Limón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</si>
  <si>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</si>
  <si>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</si>
  <si>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</si>
  <si>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</si>
  <si>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</si>
  <si>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Curvo Para Cola Escolar c/Aplicador 250gr LYC</t>
  </si>
  <si>
    <t>Etiqueta Curvo Para Cola Escolar c/Aplicador 125gr LYC</t>
  </si>
  <si>
    <t>Etiqueta Curvo Para Cola Escolar c/Aplicador 60gr LYC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</si>
  <si>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</si>
  <si>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</si>
  <si>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</si>
  <si>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</si>
  <si>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</si>
  <si>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</si>
  <si>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</si>
  <si>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Etiqueta para marcador Magico</t>
  </si>
  <si>
    <t>Guarda adhesiva Little Mermaid A4 Troq.</t>
  </si>
  <si>
    <t>Etiqueta Goma Líquida Transparente LYC x 240 ml</t>
  </si>
  <si>
    <t>Etiqueta Microporoso de colores 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</si>
  <si>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</si>
  <si>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</si>
  <si>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</si>
  <si>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</si>
  <si>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</si>
  <si>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</si>
  <si>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</si>
  <si>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</si>
  <si>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</si>
  <si>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</si>
  <si>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</si>
  <si>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</si>
  <si>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</si>
  <si>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</si>
  <si>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</si>
  <si>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Circular Limpiatipo LYC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</si>
  <si>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</si>
  <si>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</si>
  <si>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</si>
  <si>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</si>
  <si>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</si>
  <si>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</si>
  <si>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</si>
  <si>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</si>
  <si>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</si>
  <si>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</si>
  <si>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</si>
  <si>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</si>
  <si>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</si>
  <si>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</si>
  <si>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</si>
  <si>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</si>
  <si>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</si>
  <si>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</si>
  <si>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</si>
  <si>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</si>
  <si>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</si>
  <si>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</si>
  <si>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</si>
  <si>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</si>
  <si>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</si>
  <si>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</si>
  <si>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</si>
  <si>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</si>
  <si>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</si>
  <si>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</si>
  <si>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</si>
  <si>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</si>
  <si>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</si>
  <si>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</si>
  <si>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</si>
  <si>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colores x 1 LYC papel Couche 115g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</si>
  <si>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</si>
  <si>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</si>
  <si>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</si>
  <si>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</si>
  <si>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</si>
  <si>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</si>
  <si>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</si>
  <si>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</si>
  <si>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</si>
  <si>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</si>
  <si>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</si>
  <si>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</si>
  <si>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</si>
  <si>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</si>
  <si>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</si>
  <si>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</si>
  <si>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</si>
  <si>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</si>
  <si>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</si>
  <si>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</si>
  <si>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</si>
  <si>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</si>
  <si>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</si>
  <si>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</si>
  <si>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</si>
  <si>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</si>
  <si>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</si>
  <si>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</si>
  <si>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</si>
  <si>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</si>
  <si>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</si>
  <si>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</si>
  <si>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</si>
  <si>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</si>
  <si>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</si>
  <si>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</si>
  <si>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</si>
  <si>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</si>
  <si>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</si>
  <si>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</si>
  <si>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</si>
  <si>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</si>
  <si>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</si>
  <si>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</si>
  <si>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</si>
  <si>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</si>
  <si>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</si>
  <si>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</si>
  <si>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</si>
  <si>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</si>
  <si>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</si>
  <si>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</si>
  <si>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</si>
  <si>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</si>
  <si>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Microp. de colores x 1 LYC papel Couche 115g. 10.5x9.5 cm Marron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</si>
  <si>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</si>
  <si>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</si>
  <si>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</si>
  <si>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</si>
  <si>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</si>
  <si>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</si>
  <si>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</si>
  <si>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</si>
  <si>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</si>
  <si>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</si>
  <si>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</si>
  <si>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</si>
  <si>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</si>
  <si>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</si>
  <si>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</si>
  <si>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</si>
  <si>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</si>
  <si>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</si>
  <si>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</si>
  <si>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</si>
  <si>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Etiquetas Autoadhesivas 100 x 76 para impresoras</t>
  </si>
  <si>
    <t>Etiqueta Circular Limpiatipo LYC - Pastel</t>
  </si>
  <si>
    <t>Etiqueta témpera set x 7 Arti</t>
  </si>
  <si>
    <t>Etiqueta Para Témpera x 250 cc Arti</t>
  </si>
  <si>
    <t>Etiqueta adhesiva c/frecuencia</t>
  </si>
  <si>
    <t>Etiqueta Cola Sintética x 250 gr.</t>
  </si>
  <si>
    <t>Etiqueta Papel Lustre x 1 papel Couche 115g. 10.5x9.5 cm - General</t>
  </si>
  <si>
    <t>Bolsa de PP Cristal Para Bandeja Portapapeles 2 Pisos</t>
  </si>
  <si>
    <t>Bolsa de PP Cristal Para Soportes de Bandeja Portapapeles</t>
  </si>
  <si>
    <t>Bolsa Para Tablero Acrílico de 15" x 10"</t>
  </si>
  <si>
    <t>Bolsa de PP Cristal Para Bandeja Portapapeles 1 Piso</t>
  </si>
  <si>
    <t>Bolsa Para Peine 6x12x3 Cristal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</si>
  <si>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</si>
  <si>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</si>
  <si>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</si>
  <si>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</si>
  <si>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</si>
  <si>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</si>
  <si>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</si>
  <si>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tipo Ziploc de medidas 285mm x 200mm 45 x 24 School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</si>
  <si>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</si>
  <si>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</si>
  <si>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</si>
  <si>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</si>
  <si>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</si>
  <si>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</si>
  <si>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</si>
  <si>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Zipper Marcador 47 x 12 PET/PEBD 213.3 x 227mm x 90µ</t>
  </si>
  <si>
    <t>Bolsa Zipper Marcador 47 x 10 PET/PEBD 185 x 220mm x 90µ</t>
  </si>
  <si>
    <t>Bolsa Zipper Marcador 47 x 6 PET/PEBD 125 x 220mm x 90µ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</si>
  <si>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</si>
  <si>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</si>
  <si>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</si>
  <si>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</si>
  <si>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</si>
  <si>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</si>
  <si>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</si>
  <si>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Zipper Boligrafo 36 x 10 PET/PEBD 150 x 220mm x 90µ</t>
  </si>
  <si>
    <t>Bolsa Polibag Layconsa A5 175 X275mm</t>
  </si>
  <si>
    <t>Bolsa Polipropileno 12" x 17" X 2 µm con solapa adhesiva</t>
  </si>
  <si>
    <t>Manga de Polietileno (Cristal) de 40" x 4mm/pulg</t>
  </si>
  <si>
    <t>Manga de Polietileno Reciclada de 40" x 4mm/pulg</t>
  </si>
  <si>
    <t>Plastico azul doble ancho 1.5mt x kg</t>
  </si>
  <si>
    <t>Bolsa de Polietileno transparente 45x70 cm 2 micras</t>
  </si>
  <si>
    <t>Film PVC 30cm 19MY F68301965 P´Thermoencogido</t>
  </si>
  <si>
    <t>Stretch Film 18" x 20 Micras x 2kg. Transparente</t>
  </si>
  <si>
    <t>Poliolefina de 19 micras x 30cm Thermoencogido</t>
  </si>
  <si>
    <t>Stretch Film 20" x 20 Micras x 1.80 Kg. Rojo</t>
  </si>
  <si>
    <t>Papel Clupak 81g 155 X 121mm p/Papelografo</t>
  </si>
  <si>
    <t>Poliolefina de 15 micras x 35cm Thermoencogido</t>
  </si>
  <si>
    <t>Stretch Film 20" x 20 Micras x 2kg Transparente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</si>
  <si>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</si>
  <si>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</si>
  <si>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</si>
  <si>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</si>
  <si>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</si>
  <si>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Adh Transparente 3/4 x 72 Yds. - Planta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</si>
  <si>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</si>
  <si>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</si>
  <si>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</si>
  <si>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</si>
  <si>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Goltex x 4 Litros</t>
  </si>
  <si>
    <t>Envases de hojalata litografiado Master Lac x 1 galón</t>
  </si>
  <si>
    <t>Balde Plástico Blanco Tapa Azul x 4 litros</t>
  </si>
  <si>
    <t>Envases de Hojalata Litografiados Esmalte Ecosur x 1/4 galón</t>
  </si>
  <si>
    <t>Baldes Plasticos Goltex Satinado x 4 litros</t>
  </si>
  <si>
    <t>Baldes plasticos Goltex Satinado x 5 galones</t>
  </si>
  <si>
    <t>Etiquetas Troqueladas de 3.49 x 1.20 cm a 7 Columnas 15/32" x 1.3/8</t>
  </si>
  <si>
    <t>Etiqueta Autoadhesiva Circular Transparente Ø 25mm</t>
  </si>
  <si>
    <t>Etiquetas Troqueladas de 4.0 x 3 cm a 3 columnas</t>
  </si>
  <si>
    <t>Etiquetas Troqueladas de 3.5 x 1.5 cm a 6 columnas</t>
  </si>
  <si>
    <t>Guarda Adhesiva Markin Color 100 HJ A4 troq</t>
  </si>
  <si>
    <t>Bolsa para Base x 50 Kilos</t>
  </si>
  <si>
    <t>Bolsa de Base Para 5 Kilos Color Blanco</t>
  </si>
  <si>
    <t>Bolsa de base color blanco x 20 kilos (23.62"x 17.72"x 0.006")</t>
  </si>
  <si>
    <t>Base de Cartón Para 1 Galón</t>
  </si>
  <si>
    <t>Cintillos para amarrado de sacos de imprimantes</t>
  </si>
  <si>
    <t>GLP Balón x 15 Kg.</t>
  </si>
  <si>
    <t>Silicona Roja 736 Alta Temperatura</t>
  </si>
  <si>
    <t>Refrigerante Mecanol</t>
  </si>
  <si>
    <t>Aceite Para Lubricacion 220</t>
  </si>
  <si>
    <t>Filtros cartucho modelo D48</t>
  </si>
  <si>
    <t>Aceite Suniso G4 S</t>
  </si>
  <si>
    <t>Aceite Hidráulico 46</t>
  </si>
  <si>
    <t>Grasa EP-2</t>
  </si>
  <si>
    <t>JG/1</t>
  </si>
  <si>
    <t>Empaquetadura 220x250x45 Inyectoras</t>
  </si>
  <si>
    <t>Válvula para Manómetro WMA 4-506</t>
  </si>
  <si>
    <t>Lampara Vapor Sodio Tubular SON-T Plus - Phillips</t>
  </si>
  <si>
    <t>Tuerca Hexagonal M-16</t>
  </si>
  <si>
    <t>Arandela Plana de Cobre de 5/16"</t>
  </si>
  <si>
    <t>Válvula Sloam A19 - A - C7 Para Inodoro</t>
  </si>
  <si>
    <t>Fajas Optibelt A 55</t>
  </si>
  <si>
    <t>SKF SY 3/4 TF</t>
  </si>
  <si>
    <t>Rodamientos NTN 2304 S</t>
  </si>
  <si>
    <t>Contraplaca Para Rodamiento FAG 209</t>
  </si>
  <si>
    <t>Faja V-A48</t>
  </si>
  <si>
    <t>Bornera de 4mm Para Riel DIN</t>
  </si>
  <si>
    <t>Rodamiento 6003 - 2Z</t>
  </si>
  <si>
    <t>Espátula de Metal de 4"</t>
  </si>
  <si>
    <t>Boquilla de Flameadota Corona 450 22mm</t>
  </si>
  <si>
    <t>Perno Socket Allen de 1/2" x 1-1/2" G8</t>
  </si>
  <si>
    <t>Resistencia Eléctrica Tipo Cartucho de 24x145mm 340w 220v</t>
  </si>
  <si>
    <t>Fusible NH de 600 Amp</t>
  </si>
  <si>
    <t>Abrazadera Galvanizada 01 Oreja de 3/4"</t>
  </si>
  <si>
    <t>Base Portafusibles NH3 630 Amp 660 V</t>
  </si>
  <si>
    <t>Faja en "V" B57</t>
  </si>
  <si>
    <t>Guardamotor GV2 ME07 de 1.6 a 2.5 AMP Telemecanique</t>
  </si>
  <si>
    <t>Condensador Para Motor de 110/125 VAC</t>
  </si>
  <si>
    <t>Johnson KIT Silicona Spray x 10 oz.</t>
  </si>
  <si>
    <t>Prisionero Allen de 5/32" x 1/4"</t>
  </si>
  <si>
    <t>Fusibles NH00 de 125 A</t>
  </si>
  <si>
    <t>Base Portafusibles NH00 Trifasico de 155 A</t>
  </si>
  <si>
    <t>Calibrador Mecánico de 8" Lectura 1/128" x 0.05mm</t>
  </si>
  <si>
    <t>Interruptor Termomagnético 3 x 30 A. Tipo Engrampe 220V</t>
  </si>
  <si>
    <t>Resistencia Eléctrica plana de 50x70mm 300W 220V c/02 Orificios</t>
  </si>
  <si>
    <t>Contactores LC1 - D25 220 V Telemecanique</t>
  </si>
  <si>
    <t>Perno Socket M6 x 15</t>
  </si>
  <si>
    <t>Perno Socket 1/4" x 3/4"</t>
  </si>
  <si>
    <t>O-Ring 3.5x40 mm</t>
  </si>
  <si>
    <t>Rodamiento 607 - 2Z</t>
  </si>
  <si>
    <t>O-Ring 9x3.5mm</t>
  </si>
  <si>
    <t>Arandela de Jebe de 33x17x10mm</t>
  </si>
  <si>
    <t>Piloto Luminoso XB4-BV63</t>
  </si>
  <si>
    <t>Pulsador Rasante 22 MM NA Verde XB4-BA31</t>
  </si>
  <si>
    <t>Pulsador Rasante 22 MM NC Rojo XB4-BA42</t>
  </si>
  <si>
    <t>Kit de Repuestos Valvula de Bola de 3/4" de 03 Vías</t>
  </si>
  <si>
    <t>Perno Socket 1/2" x 3"</t>
  </si>
  <si>
    <t>Piedra Esmeril 6"x1"x1-1/4" GC120a</t>
  </si>
  <si>
    <t>Rodamiento 2208 EKTN9</t>
  </si>
  <si>
    <t>Rodamiento 7202 BEP</t>
  </si>
  <si>
    <t>Cable Vulcanizado 3x14</t>
  </si>
  <si>
    <t>Soporte Para Interruptor Magnetico de 25mm</t>
  </si>
  <si>
    <t>Soporte Para Interruptor Magnetico de 10mm</t>
  </si>
  <si>
    <t>Soporte Para Interruptor Magnetico de 32mm</t>
  </si>
  <si>
    <t>Rodamiento 6201-2RS</t>
  </si>
  <si>
    <t>Interruptor Límite XCKJ10541</t>
  </si>
  <si>
    <t>Platina de Teflón de 19x19x840 mm</t>
  </si>
  <si>
    <t>Sensor de Proximidad Tipo Inductivo PRT12-2DC</t>
  </si>
  <si>
    <t>Rodamiento 6309-2Z</t>
  </si>
  <si>
    <t>Perno Cabeza Avellanada 5/32" x 3/8" c/Tuerca</t>
  </si>
  <si>
    <t>Transductor Lineal Gefran LTM-300-S</t>
  </si>
  <si>
    <t>Rele Encapsulado de 8 Pines 220 V  10 A  C/Base</t>
  </si>
  <si>
    <t>Resistencia Eléctrica T/Banda de 55x20 mm. 250W 220V</t>
  </si>
  <si>
    <t>Válvula de Bola de 1"</t>
  </si>
  <si>
    <t>Pistola de Aire</t>
  </si>
  <si>
    <t>Lámpara Infraroja 250W E27 230 VAC Diam 125mm</t>
  </si>
  <si>
    <t>Termocupla Tipo K Hasta 1200 °C</t>
  </si>
  <si>
    <t>Niple 3" x 10" Galvanizado</t>
  </si>
  <si>
    <t>Válvula Check de 1/2"</t>
  </si>
  <si>
    <t>Abrazadera Galvanizada de 1"</t>
  </si>
  <si>
    <t>Resistencia Tipo Banda Diametro 30x30mm Ancho 120w/220v</t>
  </si>
  <si>
    <t>Perno Socket M-16 x 160</t>
  </si>
  <si>
    <t>Prisionero M8 x 25mm</t>
  </si>
  <si>
    <t>Fieltro de Pulido</t>
  </si>
  <si>
    <t>O-Ring 2-113</t>
  </si>
  <si>
    <t>Dados Interruptor Simple Magic</t>
  </si>
  <si>
    <t>Niple 1" x 4" FE Negro Célula 40</t>
  </si>
  <si>
    <t>Terminal Espiga # 18</t>
  </si>
  <si>
    <t>Niple 1" x 2" Galvanizado</t>
  </si>
  <si>
    <t>Rodamiento 62200 2RS</t>
  </si>
  <si>
    <t>Rodamiento 6004-2Z</t>
  </si>
  <si>
    <t>Niple 1" x 6" FE Negro Célula 40</t>
  </si>
  <si>
    <t>Regulador de Caudal 1/8 p/Tubo de 6mm</t>
  </si>
  <si>
    <t>Cilindro Doble DSNU-16-25P-A</t>
  </si>
  <si>
    <t>O-Ring 2012</t>
  </si>
  <si>
    <t>Perno Socket M6 x 50</t>
  </si>
  <si>
    <t>Lámina CS2 0,2 - 2,25 mm - 670 mm Comprimiento</t>
  </si>
  <si>
    <t>Lámina S9 0,2 - 2,25 mm - 670 mm Comprimiento</t>
  </si>
  <si>
    <t>Interruptor doble</t>
  </si>
  <si>
    <t>Resistencia Tubular de Cuarzo 220 VDC</t>
  </si>
  <si>
    <t>Conectores</t>
  </si>
  <si>
    <t>Termocupla Tipo "J" - Bulbo de 4mm Rosca 1/4"</t>
  </si>
  <si>
    <t>Rodillo de Silicona 94.3 x 37.5 x 46.6mm</t>
  </si>
  <si>
    <t>Perno Socket M16 x 70 mm.</t>
  </si>
  <si>
    <t>Piedra Esmeril 8"x1"x1" Grano 60</t>
  </si>
  <si>
    <t>O-Ring 2-112</t>
  </si>
  <si>
    <t>Rele Encapsulado de 14 Pines 220VAC - 6AMP</t>
  </si>
  <si>
    <t>Acople 2"</t>
  </si>
  <si>
    <t>O-Ring 1.65x6.3mm</t>
  </si>
  <si>
    <t>Anillo Segger</t>
  </si>
  <si>
    <t>Portasfusible</t>
  </si>
  <si>
    <t>Manguera Hidraulica de 3/8" c/Terminales</t>
  </si>
  <si>
    <t>Temporizador</t>
  </si>
  <si>
    <t>Rele Encapsulado de 08 Pines 24VDC</t>
  </si>
  <si>
    <t>Chumacera de Pared FY-507 M</t>
  </si>
  <si>
    <t>Terminal de 75mm</t>
  </si>
  <si>
    <t>Niple de 2" x 2" SAE 1020 - SCH 40</t>
  </si>
  <si>
    <t>Manguera de Jebe de 1 1/2"</t>
  </si>
  <si>
    <t>Perno M8 x 35</t>
  </si>
  <si>
    <t>Selector 3 Posiciones Diam 22 2C-NA</t>
  </si>
  <si>
    <t>Reducción campana</t>
  </si>
  <si>
    <t>Cilindro Neumático de doble efecto</t>
  </si>
  <si>
    <t>Indentador de Durómetro, espiga 1/4"</t>
  </si>
  <si>
    <t>Sensor Fotoelectrico</t>
  </si>
  <si>
    <t>Prensaestopa PG9</t>
  </si>
  <si>
    <t>Terminal de cobre para cable de 95 mm2</t>
  </si>
  <si>
    <t>Interruptor Termomagnético 3 x 50 Amp</t>
  </si>
  <si>
    <t>Unión Universal de 1" FE NEGRO FE NEGRO</t>
  </si>
  <si>
    <t>Rodamiento 2206E 2 ES1 TN9 SKF</t>
  </si>
  <si>
    <t>Grasa en Spray HHS 2000 WURTH</t>
  </si>
  <si>
    <t>Anillo de Cobre 22 mm x 27 mm x 1.5mm Espesor</t>
  </si>
  <si>
    <t>CLAM SOLDABLE 1" INOX</t>
  </si>
  <si>
    <t>ABRAZADERA FLEJE ANCHO 1" INOX</t>
  </si>
  <si>
    <t>Perno Allen M4 x 50mm</t>
  </si>
  <si>
    <t>Prisionero M3</t>
  </si>
  <si>
    <t>Resorte</t>
  </si>
  <si>
    <t>Resorte de enzunchadora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</si>
  <si>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</si>
  <si>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</si>
  <si>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</si>
  <si>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</si>
  <si>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</si>
  <si>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</si>
  <si>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Thinner Acrilico</t>
  </si>
  <si>
    <t>Oring E= 3.53 d = 7.52 D = 14.58</t>
  </si>
  <si>
    <t>Canaleta 80 x 60 mm</t>
  </si>
  <si>
    <t>Perno Flat 1/4 x  3/4 Inox</t>
  </si>
  <si>
    <t>Faja Dentada</t>
  </si>
  <si>
    <t>Rodamiento 607-2RS</t>
  </si>
  <si>
    <t>Manguera Hidraulica 1/2 NPT (Completa)</t>
  </si>
  <si>
    <t>Manguera Hidraulica 3/4 NPT (Completa)</t>
  </si>
  <si>
    <t>Arandela M - 20</t>
  </si>
  <si>
    <t>Reten 45x55x6 mm</t>
  </si>
  <si>
    <t>Rodamiento  RC 121610 - KOYO</t>
  </si>
  <si>
    <t>Equipo de luz de emergencia</t>
  </si>
  <si>
    <t>Tomacorriente Doble</t>
  </si>
  <si>
    <t>Reactor de 400 Watt 220 VAC</t>
  </si>
  <si>
    <t>Base porta rele RSZE1S48M</t>
  </si>
  <si>
    <t>Resistencia Tubular 14 x 150 mm 400 watt 220 VAC  Inportada</t>
  </si>
  <si>
    <t>Doblador (Bender Nº24-26 - 3164325 Horner Maq. Will)</t>
  </si>
  <si>
    <t>Protector de moldes</t>
  </si>
  <si>
    <t>Ventilador Industrial</t>
  </si>
  <si>
    <t>Prisionero 3/16" x 1/4"</t>
  </si>
  <si>
    <t>Rodamiento 6202 2 RS1/C3</t>
  </si>
  <si>
    <t>Rodamiento Rigido 61812 2RS1</t>
  </si>
  <si>
    <t>Resistencia tipo banda  60x50 300W 250 VAC</t>
  </si>
  <si>
    <t>Perno Cabeza Hexagonal M6 x 30mm c/ arandela plana - presion - tuerca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</si>
  <si>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</si>
  <si>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</si>
  <si>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</si>
  <si>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</si>
  <si>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</si>
  <si>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Reten 35 x  45 x 6 mm</t>
  </si>
  <si>
    <t>Reten Limpiador 22 x 30 x 4.5 mm</t>
  </si>
  <si>
    <t>Reten 40 x 50 x 6 mm</t>
  </si>
  <si>
    <t>Reten Limpiador 28 x 36 x 5 mm</t>
  </si>
  <si>
    <t>Reten 22 x 30 x 6 mm</t>
  </si>
  <si>
    <t>Reten Limpiador 40 x 48 x 5.5 mm</t>
  </si>
  <si>
    <t>O-Ring 49 x 3.5 mm</t>
  </si>
  <si>
    <t>Sensor de proximidad PL-05N NPN 10-30 VDC</t>
  </si>
  <si>
    <t>Temporizador Analogo - Digital LE 3SA Autonics</t>
  </si>
  <si>
    <t>Sensor de Proximidad PR-12-4DN Autonics</t>
  </si>
  <si>
    <t>Unión universal 1'' 1/4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</si>
  <si>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</si>
  <si>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</si>
  <si>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</si>
  <si>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</si>
  <si>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</si>
  <si>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</si>
  <si>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</si>
  <si>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</si>
  <si>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</si>
  <si>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</si>
  <si>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</si>
  <si>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</si>
  <si>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</si>
  <si>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</si>
  <si>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</si>
  <si>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Resistencia eléctrica T/Cartucho 24 x 95 mm. 350 W. 220 v</t>
  </si>
  <si>
    <t>O-Ring 63 x 2.5 mm</t>
  </si>
  <si>
    <t>O-Ring 90 x 3 mm</t>
  </si>
  <si>
    <t>Rodamiento KR 19 XE</t>
  </si>
  <si>
    <t>Reten Tapa Reductor RSA 32x7 mm</t>
  </si>
  <si>
    <t>Rodamiento 7311 B.</t>
  </si>
  <si>
    <t>Niple en Codo Bronce 1/4 NPT x1/2</t>
  </si>
  <si>
    <t>Sensor Fotoeléctrico QS18VP6LPQ5</t>
  </si>
  <si>
    <t>Contactores Auxiliares CAD 50 de 220 Vac Schneider</t>
  </si>
  <si>
    <t>Separadores de Bornera</t>
  </si>
  <si>
    <t>Perno Esparrago M16X25 - M16x67 Largo 125mm Hexa 19mm SAE1045</t>
  </si>
  <si>
    <t>Reten 60x48x6 mm</t>
  </si>
  <si>
    <t>Rodamiento 3200 A2ZTNQ</t>
  </si>
  <si>
    <t>Perno Cabeza Hexagonal M5 x 10 mm c/ Tuerca-arandela Inox.</t>
  </si>
  <si>
    <t>Reten Alma Metal 45 - 62 - 7 mm</t>
  </si>
  <si>
    <t>Reten junta Amotiguacion 1 - k53 - 27.5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</si>
  <si>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</si>
  <si>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</si>
  <si>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</si>
  <si>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</si>
  <si>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</si>
  <si>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</si>
  <si>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Focos 20 W</t>
  </si>
  <si>
    <t>Válvula esférica vapor 1"</t>
  </si>
  <si>
    <t>Final de carrera semipesado con pin</t>
  </si>
  <si>
    <t>Cable 4 mm ROLLO DE 100 MTR.</t>
  </si>
  <si>
    <t>Faja optibelt 8M 200…20(250)</t>
  </si>
  <si>
    <t>Selenoide de broce de 1/2" - 220 VAC</t>
  </si>
  <si>
    <t>Calculadora Casio - MX-12B</t>
  </si>
  <si>
    <t>NUT 14F2-C06-02  TTI - 220 F2R (S/N W 22400161/55)</t>
  </si>
  <si>
    <t>TIE BAR14F2-C-06-06A  TTI - 220 F2R (S/N W 22400161/55)</t>
  </si>
  <si>
    <t>MOLD ADJUSTMENTNUT 14F2-C-06-07A   TTI - 220 F2R (S/N W 22400161/55)</t>
  </si>
  <si>
    <t>Catálogos Layconsa</t>
  </si>
  <si>
    <t>Soldadura Supercito 1/8"</t>
  </si>
  <si>
    <t>Foco Ahorrador x 20W CDL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</si>
  <si>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</si>
  <si>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</si>
  <si>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</si>
  <si>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</si>
  <si>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</si>
  <si>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</si>
  <si>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Cinta Teflón Roja</t>
  </si>
  <si>
    <t>Toner HP Q2613X (1300)</t>
  </si>
  <si>
    <t>Sensor de Fibra Optica</t>
  </si>
  <si>
    <t>Fusible NH-0 de 100 A</t>
  </si>
  <si>
    <t>Guantes de Nitrilo # 7</t>
  </si>
  <si>
    <t>Guía de Remisión Serie 008 en Papel Autocopiativo 9-7/8x11x5</t>
  </si>
  <si>
    <t>Agua Destilada</t>
  </si>
  <si>
    <t>Tubo de PVC 3/4" para luz</t>
  </si>
  <si>
    <t>Abrazadera Para Tubo de 3/4"</t>
  </si>
  <si>
    <t>Orejeras Tipo Copa</t>
  </si>
  <si>
    <t>Fajas Lumbares (para cargar pesos de hasta 60 kilos)</t>
  </si>
  <si>
    <t>Tubo Conduit Galvanizado de 1/2"</t>
  </si>
  <si>
    <t>Unión Unviersal de PVC de 3/4" C-10</t>
  </si>
  <si>
    <t>Unión Simple de PVC de 3/4" C-10</t>
  </si>
  <si>
    <t>Filtro Para Mascara Triangular Contra Polvo</t>
  </si>
  <si>
    <t>Tarugo Ficher de 1/4 x 1 1/2 "</t>
  </si>
  <si>
    <t>Guantes de Neoprene de 18" de Largo</t>
  </si>
  <si>
    <t>PAR/1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</si>
  <si>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</si>
  <si>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</si>
  <si>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</si>
  <si>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</si>
  <si>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</si>
  <si>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Tubo de 1" x 6mts SCH40</t>
  </si>
  <si>
    <t>Preservante de Madera Prematek</t>
  </si>
  <si>
    <t>Piton de Bronce de 14x10mm</t>
  </si>
  <si>
    <t>Tablero Metálico 300x300x200 mm IP55</t>
  </si>
  <si>
    <t>Adaptador de 1/2" Macho JIC - Macho NPT</t>
  </si>
  <si>
    <t>Solución Buffer PH=7</t>
  </si>
  <si>
    <t>Tornillo Autorroscante 1/4 x 1 1/2 "</t>
  </si>
  <si>
    <t>Copa Nasal Para Mascara de Protección</t>
  </si>
  <si>
    <t>Tapón de Oído con Cordón (Hasta 40 Desiveles)</t>
  </si>
  <si>
    <t>Solución Buffer PH=4</t>
  </si>
  <si>
    <t>Acido Acético</t>
  </si>
  <si>
    <t>Soldadura Inox AW 3/32"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</si>
  <si>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</si>
  <si>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</si>
  <si>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</si>
  <si>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</si>
  <si>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</si>
  <si>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Canaleta 24 x 14</t>
  </si>
  <si>
    <t>Mochila Kodra o Lona c/Impresión</t>
  </si>
  <si>
    <t>Tornillo Autorroscante 3/16" x 1 1/2"</t>
  </si>
  <si>
    <t>Balastros de 250W / 220V / 60Hz</t>
  </si>
  <si>
    <t>Banner Plastificado Full Color</t>
  </si>
  <si>
    <t>Trapo Industrial</t>
  </si>
  <si>
    <t>Mandil Promocion</t>
  </si>
  <si>
    <t>Garrucha Fija de 4" Tipo Pesada</t>
  </si>
  <si>
    <t>Salida de Ducha Cromada</t>
  </si>
  <si>
    <t>Perno Hexagonal de 3/8" x 1-1/2" C/Tuerca</t>
  </si>
  <si>
    <t>Timbre de 220V</t>
  </si>
  <si>
    <t>Faja de Distribución</t>
  </si>
  <si>
    <t>Casaca en Polar</t>
  </si>
  <si>
    <t>Tee de 1" Galvanizado</t>
  </si>
  <si>
    <t>Microesferas de vidrio</t>
  </si>
  <si>
    <t>Equipo Fluorescente Lineal Doble c/Pantalla de 40W</t>
  </si>
  <si>
    <t>Mascara Protectora Full Face</t>
  </si>
  <si>
    <t>Prisma Magnético</t>
  </si>
  <si>
    <t>Canguro Layconsa</t>
  </si>
  <si>
    <t>Polo Layconsa Algodón 30/1 L</t>
  </si>
  <si>
    <t>Sticker de Piso Grande</t>
  </si>
  <si>
    <t>Bronce</t>
  </si>
  <si>
    <t>Linterna Industrial</t>
  </si>
  <si>
    <t>Llave Mixta de 26mm</t>
  </si>
  <si>
    <t>Etiqueta de 4"x2-3/8" c/Seguridad T.1"</t>
  </si>
  <si>
    <t>Broca extra larga 2mm</t>
  </si>
  <si>
    <t>Cuchillo de Cocina Largo 40cm</t>
  </si>
  <si>
    <t>Codo de 1" x 90° con Rosca de FE Negro</t>
  </si>
  <si>
    <t>Tee FE Negro de 1" Roscada</t>
  </si>
  <si>
    <t>Tubo PVC 1/2" Pesado</t>
  </si>
  <si>
    <t>Conector Recto Hermético de 1"</t>
  </si>
  <si>
    <t>Tubo Flexible Forrado de 1"</t>
  </si>
  <si>
    <t>Codo de 3/4" x 90°</t>
  </si>
  <si>
    <t>Cinta Epson SO15335 para impresora FX-2190</t>
  </si>
  <si>
    <t>Polipasacalles</t>
  </si>
  <si>
    <t>Gorro Layconsa</t>
  </si>
  <si>
    <t>Parante Metálico 1 x 2 mts</t>
  </si>
  <si>
    <t>Barra de Teflon de 20mm</t>
  </si>
  <si>
    <t>Aguja de Inyeccion de 2,00x118 mm</t>
  </si>
  <si>
    <t>Sensor EL - 08PL</t>
  </si>
  <si>
    <t>Porta Cuadernos Layconsa</t>
  </si>
  <si>
    <t>Banderines Layconsa (Ext.)</t>
  </si>
  <si>
    <t>Folder Layconsa (Ext.)</t>
  </si>
  <si>
    <t>Mesas y sillas plásticas para niños</t>
  </si>
  <si>
    <t>Inhibidor de Incrustaciones p/TE</t>
  </si>
  <si>
    <t>Biocida No Oxidante p/TE</t>
  </si>
  <si>
    <t>Dispersante p/TE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</si>
  <si>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</si>
  <si>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</si>
  <si>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</si>
  <si>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</si>
  <si>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Tubo de Acero Inoxidable de Ø 1.5mm</t>
  </si>
  <si>
    <t>Tubo de Acero Inoxidable de Ø 2mm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</si>
  <si>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</si>
  <si>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</si>
  <si>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</si>
  <si>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</si>
  <si>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</si>
  <si>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Casaca Impermeable</t>
  </si>
  <si>
    <t>Perno de Amarre Para Inyectora M16 x 120 MM</t>
  </si>
  <si>
    <t>pHmetro (Pórtatil)</t>
  </si>
  <si>
    <t>Toner Kyocera TK-352</t>
  </si>
  <si>
    <t>Sirena de 220 VAC - 10W</t>
  </si>
  <si>
    <t>Tee de 1/2" SAE - 1020 FE NEGRO</t>
  </si>
  <si>
    <t>Caja Modular</t>
  </si>
  <si>
    <t>Exhibidor plástico de cuadernos</t>
  </si>
  <si>
    <t>Conector Recto 1/4 P/M10</t>
  </si>
  <si>
    <t>Bifoliado para Papel Carbón</t>
  </si>
  <si>
    <t>Corporeos Layconsa</t>
  </si>
  <si>
    <t>Porta Cuadernos Anillados</t>
  </si>
  <si>
    <t>UNIDAD DE IMAGEN TK 320</t>
  </si>
  <si>
    <t>Tampon para Sello de Peine Nopocid</t>
  </si>
  <si>
    <t>Señales de Seguridad según muestra</t>
  </si>
  <si>
    <t>Pastillas de freno</t>
  </si>
  <si>
    <t>Tubo de Acero Inoxidable Ø3.5 mm.</t>
  </si>
  <si>
    <t>Acople Para Eje</t>
  </si>
  <si>
    <t>Vitrina grande Layconsa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</si>
  <si>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</si>
  <si>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</si>
  <si>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</si>
  <si>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</si>
  <si>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</si>
  <si>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</si>
  <si>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</si>
  <si>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</si>
  <si>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</si>
  <si>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Solvente Alki Foam</t>
  </si>
  <si>
    <t>Candado Antiganzua</t>
  </si>
  <si>
    <t>Exhibidor Lápiz Teknic-o</t>
  </si>
  <si>
    <t>Cinta Adhesiva con la Marca</t>
  </si>
  <si>
    <t>Reloj De Pared</t>
  </si>
  <si>
    <t>Punto de Canje</t>
  </si>
  <si>
    <t>Exhibidor de Marcador x 3 Bandejas</t>
  </si>
  <si>
    <t>Formato de control de salida de materiales x 100/hjs.</t>
  </si>
  <si>
    <t>Dispensador de Papel Toalla</t>
  </si>
  <si>
    <t>Dispensador de Jabon Liq/Espuma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</si>
  <si>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</si>
  <si>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</si>
  <si>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</si>
  <si>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</si>
  <si>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</si>
  <si>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</si>
  <si>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Listas de Utiles Layconsa - Modelo 1 inicial</t>
  </si>
  <si>
    <t>Tinta para pruebas</t>
  </si>
  <si>
    <t>Prisionero M10 x 10</t>
  </si>
  <si>
    <t>Niple 1" x 4" - PVC</t>
  </si>
  <si>
    <t>Adaptador 1"</t>
  </si>
  <si>
    <t>Vinil laminado</t>
  </si>
  <si>
    <t>Bastidor para Banner</t>
  </si>
  <si>
    <t>Inflable Publicitario Caja Lapicero</t>
  </si>
  <si>
    <t>Inflable Publicitario Témpera</t>
  </si>
  <si>
    <t>Pulidor Para Carro</t>
  </si>
  <si>
    <t>Piedra Recta Blanca de 6x1/2x1.1/4 - A60</t>
  </si>
  <si>
    <t>Tubo Acero Inoxidable 316 SS Ø Ext 3mm Ø Int 2.5 mm</t>
  </si>
  <si>
    <t>Clise Para Cuaderno Grapado Rayado LYC</t>
  </si>
  <si>
    <t>Clise Para Cuaderno Grapado 1x1 Arcoiris</t>
  </si>
  <si>
    <t>Soplete quemador de gas</t>
  </si>
  <si>
    <t>Macho M10 x 1.5</t>
  </si>
  <si>
    <t>Macho M12 x 1.75</t>
  </si>
  <si>
    <t>Pizarra Acrílica</t>
  </si>
  <si>
    <t>Bifoleado de productos nuevos</t>
  </si>
  <si>
    <t>Caño de agua 1/2"</t>
  </si>
  <si>
    <t>Perno Flat M6x35 - Arandela- tuerca</t>
  </si>
  <si>
    <t>Pedestal para extintor</t>
  </si>
  <si>
    <t>Toner HP Q2612A (1020)</t>
  </si>
  <si>
    <t>Pulsador NC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</si>
  <si>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</si>
  <si>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</si>
  <si>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</si>
  <si>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</si>
  <si>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</si>
  <si>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</si>
  <si>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</si>
  <si>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</si>
  <si>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</si>
  <si>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</si>
  <si>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Maleta para Big Lama Plus With Crowns</t>
  </si>
  <si>
    <t>Maleta para Lama Panama</t>
  </si>
  <si>
    <t>Dispensador Limpiatipos Kartonplast</t>
  </si>
  <si>
    <t>Modulo de canje de plastico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</si>
  <si>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</si>
  <si>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</si>
  <si>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</si>
  <si>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</si>
  <si>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</si>
  <si>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</si>
  <si>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</si>
  <si>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</si>
  <si>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</si>
  <si>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</si>
  <si>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</si>
  <si>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</si>
  <si>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</si>
  <si>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</si>
  <si>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</si>
  <si>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</si>
  <si>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Precinto de seguridad numerado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</si>
  <si>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</si>
  <si>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</si>
  <si>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</si>
  <si>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</si>
  <si>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</si>
  <si>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</si>
  <si>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</si>
  <si>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</si>
  <si>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</si>
  <si>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</si>
  <si>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</si>
  <si>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</si>
  <si>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</si>
  <si>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</si>
  <si>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</si>
  <si>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</si>
  <si>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</si>
  <si>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Ribbon L288 CERA</t>
  </si>
  <si>
    <t>Colgante Tipo Caja Colores Soft</t>
  </si>
  <si>
    <t>Cenefa Layconsa con doblez y troquel</t>
  </si>
  <si>
    <t>Cenefa Layconsa</t>
  </si>
  <si>
    <t>Libro para colorear - Astronautas</t>
  </si>
  <si>
    <t>Raspa y gana</t>
  </si>
  <si>
    <t>O-Ring  Ø80 espesor 2mm</t>
  </si>
  <si>
    <t>Oring 2.62 x 12.37 x 17.61 mm/2-112</t>
  </si>
  <si>
    <t>Oring 4 x 12 x 20mm / 12004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</si>
  <si>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</si>
  <si>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</si>
  <si>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</si>
  <si>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</si>
  <si>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</si>
  <si>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</si>
  <si>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</si>
  <si>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</si>
  <si>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Reflector LED 300 W</t>
  </si>
  <si>
    <t>Trapo Industrial Suelto</t>
  </si>
  <si>
    <t>Lonchera de tela - Imp.</t>
  </si>
  <si>
    <t>Troquel para Blister - Pano 3</t>
  </si>
  <si>
    <t>Colgante Lista Escolar</t>
  </si>
  <si>
    <t>Exhibidor de piso media ruma Layconsa</t>
  </si>
  <si>
    <t>Mandil Layconsa con bordes azules</t>
  </si>
  <si>
    <t>Polo pique Gris con cuello amarillo Layconsa</t>
  </si>
  <si>
    <t>Polo amarillo con cuello Layconsa</t>
  </si>
  <si>
    <t>Polo amarillo con cuello Layconsa manga larga</t>
  </si>
  <si>
    <t>Polo amarillo cuello redondo Layconsa</t>
  </si>
  <si>
    <t>Polo amarillo cuello redondo Layconsa manga larga</t>
  </si>
  <si>
    <t>Mandil de cintura Layconsa</t>
  </si>
  <si>
    <t>Ventosa de vacío 1/8 NPT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</si>
  <si>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</si>
  <si>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</si>
  <si>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</si>
  <si>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</si>
  <si>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</si>
  <si>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Codo de PVC 3/4" para luz</t>
  </si>
  <si>
    <t>Cable eléctrico 2mm2</t>
  </si>
  <si>
    <t>Troquel Caja para Papitas</t>
  </si>
  <si>
    <t>Barniz Sobreimpresión Mate</t>
  </si>
  <si>
    <t>Terokal</t>
  </si>
  <si>
    <t>Barniz Brillante</t>
  </si>
  <si>
    <t>Micro Swtich NC-NO</t>
  </si>
  <si>
    <t>Solución Fuente</t>
  </si>
  <si>
    <t>Polvo Antirrepinte FX-300</t>
  </si>
  <si>
    <t>Pulsador Tipo Hongo Girar p/Desenclavar 1NC-1NO XB4-BS8445</t>
  </si>
  <si>
    <t>Prisinero M8 x 30</t>
  </si>
  <si>
    <t>Faja redonda OPTIBELT Verde de 4.0 mm Ø</t>
  </si>
  <si>
    <t>Faja Etiquetadora GG-8 de 1.5 x 120 x 470 mm, cerrada sinfín.</t>
  </si>
  <si>
    <t>Botas de Jebe Caña Alta</t>
  </si>
  <si>
    <t>Mandil de Plástico de 0.70 x 1.20mts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</si>
  <si>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</si>
  <si>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</si>
  <si>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</si>
  <si>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</si>
  <si>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</si>
  <si>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</si>
  <si>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</si>
  <si>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</si>
  <si>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</si>
  <si>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</si>
  <si>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</si>
  <si>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</si>
  <si>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</si>
  <si>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</si>
  <si>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</si>
  <si>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</si>
  <si>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Escobillon de 60cm</t>
  </si>
  <si>
    <t>Lejia</t>
  </si>
  <si>
    <t>Jaboncillo Para Mano</t>
  </si>
  <si>
    <t>Spray Antitermitas</t>
  </si>
  <si>
    <t>JABON LIQUIDO</t>
  </si>
  <si>
    <t>PAÑOS (VITUREX)</t>
  </si>
  <si>
    <t>Escobas de Cerda Plástico</t>
  </si>
  <si>
    <t>Esponjas Scoth Brite</t>
  </si>
  <si>
    <t>Trapeador Mopa + Mango</t>
  </si>
  <si>
    <t>Paños Multiusos x 50 und.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</si>
  <si>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</si>
  <si>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</si>
  <si>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</si>
  <si>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</si>
  <si>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</si>
  <si>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</si>
  <si>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</si>
  <si>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</si>
  <si>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</si>
  <si>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</si>
  <si>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</si>
  <si>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</si>
  <si>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</si>
  <si>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</si>
  <si>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</si>
  <si>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</si>
  <si>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</si>
  <si>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</si>
  <si>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</si>
  <si>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dielectricos</t>
  </si>
  <si>
    <t>Protectores de Oido de Silicona</t>
  </si>
  <si>
    <t>Guante Cuero Badana 10"</t>
  </si>
  <si>
    <t>Guante de Hilo Tipo Pescador</t>
  </si>
  <si>
    <t>Guantes de Cuero c/Larga 14"</t>
  </si>
  <si>
    <t>Mascara Protectora Media Cara Marca 3M</t>
  </si>
  <si>
    <t>Filtro para polvo 2097 marca 3M</t>
  </si>
  <si>
    <t>Cartuchos para respiradores Para solventes 6003 (orgánicos/ácidos)</t>
  </si>
  <si>
    <t>Mandil de Cuero Cromo de 80x90cm</t>
  </si>
  <si>
    <t>Mascarilla Descartable 3 Pliegues</t>
  </si>
  <si>
    <t>Traje Tyvek Descartable</t>
  </si>
  <si>
    <t>Lente Policarbonato Luna Clara Antiempañante</t>
  </si>
  <si>
    <t>Sobrelente Policarbonato con Luna Clara</t>
  </si>
  <si>
    <t>Guantes de nitrilo descartables</t>
  </si>
  <si>
    <t>Guantes Nitrilo forro Nylon</t>
  </si>
  <si>
    <t>Mascarilla de Tela</t>
  </si>
  <si>
    <t>Guantes de látex # 8</t>
  </si>
  <si>
    <t>Guantes Multiuso # 7</t>
  </si>
  <si>
    <t>Guantes Multiuso # 8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</si>
  <si>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</si>
  <si>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</si>
  <si>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</si>
  <si>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</si>
  <si>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</si>
  <si>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</si>
  <si>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Guante Poliester c/ palma Poliuretano T.7</t>
  </si>
  <si>
    <t>Lentes de seguridad Luna oscura</t>
  </si>
  <si>
    <t>Polo Manga Corta Cuello Redondo</t>
  </si>
  <si>
    <t>Mandil</t>
  </si>
  <si>
    <t>Chaleco</t>
  </si>
  <si>
    <t>Polo Layconsa Algodón 2/1 Manga Corta</t>
  </si>
  <si>
    <t>Polo pique vendedores</t>
  </si>
  <si>
    <t>Polo Layconsa Algodón 24/1 Manga Larga</t>
  </si>
  <si>
    <t>Polo Layconsa Algodón 24/1 Manga Corta</t>
  </si>
  <si>
    <t>Pack exclusivo: Juego educativo Tower Blocks x 40 pzas madera Arti Layconsa</t>
  </si>
  <si>
    <t>Pack esclusivo: Juego memoria x 36 + juego de asociación x 48 Arti Layconsa</t>
  </si>
  <si>
    <t>Goma en Barra Layconsa x 36gr.</t>
  </si>
  <si>
    <t>Cartulina Escarchada Fucsia Layconsa (50cm x 65cm)</t>
  </si>
  <si>
    <t>Microporoso Escarchado Layconsa Lila (50cm. x 60cm.)</t>
  </si>
  <si>
    <t>Microporoso Escarchado Layconsa Rosado (50cm. x 60cm.)</t>
  </si>
  <si>
    <t>Microporoso Escarchado Layconsa Negro  (50cm. x 60cm.)</t>
  </si>
  <si>
    <t>Microporoso Escarchado Layconsa Naranja  (50cm. x 60cm.)</t>
  </si>
  <si>
    <t>Microporoso Escarchado Layconsa Marron  (50cm. x 60cm.)</t>
  </si>
  <si>
    <t>Microporoso Escarchado Layconsa Blanco  (50cm. x 60cm.)</t>
  </si>
  <si>
    <t>Bandeja Acrílica Layconsa Office 2 Pisos Topacio</t>
  </si>
  <si>
    <t>Papel de Regalo Navidad N° 5 Layconsa 50 x 65cm</t>
  </si>
  <si>
    <t>ID del recurso</t>
  </si>
  <si>
    <t>Grupo del recurso (Necesario definirlos antes)</t>
  </si>
  <si>
    <t>Descripción del recurso</t>
  </si>
  <si>
    <t>Informacion adicional del recurso, para posterior filtrado (Necesario definirlos antes)</t>
  </si>
  <si>
    <t>Tarifa CIF Total</t>
  </si>
  <si>
    <t>Tarifa MO</t>
  </si>
  <si>
    <t>AMAN02</t>
  </si>
  <si>
    <t>ENSAMBLE_LIMA</t>
  </si>
  <si>
    <t>ACTIVIDAD MANUAL ENSAMBLE</t>
  </si>
  <si>
    <t>CAR01</t>
  </si>
  <si>
    <t>IMPI-01 (CARGAS)</t>
  </si>
  <si>
    <t>CAR02</t>
  </si>
  <si>
    <t>IMPI-02 (CARGAS)</t>
  </si>
  <si>
    <t>DOSIFICADO_DE_CARGA</t>
  </si>
  <si>
    <t>DOSI_TEMP01</t>
  </si>
  <si>
    <t>MAQUINA DE ENVASADO SETX7</t>
  </si>
  <si>
    <t>DOSI_TEMP02</t>
  </si>
  <si>
    <t>MAQUINA DE ENVASADO SETX7 MANUAL</t>
  </si>
  <si>
    <t>DOSI_TIN</t>
  </si>
  <si>
    <t>DOSIFICADOR (L-T4)</t>
  </si>
  <si>
    <t>ENVAS_TINTA_PIZA_126</t>
  </si>
  <si>
    <t>ENCJ01</t>
  </si>
  <si>
    <t>MAQUINA ENCAJADORA DE MARCADORES 47</t>
  </si>
  <si>
    <t>ENCJ02</t>
  </si>
  <si>
    <t>MAQUINA ENCAJADORA DE PLUMONES 45X12</t>
  </si>
  <si>
    <t>ENCJ03</t>
  </si>
  <si>
    <t>MAQUINA ENCAJADORA DE CRAYÓN</t>
  </si>
  <si>
    <t>ENS01</t>
  </si>
  <si>
    <t>EMSAMBLADOR 01 (47,123,23)</t>
  </si>
  <si>
    <t>ENS02</t>
  </si>
  <si>
    <t>EMSAMBLADOR 02 (45)</t>
  </si>
  <si>
    <t>ENS03</t>
  </si>
  <si>
    <t>EMSAMBLADOR 03 (36)</t>
  </si>
  <si>
    <t>ENS04</t>
  </si>
  <si>
    <t>EMSAMBLADOR 04 (TAPA DOS.)</t>
  </si>
  <si>
    <t xml:space="preserve">        22.5684 </t>
  </si>
  <si>
    <t xml:space="preserve">        9.46003 </t>
  </si>
  <si>
    <t>ENS05</t>
  </si>
  <si>
    <t>RUDI HUTT (PUNTA CARGAS)</t>
  </si>
  <si>
    <t>ENSAM_PUNTA_ADAPT</t>
  </si>
  <si>
    <t xml:space="preserve">      12.05440 </t>
  </si>
  <si>
    <t>ENS06</t>
  </si>
  <si>
    <t>MAQUINA DE ENSAMBLADO</t>
  </si>
  <si>
    <t>MARCADOR_123R</t>
  </si>
  <si>
    <t xml:space="preserve">      11.11745 </t>
  </si>
  <si>
    <t>ETIQ01</t>
  </si>
  <si>
    <t>MAQUINA ETIQUETADORA Nº1 (CRAYON)</t>
  </si>
  <si>
    <t>ETIQ02</t>
  </si>
  <si>
    <t>MAQUINA ETIQUETADORA Nº2 (CRAYON)</t>
  </si>
  <si>
    <t xml:space="preserve">        84.9200 </t>
  </si>
  <si>
    <t xml:space="preserve">      10.78716 </t>
  </si>
  <si>
    <t>EXT01</t>
  </si>
  <si>
    <t>EXTRUSORA SOTTI (TUBITOS)</t>
  </si>
  <si>
    <t>EXT02</t>
  </si>
  <si>
    <t>EXTRUSIÓN DE BORRADORES  Y CORTE DE BORRADOR CIRCULAR</t>
  </si>
  <si>
    <t>GUI_CIR01</t>
  </si>
  <si>
    <t xml:space="preserve">GUILLOTINA CORTE TIRAS/ RECTO ROJO </t>
  </si>
  <si>
    <t>GUI_REC01</t>
  </si>
  <si>
    <t>GUILLOTINA DE TIRAS</t>
  </si>
  <si>
    <t>GUI_REC02</t>
  </si>
  <si>
    <t>GUILLOTINA CORTE TIRAS GUILLOTINA CORTE/RECTO, FINAL DE BORRADOR</t>
  </si>
  <si>
    <t>IMP01</t>
  </si>
  <si>
    <t>MAQUINA DE SERIGRAFIA HORIZONTAL</t>
  </si>
  <si>
    <t xml:space="preserve">        13.2053 </t>
  </si>
  <si>
    <t xml:space="preserve">        9.40015 </t>
  </si>
  <si>
    <t>IMP02</t>
  </si>
  <si>
    <t>MAQUINA NEILSON HOT STAMPER 1</t>
  </si>
  <si>
    <t xml:space="preserve">        12.0030 </t>
  </si>
  <si>
    <t>IMP03</t>
  </si>
  <si>
    <t>TAMPOGRÁFICA MOD. TP-150/4 (PEINE)</t>
  </si>
  <si>
    <t xml:space="preserve">        21.4647 </t>
  </si>
  <si>
    <t>MAQ_DOS1</t>
  </si>
  <si>
    <t>DOSIFICADOR  4 Y 5 CAÑOS (COLA Y TEMPERA)</t>
  </si>
  <si>
    <t xml:space="preserve">      233.4585 </t>
  </si>
  <si>
    <t>MAQ_DOS2</t>
  </si>
  <si>
    <t>DOSIFICADOR X 1 CAÑO</t>
  </si>
  <si>
    <t xml:space="preserve">      106.5893 </t>
  </si>
  <si>
    <t xml:space="preserve">        9.57376 </t>
  </si>
  <si>
    <t>MAQ_DOS3</t>
  </si>
  <si>
    <t>DOSIFICADOR X 2 CAÑOS</t>
  </si>
  <si>
    <t xml:space="preserve">        27.9749 </t>
  </si>
  <si>
    <t xml:space="preserve">        9.15307 </t>
  </si>
  <si>
    <t>REMCH01</t>
  </si>
  <si>
    <t>PRENSADO MANUAL DE REMACHES</t>
  </si>
  <si>
    <t xml:space="preserve">        8.14174 </t>
  </si>
  <si>
    <t>SELL01</t>
  </si>
  <si>
    <t>SELLADOR DE BORRADORES L-40, L-80 Y BORRADOR GRIS</t>
  </si>
  <si>
    <t>MAQ. #01 TIPO POLITRÓN"S"6 KW 220 VOLTIOS (EST.)</t>
  </si>
  <si>
    <t>CONFECC_ESTUCHE_PVC</t>
  </si>
  <si>
    <t>TERMO</t>
  </si>
  <si>
    <t>THERMOFORAMDORA DE DE PALETAS</t>
  </si>
  <si>
    <t>TERMOEN</t>
  </si>
  <si>
    <t>FORMADO DE PACKS</t>
  </si>
  <si>
    <t xml:space="preserve">        8.13623 </t>
  </si>
  <si>
    <t>TROQ01</t>
  </si>
  <si>
    <t>TROQUEL MASA LIMPIATIPO</t>
  </si>
  <si>
    <t xml:space="preserve">      346.2525 </t>
  </si>
  <si>
    <t xml:space="preserve">        8.27500 </t>
  </si>
  <si>
    <t>TROQ02</t>
  </si>
  <si>
    <t>TROQUELADORA DE PALETAS</t>
  </si>
  <si>
    <t>VULC01</t>
  </si>
  <si>
    <t>VULCANIZADORA DE BORRADOR</t>
  </si>
  <si>
    <t>AGIT01</t>
  </si>
  <si>
    <t>MASAS_TINTAS_LIMA</t>
  </si>
  <si>
    <t>AGITADOR1</t>
  </si>
  <si>
    <t>PRE_TINTA_PLUMMYMARC</t>
  </si>
  <si>
    <t xml:space="preserve">        32.5465 </t>
  </si>
  <si>
    <t xml:space="preserve">      10.63879 </t>
  </si>
  <si>
    <t>AGIT02</t>
  </si>
  <si>
    <t>AGITADOR2</t>
  </si>
  <si>
    <t>AGIT03</t>
  </si>
  <si>
    <t>AGITADOR3</t>
  </si>
  <si>
    <t>DISOLVER</t>
  </si>
  <si>
    <t>DISSOLVER (FLEXOS, INTERMEDIO, TEROTEX)</t>
  </si>
  <si>
    <t xml:space="preserve">        88.9809 </t>
  </si>
  <si>
    <t xml:space="preserve">      10.06166 </t>
  </si>
  <si>
    <t>FORM01</t>
  </si>
  <si>
    <t>MAQUINA MEZCLADORA 1 (FORMADO CRAYON)</t>
  </si>
  <si>
    <t>FORM02</t>
  </si>
  <si>
    <t>MAQUINA MEZCLADORA 2 (FORMADO CRAYON)</t>
  </si>
  <si>
    <t xml:space="preserve">        42.4600 </t>
  </si>
  <si>
    <t xml:space="preserve">      10.77532 </t>
  </si>
  <si>
    <t>FORM03</t>
  </si>
  <si>
    <t>MAQUINA MEZCLADORA 3 (FORMADO CRAYON)</t>
  </si>
  <si>
    <t>HUBBES01</t>
  </si>
  <si>
    <t>HUBBES N°1  650 KG</t>
  </si>
  <si>
    <t xml:space="preserve">        74.0187 </t>
  </si>
  <si>
    <t xml:space="preserve">      10.92631 </t>
  </si>
  <si>
    <t>HUBBES02</t>
  </si>
  <si>
    <t>HUBBES N°2  950 KG</t>
  </si>
  <si>
    <t xml:space="preserve">      111.0281 </t>
  </si>
  <si>
    <t>MEZC01</t>
  </si>
  <si>
    <t>MESCLADORA DE MASA DE TEMPERA 200 KL</t>
  </si>
  <si>
    <t xml:space="preserve">      10.92631 </t>
  </si>
  <si>
    <t>MOL_CAL01</t>
  </si>
  <si>
    <t>MOLINO DE CAUCHO</t>
  </si>
  <si>
    <t>MOL_TRI01</t>
  </si>
  <si>
    <t>MOLINO TRICILINDRIC N°1</t>
  </si>
  <si>
    <t>MOLIENDA_DyB_CRAY</t>
  </si>
  <si>
    <t xml:space="preserve">        32.9633 </t>
  </si>
  <si>
    <t xml:space="preserve">      10.32061 </t>
  </si>
  <si>
    <t>MOL_TRI02</t>
  </si>
  <si>
    <t>MOLINO TRICILINDRIC N°2</t>
  </si>
  <si>
    <t>MOLIENDA_B_CRAYN</t>
  </si>
  <si>
    <t>REACT01</t>
  </si>
  <si>
    <t>REACTOR Nº1 (LATEX, PVA)</t>
  </si>
  <si>
    <t>PREP_LATEX_PVA</t>
  </si>
  <si>
    <t xml:space="preserve">      149.6171 </t>
  </si>
  <si>
    <t>REACT02</t>
  </si>
  <si>
    <t>REACTOR Nº2 (COLA)</t>
  </si>
  <si>
    <t>PREP_COLA</t>
  </si>
  <si>
    <t xml:space="preserve">      131.9418 </t>
  </si>
  <si>
    <t xml:space="preserve">      10.35127 </t>
  </si>
  <si>
    <t>AMAN03</t>
  </si>
  <si>
    <t>PAPELERIA_LIMA</t>
  </si>
  <si>
    <t>ACTIVIDAD MANUAL PAPELERÍA</t>
  </si>
  <si>
    <t xml:space="preserve">      12.08845 </t>
  </si>
  <si>
    <t>POLAR001</t>
  </si>
  <si>
    <t>CORTE</t>
  </si>
  <si>
    <t xml:space="preserve">                    -   </t>
  </si>
  <si>
    <t xml:space="preserve">      12.96087 </t>
  </si>
  <si>
    <t>WIL001</t>
  </si>
  <si>
    <t>MAQUINA ENCUADERNADORA</t>
  </si>
  <si>
    <t xml:space="preserve">      279.7313 </t>
  </si>
  <si>
    <t xml:space="preserve">      14.99874 </t>
  </si>
  <si>
    <t>AMAN01</t>
  </si>
  <si>
    <t>PLÁSTICO_LIMA</t>
  </si>
  <si>
    <t>ACTIVIDAD MANUAL INYECCIÓN</t>
  </si>
  <si>
    <t>INY01</t>
  </si>
  <si>
    <t>INYECTORA CHEN HSONG 138</t>
  </si>
  <si>
    <t>INY02</t>
  </si>
  <si>
    <t>INY03</t>
  </si>
  <si>
    <t>INYECTORA CHEN HSONG 178</t>
  </si>
  <si>
    <t>INY04</t>
  </si>
  <si>
    <t>INY05</t>
  </si>
  <si>
    <t>INYECTORA WELLTEC 140</t>
  </si>
  <si>
    <t>INY06</t>
  </si>
  <si>
    <t>INYECTORA WELLTEC 220</t>
  </si>
  <si>
    <t>INY07</t>
  </si>
  <si>
    <t>INYECTORA CHEN HSONG 228</t>
  </si>
  <si>
    <t>INY08</t>
  </si>
  <si>
    <t>INYECTORA CHEN HSONG 98</t>
  </si>
  <si>
    <t>INY09</t>
  </si>
  <si>
    <t>INY10</t>
  </si>
  <si>
    <t>INY11</t>
  </si>
  <si>
    <t>INY12</t>
  </si>
  <si>
    <t>INY13</t>
  </si>
  <si>
    <t>INY14</t>
  </si>
  <si>
    <t>INYECTORA WELLTEC 100</t>
  </si>
  <si>
    <t>INY15</t>
  </si>
  <si>
    <t>MEZ_INY01</t>
  </si>
  <si>
    <t>MEZCLADOR BALL JEWELL CAP:25 KL/1000</t>
  </si>
  <si>
    <t>MEZ_INY02</t>
  </si>
  <si>
    <t>MEZCLADOR DE PLANTA 100KL/1000</t>
  </si>
  <si>
    <t>SOP01</t>
  </si>
  <si>
    <t>SOPLADORA SEYPE</t>
  </si>
  <si>
    <t>SOP02</t>
  </si>
  <si>
    <t>SOPLADORA JHON HUANG</t>
  </si>
  <si>
    <t>SOP03</t>
  </si>
  <si>
    <t>SOPLADORA UNILOY</t>
  </si>
  <si>
    <t>Familia</t>
  </si>
  <si>
    <t>Proceso</t>
  </si>
  <si>
    <t>Encajado</t>
  </si>
  <si>
    <t>Ensamble</t>
  </si>
  <si>
    <t>Inyección</t>
  </si>
  <si>
    <t>MYT</t>
  </si>
  <si>
    <t>CIF</t>
  </si>
  <si>
    <t>CM</t>
  </si>
  <si>
    <t>MOD</t>
  </si>
  <si>
    <t>Total</t>
  </si>
  <si>
    <t>Costo calculado</t>
  </si>
  <si>
    <t>Costo x und</t>
  </si>
  <si>
    <t xml:space="preserve"> Cantidad Base_tiempos</t>
  </si>
  <si>
    <t xml:space="preserve"> Cantidad Base_Explosión</t>
  </si>
  <si>
    <t>T.ciclo</t>
  </si>
  <si>
    <t>Cav. Oper</t>
  </si>
  <si>
    <t>Cav. Tot</t>
  </si>
  <si>
    <t>DC/12</t>
  </si>
  <si>
    <t>Termoen</t>
  </si>
  <si>
    <t>Troquelado</t>
  </si>
  <si>
    <t>Barril Para Marcador 042 - NP Rojo P.S.</t>
  </si>
  <si>
    <t>Barril Para Marcador 042 - NP Amarillo P.S.</t>
  </si>
  <si>
    <t>Barril Para Marcador LYC Serigrafiado 047 - MK Celeste Imp. Blanco</t>
  </si>
  <si>
    <t>Espesante Acrílico al 40%</t>
  </si>
  <si>
    <t>Serigrafiado</t>
  </si>
  <si>
    <t>Dosificado</t>
  </si>
  <si>
    <t>Masas</t>
  </si>
  <si>
    <t>Codigo</t>
  </si>
  <si>
    <t>Descripción</t>
  </si>
  <si>
    <t>UM</t>
  </si>
  <si>
    <t>TIPO DE COMPRA</t>
  </si>
  <si>
    <t>MOQ</t>
  </si>
  <si>
    <t>LT-días</t>
  </si>
  <si>
    <t xml:space="preserve">Tipo </t>
  </si>
  <si>
    <t>NACIONAL</t>
  </si>
  <si>
    <t>Otros</t>
  </si>
  <si>
    <t>Paletas Burbujas Blanca para Témpera P.S.</t>
  </si>
  <si>
    <t>Cajas</t>
  </si>
  <si>
    <t>Cajitas</t>
  </si>
  <si>
    <t>Cajita para Marcadores Layconsa L-123 x 12 pz. Morado</t>
  </si>
  <si>
    <t>Etiquetas</t>
  </si>
  <si>
    <t>Pigmentos</t>
  </si>
  <si>
    <t>Pigmento Astral Pink FEX-1</t>
  </si>
  <si>
    <t>Masterbach Amarillo 11026/2</t>
  </si>
  <si>
    <t>Masterbach</t>
  </si>
  <si>
    <t>Pigmento Panax Violet 605</t>
  </si>
  <si>
    <t>Varios</t>
  </si>
  <si>
    <t>Pigmento Stellar Green FEX-8</t>
  </si>
  <si>
    <t>Pigmento Amarillo Lunar Yellow FEX-27</t>
  </si>
  <si>
    <t>Pigmento Amarillo 151-C</t>
  </si>
  <si>
    <t>Pigmento Alsa Colors 4010</t>
  </si>
  <si>
    <t>Pigmento Rosado Fluor</t>
  </si>
  <si>
    <t>Pigmento Amarillo Fluor</t>
  </si>
  <si>
    <t>Pigmento Azul Ultramar Para Plásticos</t>
  </si>
  <si>
    <t>Masterbach Naranja 12036/4</t>
  </si>
  <si>
    <t>Pigmento Negro de Humo Para Plástico</t>
  </si>
  <si>
    <t>NACIONAL PERO IMPORTADO</t>
  </si>
  <si>
    <t>Spectra</t>
  </si>
  <si>
    <t>Pigmento Blaze Naranja Neon FEX- 5</t>
  </si>
  <si>
    <t>Resinas</t>
  </si>
  <si>
    <t>Paletas</t>
  </si>
  <si>
    <t>IMPORTADO</t>
  </si>
  <si>
    <t>Tintas</t>
  </si>
  <si>
    <t>Licowax PE 520 Fine Crain (Cera A)</t>
  </si>
  <si>
    <t>Blanco Optico  2222K</t>
  </si>
  <si>
    <t>CT/100</t>
  </si>
  <si>
    <t>Puntas</t>
  </si>
  <si>
    <t>Remache tablero</t>
  </si>
  <si>
    <t>Film</t>
  </si>
  <si>
    <t>Filtros</t>
  </si>
  <si>
    <t>Film PET Transferencia 10x7cm Marcador 047 Azul</t>
  </si>
  <si>
    <t>Alcohol Polivinilico PVA kuraray Poval</t>
  </si>
  <si>
    <t>Alcohol</t>
  </si>
  <si>
    <t>Dispersante Flowax 140</t>
  </si>
  <si>
    <t>Malla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</si>
  <si>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</si>
  <si>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</si>
  <si>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</si>
  <si>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</si>
  <si>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</si>
  <si>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</si>
  <si>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</si>
  <si>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</si>
  <si>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</si>
  <si>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</si>
  <si>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</si>
  <si>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Archivadores</t>
  </si>
  <si>
    <t>Pionners</t>
  </si>
  <si>
    <t>Cauchos</t>
  </si>
  <si>
    <t>Caucho Natural SGR-10</t>
  </si>
  <si>
    <t>Polipropileno - PP Propilco 11H01A</t>
  </si>
  <si>
    <t>Dióxido de Titanio Tioxhua R-216</t>
  </si>
  <si>
    <t>Caolín PZ 600 (Silicato de Aluminio)</t>
  </si>
  <si>
    <t>Caolín malla 400 ( Silicato de aluminio)</t>
  </si>
  <si>
    <t>Dispersión</t>
  </si>
  <si>
    <t>Pigmento Naranja Permanente GO2 Color Index 13</t>
  </si>
  <si>
    <t>Pigmento Oxido de Hierro Rojo Chino 4130</t>
  </si>
  <si>
    <t>Pigmento Rojo Grapthol Color Index 52:2</t>
  </si>
  <si>
    <t>Pigmento Azul Verdoso Color Index B.15:3</t>
  </si>
  <si>
    <t>Hidroxido</t>
  </si>
  <si>
    <t>Aurol S 28</t>
  </si>
  <si>
    <t>Texanol</t>
  </si>
  <si>
    <t>Cajón</t>
  </si>
  <si>
    <t>Cajita Para Plumones LYC School 45x12pz mcol.</t>
  </si>
  <si>
    <t>Cajita para Marcadores LYC 123 x 4 pz colores especiales</t>
  </si>
  <si>
    <t>Inner para Marcadores LYC 123x4x12 cj/12 colores especiales</t>
  </si>
  <si>
    <t>Cajón C/I 51.5x29.5x22.5 cm (LYC) pote cola sintética x 220 gr</t>
  </si>
  <si>
    <t>Cajón cola sintetica c/aplicador 125gr de 35.5x26.4x15.8 cm</t>
  </si>
  <si>
    <t>Cajon de Embalaje Plumones Layconsa School 45 estuche x 24  46.00*26.00*25.50</t>
  </si>
  <si>
    <t>Cajón de Embalaje Crayón Puppy Jumbo x12 39x21x17 cm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</si>
  <si>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</si>
  <si>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</si>
  <si>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</si>
  <si>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</si>
  <si>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</si>
  <si>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Bolsa de PP Cristal Para Bandeja Portapapeles 2 Pisos 16x24x1</t>
  </si>
  <si>
    <t>Bolsas</t>
  </si>
  <si>
    <t>Bolsa Para Tablero Acrílico de 10x15x1</t>
  </si>
  <si>
    <t>Bolsa Zipper Plumon 45 x 12 PET/PEBD 150 x 220mm x 90µ</t>
  </si>
  <si>
    <t>tintas</t>
  </si>
  <si>
    <t>Punta Carga 036M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</si>
</sst>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4" fontId="0" fillId="0" borderId="0" xfId="0" applyNumberFormat="1"/>
    <xf numFmtId="4" fontId="2" fillId="0" borderId="0" xfId="0" applyNumberFormat="1" applyFont="1"/>
    <xf numFmtId="164" fontId="0" fillId="0" borderId="0" xfId="1" applyNumberFormat="1" applyFont="1"/>
    <xf numFmtId="43" fontId="0" fillId="0" borderId="0" xfId="1" applyFont="1"/>
    <xf numFmtId="164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AB14-8F08-42F1-B5A6-EEB9AC034D6E}">
  <dimension ref="A1:M834"/>
  <sheetViews>
    <sheetView tabSelected="1" topLeftCell="A800" workbookViewId="0">
      <selection activeCell="A834" sqref="A834"/>
    </sheetView>
  </sheetViews>
  <sheetFormatPr baseColWidth="10" defaultRowHeight="15" x14ac:dyDescent="0.25"/>
  <cols>
    <col min="1" max="1" width="11" bestFit="1" customWidth="1"/>
    <col min="2" max="2" width="39.140625" bestFit="1" customWidth="1"/>
    <col min="3" max="3" width="12.7109375" bestFit="1" customWidth="1"/>
    <col min="4" max="4" width="47.42578125" bestFit="1" customWidth="1"/>
    <col min="5" max="5" width="13" bestFit="1" customWidth="1"/>
    <col min="6" max="6" width="56.7109375" bestFit="1" customWidth="1"/>
    <col min="7" max="7" width="8.28515625" bestFit="1" customWidth="1"/>
    <col min="8" max="8" width="24.42578125" bestFit="1" customWidth="1"/>
    <col min="9" max="9" width="6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4854</v>
      </c>
    </row>
    <row r="2" spans="1:13" x14ac:dyDescent="0.25">
      <c r="A2">
        <v>2110020095</v>
      </c>
      <c r="B2" t="s">
        <v>18</v>
      </c>
      <c r="C2">
        <v>2110020095</v>
      </c>
      <c r="D2" t="s">
        <v>18</v>
      </c>
      <c r="E2">
        <v>2310210127</v>
      </c>
      <c r="F2" t="s">
        <v>19</v>
      </c>
      <c r="G2" t="s">
        <v>20</v>
      </c>
      <c r="H2">
        <v>8000</v>
      </c>
      <c r="I2">
        <v>1</v>
      </c>
      <c r="J2">
        <v>8000</v>
      </c>
      <c r="K2">
        <f>+VLOOKUP(E2,Costos!$A$1:$I$7161,9,FALSE)</f>
        <v>0.14463300000000001</v>
      </c>
      <c r="L2" t="str">
        <f>+LEFT(E2,3)</f>
        <v>231</v>
      </c>
      <c r="M2" t="str">
        <f>+LEFT(E2,6)</f>
        <v>231021</v>
      </c>
    </row>
    <row r="3" spans="1:13" x14ac:dyDescent="0.25">
      <c r="A3">
        <v>2110020095</v>
      </c>
      <c r="B3" t="s">
        <v>18</v>
      </c>
      <c r="C3">
        <v>2110020095</v>
      </c>
      <c r="D3" t="s">
        <v>18</v>
      </c>
      <c r="E3">
        <v>2310210128</v>
      </c>
      <c r="F3" t="s">
        <v>21</v>
      </c>
      <c r="G3" t="s">
        <v>20</v>
      </c>
      <c r="H3">
        <v>8000</v>
      </c>
      <c r="I3">
        <v>1</v>
      </c>
      <c r="J3">
        <v>8000</v>
      </c>
      <c r="K3">
        <f>+VLOOKUP(E3,Costos!$A$1:$I$7161,9,FALSE)</f>
        <v>0.122131</v>
      </c>
      <c r="L3" t="str">
        <f t="shared" ref="L3:L66" si="0">+LEFT(E3,3)</f>
        <v>231</v>
      </c>
      <c r="M3" t="str">
        <f t="shared" ref="M3:M66" si="1">+LEFT(E3,6)</f>
        <v>231021</v>
      </c>
    </row>
    <row r="4" spans="1:13" x14ac:dyDescent="0.25">
      <c r="A4">
        <v>2110020095</v>
      </c>
      <c r="B4" t="s">
        <v>18</v>
      </c>
      <c r="C4">
        <v>2110020095</v>
      </c>
      <c r="D4" t="s">
        <v>18</v>
      </c>
      <c r="E4">
        <v>2310210129</v>
      </c>
      <c r="F4" t="s">
        <v>22</v>
      </c>
      <c r="G4" t="s">
        <v>20</v>
      </c>
      <c r="H4">
        <v>8000</v>
      </c>
      <c r="I4">
        <v>1</v>
      </c>
      <c r="J4">
        <v>8000</v>
      </c>
      <c r="K4">
        <f>+VLOOKUP(E4,Costos!$A$1:$I$7161,9,FALSE)</f>
        <v>0.112736</v>
      </c>
      <c r="L4" t="str">
        <f t="shared" si="0"/>
        <v>231</v>
      </c>
      <c r="M4" t="str">
        <f t="shared" si="1"/>
        <v>231021</v>
      </c>
    </row>
    <row r="5" spans="1:13" x14ac:dyDescent="0.25">
      <c r="A5">
        <v>2110020095</v>
      </c>
      <c r="B5" t="s">
        <v>18</v>
      </c>
      <c r="C5">
        <v>2110020095</v>
      </c>
      <c r="D5" t="s">
        <v>18</v>
      </c>
      <c r="E5">
        <v>2310210130</v>
      </c>
      <c r="F5" t="s">
        <v>23</v>
      </c>
      <c r="G5" t="s">
        <v>20</v>
      </c>
      <c r="H5">
        <v>8000</v>
      </c>
      <c r="I5">
        <v>1</v>
      </c>
      <c r="J5">
        <v>8000</v>
      </c>
      <c r="K5">
        <f>+VLOOKUP(E5,Costos!$A$1:$I$7161,9,FALSE)</f>
        <v>0.12189899999999999</v>
      </c>
      <c r="L5" t="str">
        <f t="shared" si="0"/>
        <v>231</v>
      </c>
      <c r="M5" t="str">
        <f t="shared" si="1"/>
        <v>231021</v>
      </c>
    </row>
    <row r="6" spans="1:13" x14ac:dyDescent="0.25">
      <c r="A6">
        <v>2110020095</v>
      </c>
      <c r="B6" t="s">
        <v>18</v>
      </c>
      <c r="C6">
        <v>2110020095</v>
      </c>
      <c r="D6" t="s">
        <v>18</v>
      </c>
      <c r="E6">
        <v>2310210131</v>
      </c>
      <c r="F6" t="s">
        <v>24</v>
      </c>
      <c r="G6" t="s">
        <v>20</v>
      </c>
      <c r="H6">
        <v>8000</v>
      </c>
      <c r="I6">
        <v>1</v>
      </c>
      <c r="J6">
        <v>8000</v>
      </c>
      <c r="K6">
        <f>+VLOOKUP(E6,Costos!$A$1:$I$7161,9,FALSE)</f>
        <v>0.11941499999999999</v>
      </c>
      <c r="L6" t="str">
        <f t="shared" si="0"/>
        <v>231</v>
      </c>
      <c r="M6" t="str">
        <f t="shared" si="1"/>
        <v>231021</v>
      </c>
    </row>
    <row r="7" spans="1:13" x14ac:dyDescent="0.25">
      <c r="A7">
        <v>2110020095</v>
      </c>
      <c r="B7" t="s">
        <v>18</v>
      </c>
      <c r="C7">
        <v>2110020095</v>
      </c>
      <c r="D7" t="s">
        <v>18</v>
      </c>
      <c r="E7">
        <v>2310210132</v>
      </c>
      <c r="F7" t="s">
        <v>25</v>
      </c>
      <c r="G7" t="s">
        <v>20</v>
      </c>
      <c r="H7">
        <v>8000</v>
      </c>
      <c r="I7">
        <v>1</v>
      </c>
      <c r="J7">
        <v>8000</v>
      </c>
      <c r="K7">
        <f>+VLOOKUP(E7,Costos!$A$1:$I$7161,9,FALSE)</f>
        <v>0.11821</v>
      </c>
      <c r="L7" t="str">
        <f t="shared" si="0"/>
        <v>231</v>
      </c>
      <c r="M7" t="str">
        <f t="shared" si="1"/>
        <v>231021</v>
      </c>
    </row>
    <row r="8" spans="1:13" x14ac:dyDescent="0.25">
      <c r="A8">
        <v>2110020095</v>
      </c>
      <c r="B8" t="s">
        <v>18</v>
      </c>
      <c r="C8">
        <v>2110020095</v>
      </c>
      <c r="D8" t="s">
        <v>18</v>
      </c>
      <c r="E8">
        <v>2310210133</v>
      </c>
      <c r="F8" t="s">
        <v>26</v>
      </c>
      <c r="G8" t="s">
        <v>20</v>
      </c>
      <c r="H8">
        <v>8000</v>
      </c>
      <c r="I8">
        <v>1</v>
      </c>
      <c r="J8">
        <v>8000</v>
      </c>
      <c r="K8">
        <f>+VLOOKUP(E8,Costos!$A$1:$I$7161,9,FALSE)</f>
        <v>0.11996</v>
      </c>
      <c r="L8" t="str">
        <f t="shared" si="0"/>
        <v>231</v>
      </c>
      <c r="M8" t="str">
        <f t="shared" si="1"/>
        <v>231021</v>
      </c>
    </row>
    <row r="9" spans="1:13" x14ac:dyDescent="0.25">
      <c r="A9">
        <v>2110020095</v>
      </c>
      <c r="B9" t="s">
        <v>18</v>
      </c>
      <c r="C9">
        <v>2110020095</v>
      </c>
      <c r="D9" t="s">
        <v>18</v>
      </c>
      <c r="E9">
        <v>2310210134</v>
      </c>
      <c r="F9" t="s">
        <v>27</v>
      </c>
      <c r="G9" t="s">
        <v>20</v>
      </c>
      <c r="H9">
        <v>8000</v>
      </c>
      <c r="I9">
        <v>1</v>
      </c>
      <c r="J9">
        <v>8000</v>
      </c>
      <c r="K9">
        <f>+VLOOKUP(E9,Costos!$A$1:$I$7161,9,FALSE)</f>
        <v>0.123892</v>
      </c>
      <c r="L9" t="str">
        <f t="shared" si="0"/>
        <v>231</v>
      </c>
      <c r="M9" t="str">
        <f t="shared" si="1"/>
        <v>231021</v>
      </c>
    </row>
    <row r="10" spans="1:13" x14ac:dyDescent="0.25">
      <c r="A10">
        <v>2110020095</v>
      </c>
      <c r="B10" t="s">
        <v>18</v>
      </c>
      <c r="C10">
        <v>2110020095</v>
      </c>
      <c r="D10" t="s">
        <v>18</v>
      </c>
      <c r="E10">
        <v>2310210135</v>
      </c>
      <c r="F10" t="s">
        <v>28</v>
      </c>
      <c r="G10" t="s">
        <v>20</v>
      </c>
      <c r="H10">
        <v>8000</v>
      </c>
      <c r="I10">
        <v>1</v>
      </c>
      <c r="J10">
        <v>8000</v>
      </c>
      <c r="K10">
        <f>+VLOOKUP(E10,Costos!$A$1:$I$7161,9,FALSE)</f>
        <v>0.124638</v>
      </c>
      <c r="L10" t="str">
        <f t="shared" si="0"/>
        <v>231</v>
      </c>
      <c r="M10" t="str">
        <f t="shared" si="1"/>
        <v>231021</v>
      </c>
    </row>
    <row r="11" spans="1:13" x14ac:dyDescent="0.25">
      <c r="A11">
        <v>2110020095</v>
      </c>
      <c r="B11" t="s">
        <v>18</v>
      </c>
      <c r="C11">
        <v>2110020095</v>
      </c>
      <c r="D11" t="s">
        <v>18</v>
      </c>
      <c r="E11">
        <v>2310210136</v>
      </c>
      <c r="F11" t="s">
        <v>29</v>
      </c>
      <c r="G11" t="s">
        <v>20</v>
      </c>
      <c r="H11">
        <v>8000</v>
      </c>
      <c r="I11">
        <v>1</v>
      </c>
      <c r="J11">
        <v>8000</v>
      </c>
      <c r="K11">
        <f>+VLOOKUP(E11,Costos!$A$1:$I$7161,9,FALSE)</f>
        <v>0.114885</v>
      </c>
      <c r="L11" t="str">
        <f t="shared" si="0"/>
        <v>231</v>
      </c>
      <c r="M11" t="str">
        <f t="shared" si="1"/>
        <v>231021</v>
      </c>
    </row>
    <row r="12" spans="1:13" x14ac:dyDescent="0.25">
      <c r="A12">
        <v>2110020095</v>
      </c>
      <c r="B12" t="s">
        <v>18</v>
      </c>
      <c r="C12">
        <v>2110020095</v>
      </c>
      <c r="D12" t="s">
        <v>18</v>
      </c>
      <c r="E12">
        <v>2310210137</v>
      </c>
      <c r="F12" t="s">
        <v>30</v>
      </c>
      <c r="G12" t="s">
        <v>20</v>
      </c>
      <c r="H12">
        <v>8000</v>
      </c>
      <c r="I12">
        <v>1</v>
      </c>
      <c r="J12">
        <v>8000</v>
      </c>
      <c r="K12">
        <f>+VLOOKUP(E12,Costos!$A$1:$I$7161,9,FALSE)</f>
        <v>0.11200300000000001</v>
      </c>
      <c r="L12" t="str">
        <f t="shared" si="0"/>
        <v>231</v>
      </c>
      <c r="M12" t="str">
        <f t="shared" si="1"/>
        <v>231021</v>
      </c>
    </row>
    <row r="13" spans="1:13" x14ac:dyDescent="0.25">
      <c r="A13">
        <v>2110020095</v>
      </c>
      <c r="B13" t="s">
        <v>18</v>
      </c>
      <c r="C13">
        <v>2110020095</v>
      </c>
      <c r="D13" t="s">
        <v>18</v>
      </c>
      <c r="E13">
        <v>2310210138</v>
      </c>
      <c r="F13" t="s">
        <v>31</v>
      </c>
      <c r="G13" t="s">
        <v>20</v>
      </c>
      <c r="H13">
        <v>8000</v>
      </c>
      <c r="I13">
        <v>1</v>
      </c>
      <c r="J13">
        <v>8000</v>
      </c>
      <c r="K13">
        <f>+VLOOKUP(E13,Costos!$A$1:$I$7161,9,FALSE)</f>
        <v>0.14680699999999999</v>
      </c>
      <c r="L13" t="str">
        <f t="shared" si="0"/>
        <v>231</v>
      </c>
      <c r="M13" t="str">
        <f t="shared" si="1"/>
        <v>231021</v>
      </c>
    </row>
    <row r="14" spans="1:13" x14ac:dyDescent="0.25">
      <c r="A14">
        <v>2110020095</v>
      </c>
      <c r="B14" t="s">
        <v>18</v>
      </c>
      <c r="C14">
        <v>2110020095</v>
      </c>
      <c r="D14" t="s">
        <v>18</v>
      </c>
      <c r="E14">
        <v>2320050818</v>
      </c>
      <c r="F14" t="s">
        <v>32</v>
      </c>
      <c r="G14" t="s">
        <v>20</v>
      </c>
      <c r="H14">
        <v>8000</v>
      </c>
      <c r="I14">
        <v>1</v>
      </c>
      <c r="J14">
        <v>8000</v>
      </c>
      <c r="K14">
        <f>+VLOOKUP(E14,Costos!$A$1:$I$7161,9,FALSE)</f>
        <v>0.11834500000000001</v>
      </c>
      <c r="L14" t="str">
        <f t="shared" si="0"/>
        <v>232</v>
      </c>
      <c r="M14" t="str">
        <f t="shared" si="1"/>
        <v>232005</v>
      </c>
    </row>
    <row r="15" spans="1:13" x14ac:dyDescent="0.25">
      <c r="A15">
        <v>2110020095</v>
      </c>
      <c r="B15" t="s">
        <v>18</v>
      </c>
      <c r="C15">
        <v>2110020095</v>
      </c>
      <c r="D15" t="s">
        <v>18</v>
      </c>
      <c r="E15">
        <v>2320050826</v>
      </c>
      <c r="F15" t="s">
        <v>33</v>
      </c>
      <c r="G15" t="s">
        <v>20</v>
      </c>
      <c r="H15">
        <v>666.66669999999999</v>
      </c>
      <c r="I15">
        <v>1</v>
      </c>
      <c r="J15">
        <v>8000</v>
      </c>
      <c r="K15">
        <f>+VLOOKUP(E15,Costos!$A$1:$I$7161,9,FALSE)</f>
        <v>0.46694600000000003</v>
      </c>
      <c r="L15" t="str">
        <f t="shared" si="0"/>
        <v>232</v>
      </c>
      <c r="M15" t="str">
        <f t="shared" si="1"/>
        <v>232005</v>
      </c>
    </row>
    <row r="16" spans="1:13" x14ac:dyDescent="0.25">
      <c r="A16">
        <v>2110020095</v>
      </c>
      <c r="B16" t="s">
        <v>18</v>
      </c>
      <c r="C16">
        <v>2110020095</v>
      </c>
      <c r="D16" t="s">
        <v>18</v>
      </c>
      <c r="E16">
        <v>2500030344</v>
      </c>
      <c r="F16" t="s">
        <v>34</v>
      </c>
      <c r="G16" t="s">
        <v>20</v>
      </c>
      <c r="H16">
        <v>66.666700000000006</v>
      </c>
      <c r="I16">
        <v>1</v>
      </c>
      <c r="J16">
        <v>8000</v>
      </c>
      <c r="K16">
        <f>+VLOOKUP(E16,Costos!$A$1:$I$7161,9,FALSE)</f>
        <v>2.15</v>
      </c>
      <c r="L16" t="str">
        <f t="shared" si="0"/>
        <v>250</v>
      </c>
      <c r="M16" t="str">
        <f t="shared" si="1"/>
        <v>250003</v>
      </c>
    </row>
    <row r="17" spans="1:13" x14ac:dyDescent="0.25">
      <c r="A17">
        <v>2110020095</v>
      </c>
      <c r="B17" t="s">
        <v>18</v>
      </c>
      <c r="C17">
        <v>2310210127</v>
      </c>
      <c r="D17" t="s">
        <v>19</v>
      </c>
      <c r="E17">
        <v>2310090439</v>
      </c>
      <c r="F17" t="s">
        <v>35</v>
      </c>
      <c r="G17" t="s">
        <v>36</v>
      </c>
      <c r="H17">
        <v>8000</v>
      </c>
      <c r="I17">
        <v>2</v>
      </c>
      <c r="J17">
        <v>8000</v>
      </c>
      <c r="K17">
        <f>+VLOOKUP(E17,Costos!$A$1:$I$7161,9,FALSE)</f>
        <v>5.5183000000000003E-2</v>
      </c>
      <c r="L17" t="str">
        <f t="shared" si="0"/>
        <v>231</v>
      </c>
      <c r="M17" t="str">
        <f t="shared" si="1"/>
        <v>231009</v>
      </c>
    </row>
    <row r="18" spans="1:13" x14ac:dyDescent="0.25">
      <c r="A18">
        <v>2110020095</v>
      </c>
      <c r="B18" t="s">
        <v>18</v>
      </c>
      <c r="C18">
        <v>2310210127</v>
      </c>
      <c r="D18" t="s">
        <v>19</v>
      </c>
      <c r="E18">
        <v>2310160468</v>
      </c>
      <c r="F18" t="s">
        <v>37</v>
      </c>
      <c r="G18" t="s">
        <v>36</v>
      </c>
      <c r="H18">
        <v>8000</v>
      </c>
      <c r="I18">
        <v>2</v>
      </c>
      <c r="J18">
        <v>8000</v>
      </c>
      <c r="K18">
        <f>+VLOOKUP(E18,Costos!$A$1:$I$7161,9,FALSE)</f>
        <v>8.9440000000000006E-3</v>
      </c>
      <c r="L18" t="str">
        <f t="shared" si="0"/>
        <v>231</v>
      </c>
      <c r="M18" t="str">
        <f t="shared" si="1"/>
        <v>231016</v>
      </c>
    </row>
    <row r="19" spans="1:13" x14ac:dyDescent="0.25">
      <c r="A19">
        <v>2110020095</v>
      </c>
      <c r="B19" t="s">
        <v>18</v>
      </c>
      <c r="C19">
        <v>2310210127</v>
      </c>
      <c r="D19" t="s">
        <v>19</v>
      </c>
      <c r="E19">
        <v>2310160480</v>
      </c>
      <c r="F19" t="s">
        <v>38</v>
      </c>
      <c r="G19" t="s">
        <v>36</v>
      </c>
      <c r="H19">
        <v>8000</v>
      </c>
      <c r="I19">
        <v>2</v>
      </c>
      <c r="J19">
        <v>8000</v>
      </c>
      <c r="K19">
        <f>+VLOOKUP(E19,Costos!$A$1:$I$7161,9,FALSE)</f>
        <v>9.7940000000000006E-3</v>
      </c>
      <c r="L19" t="str">
        <f t="shared" si="0"/>
        <v>231</v>
      </c>
      <c r="M19" t="str">
        <f t="shared" si="1"/>
        <v>231016</v>
      </c>
    </row>
    <row r="20" spans="1:13" x14ac:dyDescent="0.25">
      <c r="A20">
        <v>2110020095</v>
      </c>
      <c r="B20" t="s">
        <v>18</v>
      </c>
      <c r="C20">
        <v>2310210127</v>
      </c>
      <c r="D20" t="s">
        <v>19</v>
      </c>
      <c r="E20">
        <v>2410170071</v>
      </c>
      <c r="F20" t="s">
        <v>39</v>
      </c>
      <c r="G20" t="s">
        <v>36</v>
      </c>
      <c r="H20">
        <v>8000</v>
      </c>
      <c r="I20">
        <v>2</v>
      </c>
      <c r="J20">
        <v>8000</v>
      </c>
      <c r="K20">
        <f>+VLOOKUP(E20,Costos!$A$1:$I$7161,9,FALSE)</f>
        <v>1.4323000000000001E-2</v>
      </c>
      <c r="L20" t="str">
        <f t="shared" si="0"/>
        <v>241</v>
      </c>
      <c r="M20" t="str">
        <f t="shared" si="1"/>
        <v>241017</v>
      </c>
    </row>
    <row r="21" spans="1:13" x14ac:dyDescent="0.25">
      <c r="A21">
        <v>2110020095</v>
      </c>
      <c r="B21" t="s">
        <v>18</v>
      </c>
      <c r="C21">
        <v>2310210127</v>
      </c>
      <c r="D21" t="s">
        <v>19</v>
      </c>
      <c r="E21">
        <v>2410290156</v>
      </c>
      <c r="F21" t="s">
        <v>40</v>
      </c>
      <c r="G21" t="s">
        <v>36</v>
      </c>
      <c r="H21">
        <v>0.32</v>
      </c>
      <c r="I21">
        <v>2</v>
      </c>
      <c r="J21">
        <v>8000</v>
      </c>
      <c r="K21">
        <f>+VLOOKUP(E21,Costos!$A$1:$I$7161,9,FALSE)</f>
        <v>23.787500000000001</v>
      </c>
      <c r="L21" t="str">
        <f t="shared" si="0"/>
        <v>241</v>
      </c>
      <c r="M21" t="str">
        <f t="shared" si="1"/>
        <v>241029</v>
      </c>
    </row>
    <row r="22" spans="1:13" x14ac:dyDescent="0.25">
      <c r="A22">
        <v>2110020095</v>
      </c>
      <c r="B22" t="s">
        <v>18</v>
      </c>
      <c r="C22">
        <v>2310210127</v>
      </c>
      <c r="D22" t="s">
        <v>19</v>
      </c>
      <c r="E22">
        <v>2410130017</v>
      </c>
      <c r="F22" t="s">
        <v>41</v>
      </c>
      <c r="G22" t="s">
        <v>36</v>
      </c>
      <c r="H22">
        <v>8000</v>
      </c>
      <c r="I22">
        <v>2</v>
      </c>
      <c r="J22">
        <v>8000</v>
      </c>
      <c r="K22">
        <f>+VLOOKUP(E22,Costos!$A$1:$I$7161,9,FALSE)</f>
        <v>7.5389999999999997E-3</v>
      </c>
      <c r="L22" t="str">
        <f t="shared" si="0"/>
        <v>241</v>
      </c>
      <c r="M22" t="str">
        <f t="shared" si="1"/>
        <v>241013</v>
      </c>
    </row>
    <row r="23" spans="1:13" x14ac:dyDescent="0.25">
      <c r="A23">
        <v>2110020095</v>
      </c>
      <c r="B23" t="s">
        <v>18</v>
      </c>
      <c r="C23">
        <v>2310210127</v>
      </c>
      <c r="D23" t="s">
        <v>19</v>
      </c>
      <c r="E23">
        <v>2310180036</v>
      </c>
      <c r="F23" t="s">
        <v>42</v>
      </c>
      <c r="G23" t="s">
        <v>36</v>
      </c>
      <c r="H23">
        <v>7.2</v>
      </c>
      <c r="I23">
        <v>2</v>
      </c>
      <c r="J23">
        <v>8000</v>
      </c>
      <c r="K23">
        <f>+VLOOKUP(E23,Costos!$A$1:$I$7161,9,FALSE)</f>
        <v>13.235526999999999</v>
      </c>
      <c r="L23" t="str">
        <f t="shared" si="0"/>
        <v>231</v>
      </c>
      <c r="M23" t="str">
        <f t="shared" si="1"/>
        <v>231018</v>
      </c>
    </row>
    <row r="24" spans="1:13" x14ac:dyDescent="0.25">
      <c r="A24">
        <v>2110020095</v>
      </c>
      <c r="B24" t="s">
        <v>18</v>
      </c>
      <c r="C24">
        <v>2310210128</v>
      </c>
      <c r="D24" t="s">
        <v>21</v>
      </c>
      <c r="E24">
        <v>2310090441</v>
      </c>
      <c r="F24" t="s">
        <v>43</v>
      </c>
      <c r="G24" t="s">
        <v>36</v>
      </c>
      <c r="H24">
        <v>8000</v>
      </c>
      <c r="I24">
        <v>2</v>
      </c>
      <c r="J24">
        <v>8000</v>
      </c>
      <c r="K24">
        <f>+VLOOKUP(E24,Costos!$A$1:$I$7161,9,FALSE)</f>
        <v>2.9652000000000001E-2</v>
      </c>
      <c r="L24" t="str">
        <f t="shared" si="0"/>
        <v>231</v>
      </c>
      <c r="M24" t="str">
        <f t="shared" si="1"/>
        <v>231009</v>
      </c>
    </row>
    <row r="25" spans="1:13" x14ac:dyDescent="0.25">
      <c r="A25">
        <v>2110020095</v>
      </c>
      <c r="B25" t="s">
        <v>18</v>
      </c>
      <c r="C25">
        <v>2310210128</v>
      </c>
      <c r="D25" t="s">
        <v>21</v>
      </c>
      <c r="E25">
        <v>2310160470</v>
      </c>
      <c r="F25" t="s">
        <v>44</v>
      </c>
      <c r="G25" t="s">
        <v>36</v>
      </c>
      <c r="H25">
        <v>8000</v>
      </c>
      <c r="I25">
        <v>2</v>
      </c>
      <c r="J25">
        <v>8000</v>
      </c>
      <c r="K25">
        <f>+VLOOKUP(E25,Costos!$A$1:$I$7161,9,FALSE)</f>
        <v>8.7810000000000006E-3</v>
      </c>
      <c r="L25" t="str">
        <f t="shared" si="0"/>
        <v>231</v>
      </c>
      <c r="M25" t="str">
        <f t="shared" si="1"/>
        <v>231016</v>
      </c>
    </row>
    <row r="26" spans="1:13" x14ac:dyDescent="0.25">
      <c r="A26">
        <v>2110020095</v>
      </c>
      <c r="B26" t="s">
        <v>18</v>
      </c>
      <c r="C26">
        <v>2310210128</v>
      </c>
      <c r="D26" t="s">
        <v>21</v>
      </c>
      <c r="E26">
        <v>2310160482</v>
      </c>
      <c r="F26" t="s">
        <v>45</v>
      </c>
      <c r="G26" t="s">
        <v>36</v>
      </c>
      <c r="H26">
        <v>8000</v>
      </c>
      <c r="I26">
        <v>2</v>
      </c>
      <c r="J26">
        <v>8000</v>
      </c>
      <c r="K26">
        <f>+VLOOKUP(E26,Costos!$A$1:$I$7161,9,FALSE)</f>
        <v>7.0800000000000004E-3</v>
      </c>
      <c r="L26" t="str">
        <f t="shared" si="0"/>
        <v>231</v>
      </c>
      <c r="M26" t="str">
        <f t="shared" si="1"/>
        <v>231016</v>
      </c>
    </row>
    <row r="27" spans="1:13" x14ac:dyDescent="0.25">
      <c r="A27">
        <v>2110020095</v>
      </c>
      <c r="B27" t="s">
        <v>18</v>
      </c>
      <c r="C27">
        <v>2310210128</v>
      </c>
      <c r="D27" t="s">
        <v>21</v>
      </c>
      <c r="E27">
        <v>2410170071</v>
      </c>
      <c r="F27" t="s">
        <v>39</v>
      </c>
      <c r="G27" t="s">
        <v>36</v>
      </c>
      <c r="H27">
        <v>8000</v>
      </c>
      <c r="I27">
        <v>2</v>
      </c>
      <c r="J27">
        <v>8000</v>
      </c>
      <c r="K27">
        <f>+VLOOKUP(E27,Costos!$A$1:$I$7161,9,FALSE)</f>
        <v>1.4323000000000001E-2</v>
      </c>
      <c r="L27" t="str">
        <f t="shared" si="0"/>
        <v>241</v>
      </c>
      <c r="M27" t="str">
        <f t="shared" si="1"/>
        <v>241017</v>
      </c>
    </row>
    <row r="28" spans="1:13" x14ac:dyDescent="0.25">
      <c r="A28">
        <v>2110020095</v>
      </c>
      <c r="B28" t="s">
        <v>18</v>
      </c>
      <c r="C28">
        <v>2310210128</v>
      </c>
      <c r="D28" t="s">
        <v>21</v>
      </c>
      <c r="E28">
        <v>2410290156</v>
      </c>
      <c r="F28" t="s">
        <v>40</v>
      </c>
      <c r="G28" t="s">
        <v>36</v>
      </c>
      <c r="H28">
        <v>0.32</v>
      </c>
      <c r="I28">
        <v>2</v>
      </c>
      <c r="J28">
        <v>8000</v>
      </c>
      <c r="K28">
        <f>+VLOOKUP(E28,Costos!$A$1:$I$7161,9,FALSE)</f>
        <v>23.787500000000001</v>
      </c>
      <c r="L28" t="str">
        <f t="shared" si="0"/>
        <v>241</v>
      </c>
      <c r="M28" t="str">
        <f t="shared" si="1"/>
        <v>241029</v>
      </c>
    </row>
    <row r="29" spans="1:13" x14ac:dyDescent="0.25">
      <c r="A29">
        <v>2110020095</v>
      </c>
      <c r="B29" t="s">
        <v>18</v>
      </c>
      <c r="C29">
        <v>2310210128</v>
      </c>
      <c r="D29" t="s">
        <v>21</v>
      </c>
      <c r="E29">
        <v>2410130017</v>
      </c>
      <c r="F29" t="s">
        <v>41</v>
      </c>
      <c r="G29" t="s">
        <v>36</v>
      </c>
      <c r="H29">
        <v>8000</v>
      </c>
      <c r="I29">
        <v>2</v>
      </c>
      <c r="J29">
        <v>8000</v>
      </c>
      <c r="K29">
        <f>+VLOOKUP(E29,Costos!$A$1:$I$7161,9,FALSE)</f>
        <v>7.5389999999999997E-3</v>
      </c>
      <c r="L29" t="str">
        <f t="shared" si="0"/>
        <v>241</v>
      </c>
      <c r="M29" t="str">
        <f t="shared" si="1"/>
        <v>241013</v>
      </c>
    </row>
    <row r="30" spans="1:13" x14ac:dyDescent="0.25">
      <c r="A30">
        <v>2110020095</v>
      </c>
      <c r="B30" t="s">
        <v>18</v>
      </c>
      <c r="C30">
        <v>2310210128</v>
      </c>
      <c r="D30" t="s">
        <v>21</v>
      </c>
      <c r="E30">
        <v>2310180042</v>
      </c>
      <c r="F30" t="s">
        <v>46</v>
      </c>
      <c r="G30" t="s">
        <v>36</v>
      </c>
      <c r="H30">
        <v>7.2</v>
      </c>
      <c r="I30">
        <v>2</v>
      </c>
      <c r="J30">
        <v>8000</v>
      </c>
      <c r="K30">
        <f>+VLOOKUP(E30,Costos!$A$1:$I$7161,9,FALSE)</f>
        <v>14.462350000000001</v>
      </c>
      <c r="L30" t="str">
        <f t="shared" si="0"/>
        <v>231</v>
      </c>
      <c r="M30" t="str">
        <f t="shared" si="1"/>
        <v>231018</v>
      </c>
    </row>
    <row r="31" spans="1:13" x14ac:dyDescent="0.25">
      <c r="A31">
        <v>2110020095</v>
      </c>
      <c r="B31" t="s">
        <v>18</v>
      </c>
      <c r="C31">
        <v>2310210129</v>
      </c>
      <c r="D31" t="s">
        <v>22</v>
      </c>
      <c r="E31">
        <v>2310090440</v>
      </c>
      <c r="F31" t="s">
        <v>47</v>
      </c>
      <c r="G31" t="s">
        <v>36</v>
      </c>
      <c r="H31">
        <v>8000</v>
      </c>
      <c r="I31">
        <v>2</v>
      </c>
      <c r="J31">
        <v>8000</v>
      </c>
      <c r="K31">
        <f>+VLOOKUP(E31,Costos!$A$1:$I$7161,9,FALSE)</f>
        <v>2.4605999999999999E-2</v>
      </c>
      <c r="L31" t="str">
        <f t="shared" si="0"/>
        <v>231</v>
      </c>
      <c r="M31" t="str">
        <f t="shared" si="1"/>
        <v>231009</v>
      </c>
    </row>
    <row r="32" spans="1:13" x14ac:dyDescent="0.25">
      <c r="A32">
        <v>2110020095</v>
      </c>
      <c r="B32" t="s">
        <v>18</v>
      </c>
      <c r="C32">
        <v>2310210129</v>
      </c>
      <c r="D32" t="s">
        <v>22</v>
      </c>
      <c r="E32">
        <v>2310160469</v>
      </c>
      <c r="F32" t="s">
        <v>48</v>
      </c>
      <c r="G32" t="s">
        <v>36</v>
      </c>
      <c r="H32">
        <v>8000</v>
      </c>
      <c r="I32">
        <v>2</v>
      </c>
      <c r="J32">
        <v>8000</v>
      </c>
      <c r="K32">
        <f>+VLOOKUP(E32,Costos!$A$1:$I$7161,9,FALSE)</f>
        <v>9.2999999999999992E-3</v>
      </c>
      <c r="L32" t="str">
        <f t="shared" si="0"/>
        <v>231</v>
      </c>
      <c r="M32" t="str">
        <f t="shared" si="1"/>
        <v>231016</v>
      </c>
    </row>
    <row r="33" spans="1:13" x14ac:dyDescent="0.25">
      <c r="A33">
        <v>2110020095</v>
      </c>
      <c r="B33" t="s">
        <v>18</v>
      </c>
      <c r="C33">
        <v>2310210129</v>
      </c>
      <c r="D33" t="s">
        <v>22</v>
      </c>
      <c r="E33">
        <v>2310160481</v>
      </c>
      <c r="F33" t="s">
        <v>49</v>
      </c>
      <c r="G33" t="s">
        <v>36</v>
      </c>
      <c r="H33">
        <v>8000</v>
      </c>
      <c r="I33">
        <v>2</v>
      </c>
      <c r="J33">
        <v>8000</v>
      </c>
      <c r="K33">
        <f>+VLOOKUP(E33,Costos!$A$1:$I$7161,9,FALSE)</f>
        <v>9.1450000000000004E-3</v>
      </c>
      <c r="L33" t="str">
        <f t="shared" si="0"/>
        <v>231</v>
      </c>
      <c r="M33" t="str">
        <f t="shared" si="1"/>
        <v>231016</v>
      </c>
    </row>
    <row r="34" spans="1:13" x14ac:dyDescent="0.25">
      <c r="A34">
        <v>2110020095</v>
      </c>
      <c r="B34" t="s">
        <v>18</v>
      </c>
      <c r="C34">
        <v>2310210129</v>
      </c>
      <c r="D34" t="s">
        <v>22</v>
      </c>
      <c r="E34">
        <v>2410170071</v>
      </c>
      <c r="F34" t="s">
        <v>39</v>
      </c>
      <c r="G34" t="s">
        <v>36</v>
      </c>
      <c r="H34">
        <v>8000</v>
      </c>
      <c r="I34">
        <v>2</v>
      </c>
      <c r="J34">
        <v>8000</v>
      </c>
      <c r="K34">
        <f>+VLOOKUP(E34,Costos!$A$1:$I$7161,9,FALSE)</f>
        <v>1.4323000000000001E-2</v>
      </c>
      <c r="L34" t="str">
        <f t="shared" si="0"/>
        <v>241</v>
      </c>
      <c r="M34" t="str">
        <f t="shared" si="1"/>
        <v>241017</v>
      </c>
    </row>
    <row r="35" spans="1:13" x14ac:dyDescent="0.25">
      <c r="A35">
        <v>2110020095</v>
      </c>
      <c r="B35" t="s">
        <v>18</v>
      </c>
      <c r="C35">
        <v>2310210129</v>
      </c>
      <c r="D35" t="s">
        <v>22</v>
      </c>
      <c r="E35">
        <v>2410290156</v>
      </c>
      <c r="F35" t="s">
        <v>40</v>
      </c>
      <c r="G35" t="s">
        <v>36</v>
      </c>
      <c r="H35">
        <v>0.32</v>
      </c>
      <c r="I35">
        <v>2</v>
      </c>
      <c r="J35">
        <v>8000</v>
      </c>
      <c r="K35">
        <f>+VLOOKUP(E35,Costos!$A$1:$I$7161,9,FALSE)</f>
        <v>23.787500000000001</v>
      </c>
      <c r="L35" t="str">
        <f t="shared" si="0"/>
        <v>241</v>
      </c>
      <c r="M35" t="str">
        <f t="shared" si="1"/>
        <v>241029</v>
      </c>
    </row>
    <row r="36" spans="1:13" x14ac:dyDescent="0.25">
      <c r="A36">
        <v>2110020095</v>
      </c>
      <c r="B36" t="s">
        <v>18</v>
      </c>
      <c r="C36">
        <v>2310210129</v>
      </c>
      <c r="D36" t="s">
        <v>22</v>
      </c>
      <c r="E36">
        <v>2410130017</v>
      </c>
      <c r="F36" t="s">
        <v>41</v>
      </c>
      <c r="G36" t="s">
        <v>36</v>
      </c>
      <c r="H36">
        <v>8000</v>
      </c>
      <c r="I36">
        <v>2</v>
      </c>
      <c r="J36">
        <v>8000</v>
      </c>
      <c r="K36">
        <f>+VLOOKUP(E36,Costos!$A$1:$I$7161,9,FALSE)</f>
        <v>7.5389999999999997E-3</v>
      </c>
      <c r="L36" t="str">
        <f t="shared" si="0"/>
        <v>241</v>
      </c>
      <c r="M36" t="str">
        <f t="shared" si="1"/>
        <v>241013</v>
      </c>
    </row>
    <row r="37" spans="1:13" x14ac:dyDescent="0.25">
      <c r="A37">
        <v>2110020095</v>
      </c>
      <c r="B37" t="s">
        <v>18</v>
      </c>
      <c r="C37">
        <v>2310210129</v>
      </c>
      <c r="D37" t="s">
        <v>22</v>
      </c>
      <c r="E37">
        <v>2310180041</v>
      </c>
      <c r="F37" t="s">
        <v>50</v>
      </c>
      <c r="G37" t="s">
        <v>36</v>
      </c>
      <c r="H37">
        <v>7.2</v>
      </c>
      <c r="I37">
        <v>2</v>
      </c>
      <c r="J37">
        <v>8000</v>
      </c>
      <c r="K37">
        <f>+VLOOKUP(E37,Costos!$A$1:$I$7161,9,FALSE)</f>
        <v>8.5194200000000002</v>
      </c>
      <c r="L37" t="str">
        <f t="shared" si="0"/>
        <v>231</v>
      </c>
      <c r="M37" t="str">
        <f t="shared" si="1"/>
        <v>231018</v>
      </c>
    </row>
    <row r="38" spans="1:13" x14ac:dyDescent="0.25">
      <c r="A38">
        <v>2110020095</v>
      </c>
      <c r="B38" t="s">
        <v>18</v>
      </c>
      <c r="C38">
        <v>2310210130</v>
      </c>
      <c r="D38" t="s">
        <v>23</v>
      </c>
      <c r="E38">
        <v>2310090442</v>
      </c>
      <c r="F38" t="s">
        <v>51</v>
      </c>
      <c r="G38" t="s">
        <v>36</v>
      </c>
      <c r="H38">
        <v>8000</v>
      </c>
      <c r="I38">
        <v>2</v>
      </c>
      <c r="J38">
        <v>8000</v>
      </c>
      <c r="K38">
        <f>+VLOOKUP(E38,Costos!$A$1:$I$7161,9,FALSE)</f>
        <v>3.1078000000000001E-2</v>
      </c>
      <c r="L38" t="str">
        <f t="shared" si="0"/>
        <v>231</v>
      </c>
      <c r="M38" t="str">
        <f t="shared" si="1"/>
        <v>231009</v>
      </c>
    </row>
    <row r="39" spans="1:13" x14ac:dyDescent="0.25">
      <c r="A39">
        <v>2110020095</v>
      </c>
      <c r="B39" t="s">
        <v>18</v>
      </c>
      <c r="C39">
        <v>2310210130</v>
      </c>
      <c r="D39" t="s">
        <v>23</v>
      </c>
      <c r="E39">
        <v>2310160471</v>
      </c>
      <c r="F39" t="s">
        <v>52</v>
      </c>
      <c r="G39" t="s">
        <v>36</v>
      </c>
      <c r="H39">
        <v>8000</v>
      </c>
      <c r="I39">
        <v>2</v>
      </c>
      <c r="J39">
        <v>8000</v>
      </c>
      <c r="K39">
        <f>+VLOOKUP(E39,Costos!$A$1:$I$7161,9,FALSE)</f>
        <v>8.7799999999999996E-3</v>
      </c>
      <c r="L39" t="str">
        <f t="shared" si="0"/>
        <v>231</v>
      </c>
      <c r="M39" t="str">
        <f t="shared" si="1"/>
        <v>231016</v>
      </c>
    </row>
    <row r="40" spans="1:13" x14ac:dyDescent="0.25">
      <c r="A40">
        <v>2110020095</v>
      </c>
      <c r="B40" t="s">
        <v>18</v>
      </c>
      <c r="C40">
        <v>2310210130</v>
      </c>
      <c r="D40" t="s">
        <v>23</v>
      </c>
      <c r="E40">
        <v>2310160483</v>
      </c>
      <c r="F40" t="s">
        <v>53</v>
      </c>
      <c r="G40" t="s">
        <v>36</v>
      </c>
      <c r="H40">
        <v>8000</v>
      </c>
      <c r="I40">
        <v>2</v>
      </c>
      <c r="J40">
        <v>8000</v>
      </c>
      <c r="K40">
        <f>+VLOOKUP(E40,Costos!$A$1:$I$7161,9,FALSE)</f>
        <v>9.0369999999999999E-3</v>
      </c>
      <c r="L40" t="str">
        <f t="shared" si="0"/>
        <v>231</v>
      </c>
      <c r="M40" t="str">
        <f t="shared" si="1"/>
        <v>231016</v>
      </c>
    </row>
    <row r="41" spans="1:13" x14ac:dyDescent="0.25">
      <c r="A41">
        <v>2110020095</v>
      </c>
      <c r="B41" t="s">
        <v>18</v>
      </c>
      <c r="C41">
        <v>2310210130</v>
      </c>
      <c r="D41" t="s">
        <v>23</v>
      </c>
      <c r="E41">
        <v>2410170071</v>
      </c>
      <c r="F41" t="s">
        <v>39</v>
      </c>
      <c r="G41" t="s">
        <v>36</v>
      </c>
      <c r="H41">
        <v>8000</v>
      </c>
      <c r="I41">
        <v>2</v>
      </c>
      <c r="J41">
        <v>8000</v>
      </c>
      <c r="K41">
        <f>+VLOOKUP(E41,Costos!$A$1:$I$7161,9,FALSE)</f>
        <v>1.4323000000000001E-2</v>
      </c>
      <c r="L41" t="str">
        <f t="shared" si="0"/>
        <v>241</v>
      </c>
      <c r="M41" t="str">
        <f t="shared" si="1"/>
        <v>241017</v>
      </c>
    </row>
    <row r="42" spans="1:13" x14ac:dyDescent="0.25">
      <c r="A42">
        <v>2110020095</v>
      </c>
      <c r="B42" t="s">
        <v>18</v>
      </c>
      <c r="C42">
        <v>2310210130</v>
      </c>
      <c r="D42" t="s">
        <v>23</v>
      </c>
      <c r="E42">
        <v>2410290156</v>
      </c>
      <c r="F42" t="s">
        <v>40</v>
      </c>
      <c r="G42" t="s">
        <v>36</v>
      </c>
      <c r="H42">
        <v>0.32</v>
      </c>
      <c r="I42">
        <v>2</v>
      </c>
      <c r="J42">
        <v>8000</v>
      </c>
      <c r="K42">
        <f>+VLOOKUP(E42,Costos!$A$1:$I$7161,9,FALSE)</f>
        <v>23.787500000000001</v>
      </c>
      <c r="L42" t="str">
        <f t="shared" si="0"/>
        <v>241</v>
      </c>
      <c r="M42" t="str">
        <f t="shared" si="1"/>
        <v>241029</v>
      </c>
    </row>
    <row r="43" spans="1:13" x14ac:dyDescent="0.25">
      <c r="A43">
        <v>2110020095</v>
      </c>
      <c r="B43" t="s">
        <v>18</v>
      </c>
      <c r="C43">
        <v>2310210130</v>
      </c>
      <c r="D43" t="s">
        <v>23</v>
      </c>
      <c r="E43">
        <v>2410130017</v>
      </c>
      <c r="F43" t="s">
        <v>41</v>
      </c>
      <c r="G43" t="s">
        <v>36</v>
      </c>
      <c r="H43">
        <v>8000</v>
      </c>
      <c r="I43">
        <v>2</v>
      </c>
      <c r="J43">
        <v>8000</v>
      </c>
      <c r="K43">
        <f>+VLOOKUP(E43,Costos!$A$1:$I$7161,9,FALSE)</f>
        <v>7.5389999999999997E-3</v>
      </c>
      <c r="L43" t="str">
        <f t="shared" si="0"/>
        <v>241</v>
      </c>
      <c r="M43" t="str">
        <f t="shared" si="1"/>
        <v>241013</v>
      </c>
    </row>
    <row r="44" spans="1:13" x14ac:dyDescent="0.25">
      <c r="A44">
        <v>2110020095</v>
      </c>
      <c r="B44" t="s">
        <v>18</v>
      </c>
      <c r="C44">
        <v>2310210130</v>
      </c>
      <c r="D44" t="s">
        <v>23</v>
      </c>
      <c r="E44">
        <v>2310180044</v>
      </c>
      <c r="F44" t="s">
        <v>54</v>
      </c>
      <c r="G44" t="s">
        <v>36</v>
      </c>
      <c r="H44">
        <v>7.2</v>
      </c>
      <c r="I44">
        <v>2</v>
      </c>
      <c r="J44">
        <v>8000</v>
      </c>
      <c r="K44">
        <f>+VLOOKUP(E44,Costos!$A$1:$I$7161,9,FALSE)</f>
        <v>6.8388429999999998</v>
      </c>
      <c r="L44" t="str">
        <f t="shared" si="0"/>
        <v>231</v>
      </c>
      <c r="M44" t="str">
        <f t="shared" si="1"/>
        <v>231018</v>
      </c>
    </row>
    <row r="45" spans="1:13" x14ac:dyDescent="0.25">
      <c r="A45">
        <v>2110020095</v>
      </c>
      <c r="B45" t="s">
        <v>18</v>
      </c>
      <c r="C45">
        <v>2310210131</v>
      </c>
      <c r="D45" t="s">
        <v>24</v>
      </c>
      <c r="E45">
        <v>2310090443</v>
      </c>
      <c r="F45" t="s">
        <v>55</v>
      </c>
      <c r="G45" t="s">
        <v>36</v>
      </c>
      <c r="H45">
        <v>8000</v>
      </c>
      <c r="I45">
        <v>2</v>
      </c>
      <c r="J45">
        <v>8000</v>
      </c>
      <c r="K45">
        <f>+VLOOKUP(E45,Costos!$A$1:$I$7161,9,FALSE)</f>
        <v>3.2197999999999997E-2</v>
      </c>
      <c r="L45" t="str">
        <f t="shared" si="0"/>
        <v>231</v>
      </c>
      <c r="M45" t="str">
        <f t="shared" si="1"/>
        <v>231009</v>
      </c>
    </row>
    <row r="46" spans="1:13" x14ac:dyDescent="0.25">
      <c r="A46">
        <v>2110020095</v>
      </c>
      <c r="B46" t="s">
        <v>18</v>
      </c>
      <c r="C46">
        <v>2310210131</v>
      </c>
      <c r="D46" t="s">
        <v>24</v>
      </c>
      <c r="E46">
        <v>2310160472</v>
      </c>
      <c r="F46" t="s">
        <v>56</v>
      </c>
      <c r="G46" t="s">
        <v>36</v>
      </c>
      <c r="H46">
        <v>8000</v>
      </c>
      <c r="I46">
        <v>2</v>
      </c>
      <c r="J46">
        <v>8000</v>
      </c>
      <c r="K46">
        <f>+VLOOKUP(E46,Costos!$A$1:$I$7161,9,FALSE)</f>
        <v>8.8179999999999994E-3</v>
      </c>
      <c r="L46" t="str">
        <f t="shared" si="0"/>
        <v>231</v>
      </c>
      <c r="M46" t="str">
        <f t="shared" si="1"/>
        <v>231016</v>
      </c>
    </row>
    <row r="47" spans="1:13" x14ac:dyDescent="0.25">
      <c r="A47">
        <v>2110020095</v>
      </c>
      <c r="B47" t="s">
        <v>18</v>
      </c>
      <c r="C47">
        <v>2310210131</v>
      </c>
      <c r="D47" t="s">
        <v>24</v>
      </c>
      <c r="E47">
        <v>2310160484</v>
      </c>
      <c r="F47" t="s">
        <v>57</v>
      </c>
      <c r="G47" t="s">
        <v>36</v>
      </c>
      <c r="H47">
        <v>8000</v>
      </c>
      <c r="I47">
        <v>2</v>
      </c>
      <c r="J47">
        <v>8000</v>
      </c>
      <c r="K47">
        <f>+VLOOKUP(E47,Costos!$A$1:$I$7161,9,FALSE)</f>
        <v>8.1499999999999993E-3</v>
      </c>
      <c r="L47" t="str">
        <f t="shared" si="0"/>
        <v>231</v>
      </c>
      <c r="M47" t="str">
        <f t="shared" si="1"/>
        <v>231016</v>
      </c>
    </row>
    <row r="48" spans="1:13" x14ac:dyDescent="0.25">
      <c r="A48">
        <v>2110020095</v>
      </c>
      <c r="B48" t="s">
        <v>18</v>
      </c>
      <c r="C48">
        <v>2310210131</v>
      </c>
      <c r="D48" t="s">
        <v>24</v>
      </c>
      <c r="E48">
        <v>2410170071</v>
      </c>
      <c r="F48" t="s">
        <v>39</v>
      </c>
      <c r="G48" t="s">
        <v>36</v>
      </c>
      <c r="H48">
        <v>8000</v>
      </c>
      <c r="I48">
        <v>2</v>
      </c>
      <c r="J48">
        <v>8000</v>
      </c>
      <c r="K48">
        <f>+VLOOKUP(E48,Costos!$A$1:$I$7161,9,FALSE)</f>
        <v>1.4323000000000001E-2</v>
      </c>
      <c r="L48" t="str">
        <f t="shared" si="0"/>
        <v>241</v>
      </c>
      <c r="M48" t="str">
        <f t="shared" si="1"/>
        <v>241017</v>
      </c>
    </row>
    <row r="49" spans="1:13" x14ac:dyDescent="0.25">
      <c r="A49">
        <v>2110020095</v>
      </c>
      <c r="B49" t="s">
        <v>18</v>
      </c>
      <c r="C49">
        <v>2310210131</v>
      </c>
      <c r="D49" t="s">
        <v>24</v>
      </c>
      <c r="E49">
        <v>2410290156</v>
      </c>
      <c r="F49" t="s">
        <v>40</v>
      </c>
      <c r="G49" t="s">
        <v>36</v>
      </c>
      <c r="H49">
        <v>0.32</v>
      </c>
      <c r="I49">
        <v>2</v>
      </c>
      <c r="J49">
        <v>8000</v>
      </c>
      <c r="K49">
        <f>+VLOOKUP(E49,Costos!$A$1:$I$7161,9,FALSE)</f>
        <v>23.787500000000001</v>
      </c>
      <c r="L49" t="str">
        <f t="shared" si="0"/>
        <v>241</v>
      </c>
      <c r="M49" t="str">
        <f t="shared" si="1"/>
        <v>241029</v>
      </c>
    </row>
    <row r="50" spans="1:13" x14ac:dyDescent="0.25">
      <c r="A50">
        <v>2110020095</v>
      </c>
      <c r="B50" t="s">
        <v>18</v>
      </c>
      <c r="C50">
        <v>2310210131</v>
      </c>
      <c r="D50" t="s">
        <v>24</v>
      </c>
      <c r="E50">
        <v>2410130017</v>
      </c>
      <c r="F50" t="s">
        <v>41</v>
      </c>
      <c r="G50" t="s">
        <v>36</v>
      </c>
      <c r="H50">
        <v>8000</v>
      </c>
      <c r="I50">
        <v>2</v>
      </c>
      <c r="J50">
        <v>8000</v>
      </c>
      <c r="K50">
        <f>+VLOOKUP(E50,Costos!$A$1:$I$7161,9,FALSE)</f>
        <v>7.5389999999999997E-3</v>
      </c>
      <c r="L50" t="str">
        <f t="shared" si="0"/>
        <v>241</v>
      </c>
      <c r="M50" t="str">
        <f t="shared" si="1"/>
        <v>241013</v>
      </c>
    </row>
    <row r="51" spans="1:13" x14ac:dyDescent="0.25">
      <c r="A51">
        <v>2110020095</v>
      </c>
      <c r="B51" t="s">
        <v>18</v>
      </c>
      <c r="C51">
        <v>2310210131</v>
      </c>
      <c r="D51" t="s">
        <v>24</v>
      </c>
      <c r="E51">
        <v>2310180035</v>
      </c>
      <c r="F51" t="s">
        <v>58</v>
      </c>
      <c r="G51" t="s">
        <v>36</v>
      </c>
      <c r="H51">
        <v>7.2</v>
      </c>
      <c r="I51">
        <v>2</v>
      </c>
      <c r="J51">
        <v>8000</v>
      </c>
      <c r="K51">
        <f>+VLOOKUP(E51,Costos!$A$1:$I$7161,9,FALSE)</f>
        <v>5.9734230000000004</v>
      </c>
      <c r="L51" t="str">
        <f t="shared" si="0"/>
        <v>231</v>
      </c>
      <c r="M51" t="str">
        <f t="shared" si="1"/>
        <v>231018</v>
      </c>
    </row>
    <row r="52" spans="1:13" x14ac:dyDescent="0.25">
      <c r="A52">
        <v>2110020095</v>
      </c>
      <c r="B52" t="s">
        <v>18</v>
      </c>
      <c r="C52">
        <v>2310210132</v>
      </c>
      <c r="D52" t="s">
        <v>25</v>
      </c>
      <c r="E52">
        <v>2310090444</v>
      </c>
      <c r="F52" t="s">
        <v>59</v>
      </c>
      <c r="G52" t="s">
        <v>36</v>
      </c>
      <c r="H52">
        <v>8000</v>
      </c>
      <c r="I52">
        <v>2</v>
      </c>
      <c r="J52">
        <v>8000</v>
      </c>
      <c r="K52">
        <f>+VLOOKUP(E52,Costos!$A$1:$I$7161,9,FALSE)</f>
        <v>3.2523000000000003E-2</v>
      </c>
      <c r="L52" t="str">
        <f t="shared" si="0"/>
        <v>231</v>
      </c>
      <c r="M52" t="str">
        <f t="shared" si="1"/>
        <v>231009</v>
      </c>
    </row>
    <row r="53" spans="1:13" x14ac:dyDescent="0.25">
      <c r="A53">
        <v>2110020095</v>
      </c>
      <c r="B53" t="s">
        <v>18</v>
      </c>
      <c r="C53">
        <v>2310210132</v>
      </c>
      <c r="D53" t="s">
        <v>25</v>
      </c>
      <c r="E53">
        <v>2310160473</v>
      </c>
      <c r="F53" t="s">
        <v>60</v>
      </c>
      <c r="G53" t="s">
        <v>36</v>
      </c>
      <c r="H53">
        <v>8000</v>
      </c>
      <c r="I53">
        <v>2</v>
      </c>
      <c r="J53">
        <v>8000</v>
      </c>
      <c r="K53">
        <f>+VLOOKUP(E53,Costos!$A$1:$I$7161,9,FALSE)</f>
        <v>9.9150000000000002E-3</v>
      </c>
      <c r="L53" t="str">
        <f t="shared" si="0"/>
        <v>231</v>
      </c>
      <c r="M53" t="str">
        <f t="shared" si="1"/>
        <v>231016</v>
      </c>
    </row>
    <row r="54" spans="1:13" x14ac:dyDescent="0.25">
      <c r="A54">
        <v>2110020095</v>
      </c>
      <c r="B54" t="s">
        <v>18</v>
      </c>
      <c r="C54">
        <v>2310210132</v>
      </c>
      <c r="D54" t="s">
        <v>25</v>
      </c>
      <c r="E54">
        <v>2310160485</v>
      </c>
      <c r="F54" t="s">
        <v>61</v>
      </c>
      <c r="G54" t="s">
        <v>36</v>
      </c>
      <c r="H54">
        <v>8000</v>
      </c>
      <c r="I54">
        <v>2</v>
      </c>
      <c r="J54">
        <v>8000</v>
      </c>
      <c r="K54" t="e">
        <f>+VLOOKUP(E54,Costos!$A$1:$I$7161,9,FALSE)</f>
        <v>#N/A</v>
      </c>
      <c r="L54" t="str">
        <f t="shared" si="0"/>
        <v>231</v>
      </c>
      <c r="M54" t="str">
        <f t="shared" si="1"/>
        <v>231016</v>
      </c>
    </row>
    <row r="55" spans="1:13" x14ac:dyDescent="0.25">
      <c r="A55">
        <v>2110020095</v>
      </c>
      <c r="B55" t="s">
        <v>18</v>
      </c>
      <c r="C55">
        <v>2310210132</v>
      </c>
      <c r="D55" t="s">
        <v>25</v>
      </c>
      <c r="E55">
        <v>2410170071</v>
      </c>
      <c r="F55" t="s">
        <v>39</v>
      </c>
      <c r="G55" t="s">
        <v>36</v>
      </c>
      <c r="H55">
        <v>8000</v>
      </c>
      <c r="I55">
        <v>2</v>
      </c>
      <c r="J55">
        <v>8000</v>
      </c>
      <c r="K55">
        <f>+VLOOKUP(E55,Costos!$A$1:$I$7161,9,FALSE)</f>
        <v>1.4323000000000001E-2</v>
      </c>
      <c r="L55" t="str">
        <f t="shared" si="0"/>
        <v>241</v>
      </c>
      <c r="M55" t="str">
        <f t="shared" si="1"/>
        <v>241017</v>
      </c>
    </row>
    <row r="56" spans="1:13" x14ac:dyDescent="0.25">
      <c r="A56">
        <v>2110020095</v>
      </c>
      <c r="B56" t="s">
        <v>18</v>
      </c>
      <c r="C56">
        <v>2310210132</v>
      </c>
      <c r="D56" t="s">
        <v>25</v>
      </c>
      <c r="E56">
        <v>2410290156</v>
      </c>
      <c r="F56" t="s">
        <v>40</v>
      </c>
      <c r="G56" t="s">
        <v>36</v>
      </c>
      <c r="H56">
        <v>0.32</v>
      </c>
      <c r="I56">
        <v>2</v>
      </c>
      <c r="J56">
        <v>8000</v>
      </c>
      <c r="K56">
        <f>+VLOOKUP(E56,Costos!$A$1:$I$7161,9,FALSE)</f>
        <v>23.787500000000001</v>
      </c>
      <c r="L56" t="str">
        <f t="shared" si="0"/>
        <v>241</v>
      </c>
      <c r="M56" t="str">
        <f t="shared" si="1"/>
        <v>241029</v>
      </c>
    </row>
    <row r="57" spans="1:13" x14ac:dyDescent="0.25">
      <c r="A57">
        <v>2110020095</v>
      </c>
      <c r="B57" t="s">
        <v>18</v>
      </c>
      <c r="C57">
        <v>2310210132</v>
      </c>
      <c r="D57" t="s">
        <v>25</v>
      </c>
      <c r="E57">
        <v>2410130017</v>
      </c>
      <c r="F57" t="s">
        <v>41</v>
      </c>
      <c r="G57" t="s">
        <v>36</v>
      </c>
      <c r="H57">
        <v>8000</v>
      </c>
      <c r="I57">
        <v>2</v>
      </c>
      <c r="J57">
        <v>8000</v>
      </c>
      <c r="K57">
        <f>+VLOOKUP(E57,Costos!$A$1:$I$7161,9,FALSE)</f>
        <v>7.5389999999999997E-3</v>
      </c>
      <c r="L57" t="str">
        <f t="shared" si="0"/>
        <v>241</v>
      </c>
      <c r="M57" t="str">
        <f t="shared" si="1"/>
        <v>241013</v>
      </c>
    </row>
    <row r="58" spans="1:13" x14ac:dyDescent="0.25">
      <c r="A58">
        <v>2110020095</v>
      </c>
      <c r="B58" t="s">
        <v>18</v>
      </c>
      <c r="C58">
        <v>2310210132</v>
      </c>
      <c r="D58" t="s">
        <v>25</v>
      </c>
      <c r="E58">
        <v>2310180039</v>
      </c>
      <c r="F58" t="s">
        <v>62</v>
      </c>
      <c r="G58" t="s">
        <v>36</v>
      </c>
      <c r="H58">
        <v>7.2</v>
      </c>
      <c r="I58">
        <v>2</v>
      </c>
      <c r="J58">
        <v>8000</v>
      </c>
      <c r="K58">
        <f>+VLOOKUP(E58,Costos!$A$1:$I$7161,9,FALSE)</f>
        <v>8.1312809999999995</v>
      </c>
      <c r="L58" t="str">
        <f t="shared" si="0"/>
        <v>231</v>
      </c>
      <c r="M58" t="str">
        <f t="shared" si="1"/>
        <v>231018</v>
      </c>
    </row>
    <row r="59" spans="1:13" x14ac:dyDescent="0.25">
      <c r="A59">
        <v>2110020095</v>
      </c>
      <c r="B59" t="s">
        <v>18</v>
      </c>
      <c r="C59">
        <v>2310210133</v>
      </c>
      <c r="D59" t="s">
        <v>26</v>
      </c>
      <c r="E59">
        <v>2410170071</v>
      </c>
      <c r="F59" t="s">
        <v>39</v>
      </c>
      <c r="G59" t="s">
        <v>36</v>
      </c>
      <c r="H59">
        <v>8000</v>
      </c>
      <c r="I59">
        <v>2</v>
      </c>
      <c r="J59">
        <v>8000</v>
      </c>
      <c r="K59">
        <f>+VLOOKUP(E59,Costos!$A$1:$I$7161,9,FALSE)</f>
        <v>1.4323000000000001E-2</v>
      </c>
      <c r="L59" t="str">
        <f t="shared" si="0"/>
        <v>241</v>
      </c>
      <c r="M59" t="str">
        <f t="shared" si="1"/>
        <v>241017</v>
      </c>
    </row>
    <row r="60" spans="1:13" x14ac:dyDescent="0.25">
      <c r="A60">
        <v>2110020095</v>
      </c>
      <c r="B60" t="s">
        <v>18</v>
      </c>
      <c r="C60">
        <v>2310210133</v>
      </c>
      <c r="D60" t="s">
        <v>26</v>
      </c>
      <c r="E60">
        <v>2410130017</v>
      </c>
      <c r="F60" t="s">
        <v>41</v>
      </c>
      <c r="G60" t="s">
        <v>36</v>
      </c>
      <c r="H60">
        <v>8000</v>
      </c>
      <c r="I60">
        <v>2</v>
      </c>
      <c r="J60">
        <v>8000</v>
      </c>
      <c r="K60">
        <f>+VLOOKUP(E60,Costos!$A$1:$I$7161,9,FALSE)</f>
        <v>7.5389999999999997E-3</v>
      </c>
      <c r="L60" t="str">
        <f t="shared" si="0"/>
        <v>241</v>
      </c>
      <c r="M60" t="str">
        <f t="shared" si="1"/>
        <v>241013</v>
      </c>
    </row>
    <row r="61" spans="1:13" x14ac:dyDescent="0.25">
      <c r="A61">
        <v>2110020095</v>
      </c>
      <c r="B61" t="s">
        <v>18</v>
      </c>
      <c r="C61">
        <v>2310210133</v>
      </c>
      <c r="D61" t="s">
        <v>26</v>
      </c>
      <c r="E61">
        <v>2310090447</v>
      </c>
      <c r="F61" t="s">
        <v>63</v>
      </c>
      <c r="G61" t="s">
        <v>36</v>
      </c>
      <c r="H61">
        <v>8000</v>
      </c>
      <c r="I61">
        <v>2</v>
      </c>
      <c r="J61">
        <v>8000</v>
      </c>
      <c r="K61">
        <f>+VLOOKUP(E61,Costos!$A$1:$I$7161,9,FALSE)</f>
        <v>3.7928000000000003E-2</v>
      </c>
      <c r="L61" t="str">
        <f t="shared" si="0"/>
        <v>231</v>
      </c>
      <c r="M61" t="str">
        <f t="shared" si="1"/>
        <v>231009</v>
      </c>
    </row>
    <row r="62" spans="1:13" x14ac:dyDescent="0.25">
      <c r="A62">
        <v>2110020095</v>
      </c>
      <c r="B62" t="s">
        <v>18</v>
      </c>
      <c r="C62">
        <v>2310210133</v>
      </c>
      <c r="D62" t="s">
        <v>26</v>
      </c>
      <c r="E62">
        <v>2310160476</v>
      </c>
      <c r="F62" t="s">
        <v>64</v>
      </c>
      <c r="G62" t="s">
        <v>36</v>
      </c>
      <c r="H62">
        <v>8000</v>
      </c>
      <c r="I62">
        <v>2</v>
      </c>
      <c r="J62">
        <v>8000</v>
      </c>
      <c r="K62">
        <f>+VLOOKUP(E62,Costos!$A$1:$I$7161,9,FALSE)</f>
        <v>8.9929999999999993E-3</v>
      </c>
      <c r="L62" t="str">
        <f t="shared" si="0"/>
        <v>231</v>
      </c>
      <c r="M62" t="str">
        <f t="shared" si="1"/>
        <v>231016</v>
      </c>
    </row>
    <row r="63" spans="1:13" x14ac:dyDescent="0.25">
      <c r="A63">
        <v>2110020095</v>
      </c>
      <c r="B63" t="s">
        <v>18</v>
      </c>
      <c r="C63">
        <v>2310210133</v>
      </c>
      <c r="D63" t="s">
        <v>26</v>
      </c>
      <c r="E63">
        <v>2410290156</v>
      </c>
      <c r="F63" t="s">
        <v>40</v>
      </c>
      <c r="G63" t="s">
        <v>36</v>
      </c>
      <c r="H63">
        <v>0.32</v>
      </c>
      <c r="I63">
        <v>2</v>
      </c>
      <c r="J63">
        <v>8000</v>
      </c>
      <c r="K63">
        <f>+VLOOKUP(E63,Costos!$A$1:$I$7161,9,FALSE)</f>
        <v>23.787500000000001</v>
      </c>
      <c r="L63" t="str">
        <f t="shared" si="0"/>
        <v>241</v>
      </c>
      <c r="M63" t="str">
        <f t="shared" si="1"/>
        <v>241029</v>
      </c>
    </row>
    <row r="64" spans="1:13" x14ac:dyDescent="0.25">
      <c r="A64">
        <v>2110020095</v>
      </c>
      <c r="B64" t="s">
        <v>18</v>
      </c>
      <c r="C64">
        <v>2310210133</v>
      </c>
      <c r="D64" t="s">
        <v>26</v>
      </c>
      <c r="E64">
        <v>2310160488</v>
      </c>
      <c r="F64" t="s">
        <v>65</v>
      </c>
      <c r="G64" t="s">
        <v>36</v>
      </c>
      <c r="H64">
        <v>8000</v>
      </c>
      <c r="I64">
        <v>2</v>
      </c>
      <c r="J64">
        <v>8000</v>
      </c>
      <c r="K64">
        <f>+VLOOKUP(E64,Costos!$A$1:$I$7161,9,FALSE)</f>
        <v>8.5439999999999995E-3</v>
      </c>
      <c r="L64" t="str">
        <f t="shared" si="0"/>
        <v>231</v>
      </c>
      <c r="M64" t="str">
        <f t="shared" si="1"/>
        <v>231016</v>
      </c>
    </row>
    <row r="65" spans="1:13" x14ac:dyDescent="0.25">
      <c r="A65">
        <v>2110020095</v>
      </c>
      <c r="B65" t="s">
        <v>18</v>
      </c>
      <c r="C65">
        <v>2310210133</v>
      </c>
      <c r="D65" t="s">
        <v>26</v>
      </c>
      <c r="E65">
        <v>2310180047</v>
      </c>
      <c r="F65" t="s">
        <v>66</v>
      </c>
      <c r="G65" t="s">
        <v>36</v>
      </c>
      <c r="H65">
        <v>7.2</v>
      </c>
      <c r="I65">
        <v>2</v>
      </c>
      <c r="J65">
        <v>8000</v>
      </c>
      <c r="K65">
        <f>+VLOOKUP(E65,Costos!$A$1:$I$7161,9,FALSE)</f>
        <v>8.9369589999999999</v>
      </c>
      <c r="L65" t="str">
        <f t="shared" si="0"/>
        <v>231</v>
      </c>
      <c r="M65" t="str">
        <f t="shared" si="1"/>
        <v>231018</v>
      </c>
    </row>
    <row r="66" spans="1:13" x14ac:dyDescent="0.25">
      <c r="A66">
        <v>2110020095</v>
      </c>
      <c r="B66" t="s">
        <v>18</v>
      </c>
      <c r="C66">
        <v>2310210134</v>
      </c>
      <c r="D66" t="s">
        <v>27</v>
      </c>
      <c r="E66">
        <v>2410170071</v>
      </c>
      <c r="F66" t="s">
        <v>39</v>
      </c>
      <c r="G66" t="s">
        <v>36</v>
      </c>
      <c r="H66">
        <v>8000</v>
      </c>
      <c r="I66">
        <v>2</v>
      </c>
      <c r="J66">
        <v>8000</v>
      </c>
      <c r="K66">
        <f>+VLOOKUP(E66,Costos!$A$1:$I$7161,9,FALSE)</f>
        <v>1.4323000000000001E-2</v>
      </c>
      <c r="L66" t="str">
        <f t="shared" si="0"/>
        <v>241</v>
      </c>
      <c r="M66" t="str">
        <f t="shared" si="1"/>
        <v>241017</v>
      </c>
    </row>
    <row r="67" spans="1:13" x14ac:dyDescent="0.25">
      <c r="A67">
        <v>2110020095</v>
      </c>
      <c r="B67" t="s">
        <v>18</v>
      </c>
      <c r="C67">
        <v>2310210134</v>
      </c>
      <c r="D67" t="s">
        <v>27</v>
      </c>
      <c r="E67">
        <v>2410130017</v>
      </c>
      <c r="F67" t="s">
        <v>41</v>
      </c>
      <c r="G67" t="s">
        <v>36</v>
      </c>
      <c r="H67">
        <v>8000</v>
      </c>
      <c r="I67">
        <v>2</v>
      </c>
      <c r="J67">
        <v>8000</v>
      </c>
      <c r="K67">
        <f>+VLOOKUP(E67,Costos!$A$1:$I$7161,9,FALSE)</f>
        <v>7.5389999999999997E-3</v>
      </c>
      <c r="L67" t="str">
        <f t="shared" ref="L67:L130" si="2">+LEFT(E67,3)</f>
        <v>241</v>
      </c>
      <c r="M67" t="str">
        <f t="shared" ref="M67:M130" si="3">+LEFT(E67,6)</f>
        <v>241013</v>
      </c>
    </row>
    <row r="68" spans="1:13" x14ac:dyDescent="0.25">
      <c r="A68">
        <v>2110020095</v>
      </c>
      <c r="B68" t="s">
        <v>18</v>
      </c>
      <c r="C68">
        <v>2310210134</v>
      </c>
      <c r="D68" t="s">
        <v>27</v>
      </c>
      <c r="E68">
        <v>2310090446</v>
      </c>
      <c r="F68" t="s">
        <v>67</v>
      </c>
      <c r="G68" t="s">
        <v>36</v>
      </c>
      <c r="H68">
        <v>8000</v>
      </c>
      <c r="I68">
        <v>2</v>
      </c>
      <c r="J68">
        <v>8000</v>
      </c>
      <c r="K68">
        <f>+VLOOKUP(E68,Costos!$A$1:$I$7161,9,FALSE)</f>
        <v>3.4209999999999997E-2</v>
      </c>
      <c r="L68" t="str">
        <f t="shared" si="2"/>
        <v>231</v>
      </c>
      <c r="M68" t="str">
        <f t="shared" si="3"/>
        <v>231009</v>
      </c>
    </row>
    <row r="69" spans="1:13" x14ac:dyDescent="0.25">
      <c r="A69">
        <v>2110020095</v>
      </c>
      <c r="B69" t="s">
        <v>18</v>
      </c>
      <c r="C69">
        <v>2310210134</v>
      </c>
      <c r="D69" t="s">
        <v>27</v>
      </c>
      <c r="E69">
        <v>2310160475</v>
      </c>
      <c r="F69" t="s">
        <v>68</v>
      </c>
      <c r="G69" t="s">
        <v>36</v>
      </c>
      <c r="H69">
        <v>8000</v>
      </c>
      <c r="I69">
        <v>2</v>
      </c>
      <c r="J69">
        <v>8000</v>
      </c>
      <c r="K69">
        <f>+VLOOKUP(E69,Costos!$A$1:$I$7161,9,FALSE)</f>
        <v>1.0418E-2</v>
      </c>
      <c r="L69" t="str">
        <f t="shared" si="2"/>
        <v>231</v>
      </c>
      <c r="M69" t="str">
        <f t="shared" si="3"/>
        <v>231016</v>
      </c>
    </row>
    <row r="70" spans="1:13" x14ac:dyDescent="0.25">
      <c r="A70">
        <v>2110020095</v>
      </c>
      <c r="B70" t="s">
        <v>18</v>
      </c>
      <c r="C70">
        <v>2310210134</v>
      </c>
      <c r="D70" t="s">
        <v>27</v>
      </c>
      <c r="E70">
        <v>2410290156</v>
      </c>
      <c r="F70" t="s">
        <v>40</v>
      </c>
      <c r="G70" t="s">
        <v>36</v>
      </c>
      <c r="H70">
        <v>0.32</v>
      </c>
      <c r="I70">
        <v>2</v>
      </c>
      <c r="J70">
        <v>8000</v>
      </c>
      <c r="K70">
        <f>+VLOOKUP(E70,Costos!$A$1:$I$7161,9,FALSE)</f>
        <v>23.787500000000001</v>
      </c>
      <c r="L70" t="str">
        <f t="shared" si="2"/>
        <v>241</v>
      </c>
      <c r="M70" t="str">
        <f t="shared" si="3"/>
        <v>241029</v>
      </c>
    </row>
    <row r="71" spans="1:13" x14ac:dyDescent="0.25">
      <c r="A71">
        <v>2110020095</v>
      </c>
      <c r="B71" t="s">
        <v>18</v>
      </c>
      <c r="C71">
        <v>2310210134</v>
      </c>
      <c r="D71" t="s">
        <v>27</v>
      </c>
      <c r="E71">
        <v>2310160487</v>
      </c>
      <c r="F71" t="s">
        <v>69</v>
      </c>
      <c r="G71" t="s">
        <v>36</v>
      </c>
      <c r="H71">
        <v>8000</v>
      </c>
      <c r="I71">
        <v>2</v>
      </c>
      <c r="J71">
        <v>8000</v>
      </c>
      <c r="K71">
        <f>+VLOOKUP(E71,Costos!$A$1:$I$7161,9,FALSE)</f>
        <v>9.0030000000000006E-3</v>
      </c>
      <c r="L71" t="str">
        <f t="shared" si="2"/>
        <v>231</v>
      </c>
      <c r="M71" t="str">
        <f t="shared" si="3"/>
        <v>231016</v>
      </c>
    </row>
    <row r="72" spans="1:13" x14ac:dyDescent="0.25">
      <c r="A72">
        <v>2110020095</v>
      </c>
      <c r="B72" t="s">
        <v>18</v>
      </c>
      <c r="C72">
        <v>2310210134</v>
      </c>
      <c r="D72" t="s">
        <v>27</v>
      </c>
      <c r="E72">
        <v>2310180050</v>
      </c>
      <c r="F72" t="s">
        <v>70</v>
      </c>
      <c r="G72" t="s">
        <v>36</v>
      </c>
      <c r="H72">
        <v>7.2</v>
      </c>
      <c r="I72">
        <v>2</v>
      </c>
      <c r="J72">
        <v>8000</v>
      </c>
      <c r="K72">
        <f>+VLOOKUP(E72,Costos!$A$1:$I$7161,9,FALSE)</f>
        <v>3.728593</v>
      </c>
      <c r="L72" t="str">
        <f t="shared" si="2"/>
        <v>231</v>
      </c>
      <c r="M72" t="str">
        <f t="shared" si="3"/>
        <v>231018</v>
      </c>
    </row>
    <row r="73" spans="1:13" x14ac:dyDescent="0.25">
      <c r="A73">
        <v>2110020095</v>
      </c>
      <c r="B73" t="s">
        <v>18</v>
      </c>
      <c r="C73">
        <v>2310210135</v>
      </c>
      <c r="D73" t="s">
        <v>28</v>
      </c>
      <c r="E73">
        <v>2410170071</v>
      </c>
      <c r="F73" t="s">
        <v>39</v>
      </c>
      <c r="G73" t="s">
        <v>71</v>
      </c>
      <c r="H73">
        <v>8000</v>
      </c>
      <c r="I73">
        <v>2</v>
      </c>
      <c r="J73">
        <v>8000</v>
      </c>
      <c r="K73">
        <f>+VLOOKUP(E73,Costos!$A$1:$I$7161,9,FALSE)</f>
        <v>1.4323000000000001E-2</v>
      </c>
      <c r="L73" t="str">
        <f t="shared" si="2"/>
        <v>241</v>
      </c>
      <c r="M73" t="str">
        <f t="shared" si="3"/>
        <v>241017</v>
      </c>
    </row>
    <row r="74" spans="1:13" x14ac:dyDescent="0.25">
      <c r="A74">
        <v>2110020095</v>
      </c>
      <c r="B74" t="s">
        <v>18</v>
      </c>
      <c r="C74">
        <v>2310210135</v>
      </c>
      <c r="D74" t="s">
        <v>28</v>
      </c>
      <c r="E74">
        <v>2410130017</v>
      </c>
      <c r="F74" t="s">
        <v>41</v>
      </c>
      <c r="G74" t="s">
        <v>71</v>
      </c>
      <c r="H74">
        <v>8000</v>
      </c>
      <c r="I74">
        <v>2</v>
      </c>
      <c r="J74">
        <v>8000</v>
      </c>
      <c r="K74">
        <f>+VLOOKUP(E74,Costos!$A$1:$I$7161,9,FALSE)</f>
        <v>7.5389999999999997E-3</v>
      </c>
      <c r="L74" t="str">
        <f t="shared" si="2"/>
        <v>241</v>
      </c>
      <c r="M74" t="str">
        <f t="shared" si="3"/>
        <v>241013</v>
      </c>
    </row>
    <row r="75" spans="1:13" x14ac:dyDescent="0.25">
      <c r="A75">
        <v>2110020095</v>
      </c>
      <c r="B75" t="s">
        <v>18</v>
      </c>
      <c r="C75">
        <v>2310210135</v>
      </c>
      <c r="D75" t="s">
        <v>28</v>
      </c>
      <c r="E75">
        <v>2310090507</v>
      </c>
      <c r="F75" t="s">
        <v>72</v>
      </c>
      <c r="G75" t="s">
        <v>71</v>
      </c>
      <c r="H75">
        <v>8000</v>
      </c>
      <c r="I75">
        <v>2</v>
      </c>
      <c r="J75">
        <v>8000</v>
      </c>
      <c r="K75">
        <f>+VLOOKUP(E75,Costos!$A$1:$I$7161,9,FALSE)</f>
        <v>3.4840000000000003E-2</v>
      </c>
      <c r="L75" t="str">
        <f t="shared" si="2"/>
        <v>231</v>
      </c>
      <c r="M75" t="str">
        <f t="shared" si="3"/>
        <v>231009</v>
      </c>
    </row>
    <row r="76" spans="1:13" x14ac:dyDescent="0.25">
      <c r="A76">
        <v>2110020095</v>
      </c>
      <c r="B76" t="s">
        <v>18</v>
      </c>
      <c r="C76">
        <v>2310210135</v>
      </c>
      <c r="D76" t="s">
        <v>28</v>
      </c>
      <c r="E76">
        <v>2310160500</v>
      </c>
      <c r="F76" t="s">
        <v>73</v>
      </c>
      <c r="G76" t="s">
        <v>71</v>
      </c>
      <c r="H76">
        <v>8000</v>
      </c>
      <c r="I76">
        <v>2</v>
      </c>
      <c r="J76">
        <v>8000</v>
      </c>
      <c r="K76">
        <f>+VLOOKUP(E76,Costos!$A$1:$I$7161,9,FALSE)</f>
        <v>1.1774E-2</v>
      </c>
      <c r="L76" t="str">
        <f t="shared" si="2"/>
        <v>231</v>
      </c>
      <c r="M76" t="str">
        <f t="shared" si="3"/>
        <v>231016</v>
      </c>
    </row>
    <row r="77" spans="1:13" x14ac:dyDescent="0.25">
      <c r="A77">
        <v>2110020095</v>
      </c>
      <c r="B77" t="s">
        <v>18</v>
      </c>
      <c r="C77">
        <v>2310210135</v>
      </c>
      <c r="D77" t="s">
        <v>28</v>
      </c>
      <c r="E77">
        <v>2410290156</v>
      </c>
      <c r="F77" t="s">
        <v>40</v>
      </c>
      <c r="G77" t="s">
        <v>71</v>
      </c>
      <c r="H77">
        <v>0.32</v>
      </c>
      <c r="I77">
        <v>2</v>
      </c>
      <c r="J77">
        <v>8000</v>
      </c>
      <c r="K77">
        <f>+VLOOKUP(E77,Costos!$A$1:$I$7161,9,FALSE)</f>
        <v>23.787500000000001</v>
      </c>
      <c r="L77" t="str">
        <f t="shared" si="2"/>
        <v>241</v>
      </c>
      <c r="M77" t="str">
        <f t="shared" si="3"/>
        <v>241029</v>
      </c>
    </row>
    <row r="78" spans="1:13" x14ac:dyDescent="0.25">
      <c r="A78">
        <v>2110020095</v>
      </c>
      <c r="B78" t="s">
        <v>18</v>
      </c>
      <c r="C78">
        <v>2310210135</v>
      </c>
      <c r="D78" t="s">
        <v>28</v>
      </c>
      <c r="E78">
        <v>2310160501</v>
      </c>
      <c r="F78" t="s">
        <v>74</v>
      </c>
      <c r="G78" t="s">
        <v>71</v>
      </c>
      <c r="H78">
        <v>8000</v>
      </c>
      <c r="I78">
        <v>2</v>
      </c>
      <c r="J78">
        <v>8000</v>
      </c>
      <c r="K78">
        <f>+VLOOKUP(E78,Costos!$A$1:$I$7161,9,FALSE)</f>
        <v>1.1063E-2</v>
      </c>
      <c r="L78" t="str">
        <f t="shared" si="2"/>
        <v>231</v>
      </c>
      <c r="M78" t="str">
        <f t="shared" si="3"/>
        <v>231016</v>
      </c>
    </row>
    <row r="79" spans="1:13" x14ac:dyDescent="0.25">
      <c r="A79">
        <v>2110020095</v>
      </c>
      <c r="B79" t="s">
        <v>18</v>
      </c>
      <c r="C79">
        <v>2310210135</v>
      </c>
      <c r="D79" t="s">
        <v>28</v>
      </c>
      <c r="E79">
        <v>2310180037</v>
      </c>
      <c r="F79" t="s">
        <v>75</v>
      </c>
      <c r="G79" t="s">
        <v>71</v>
      </c>
      <c r="H79">
        <v>7.2</v>
      </c>
      <c r="I79">
        <v>2</v>
      </c>
      <c r="J79">
        <v>8000</v>
      </c>
      <c r="K79">
        <f>+VLOOKUP(E79,Costos!$A$1:$I$7161,9,FALSE)</f>
        <v>10.542323</v>
      </c>
      <c r="L79" t="str">
        <f t="shared" si="2"/>
        <v>231</v>
      </c>
      <c r="M79" t="str">
        <f t="shared" si="3"/>
        <v>231018</v>
      </c>
    </row>
    <row r="80" spans="1:13" x14ac:dyDescent="0.25">
      <c r="A80">
        <v>2110020095</v>
      </c>
      <c r="B80" t="s">
        <v>18</v>
      </c>
      <c r="C80">
        <v>2310210136</v>
      </c>
      <c r="D80" t="s">
        <v>29</v>
      </c>
      <c r="E80">
        <v>2410170071</v>
      </c>
      <c r="F80" t="s">
        <v>39</v>
      </c>
      <c r="G80" t="s">
        <v>36</v>
      </c>
      <c r="H80">
        <v>8000</v>
      </c>
      <c r="I80">
        <v>2</v>
      </c>
      <c r="J80">
        <v>8000</v>
      </c>
      <c r="K80">
        <f>+VLOOKUP(E80,Costos!$A$1:$I$7161,9,FALSE)</f>
        <v>1.4323000000000001E-2</v>
      </c>
      <c r="L80" t="str">
        <f t="shared" si="2"/>
        <v>241</v>
      </c>
      <c r="M80" t="str">
        <f t="shared" si="3"/>
        <v>241017</v>
      </c>
    </row>
    <row r="81" spans="1:13" x14ac:dyDescent="0.25">
      <c r="A81">
        <v>2110020095</v>
      </c>
      <c r="B81" t="s">
        <v>18</v>
      </c>
      <c r="C81">
        <v>2310210136</v>
      </c>
      <c r="D81" t="s">
        <v>29</v>
      </c>
      <c r="E81">
        <v>2410130017</v>
      </c>
      <c r="F81" t="s">
        <v>41</v>
      </c>
      <c r="G81" t="s">
        <v>36</v>
      </c>
      <c r="H81">
        <v>8000</v>
      </c>
      <c r="I81">
        <v>2</v>
      </c>
      <c r="J81">
        <v>8000</v>
      </c>
      <c r="K81">
        <f>+VLOOKUP(E81,Costos!$A$1:$I$7161,9,FALSE)</f>
        <v>7.5389999999999997E-3</v>
      </c>
      <c r="L81" t="str">
        <f t="shared" si="2"/>
        <v>241</v>
      </c>
      <c r="M81" t="str">
        <f t="shared" si="3"/>
        <v>241013</v>
      </c>
    </row>
    <row r="82" spans="1:13" x14ac:dyDescent="0.25">
      <c r="A82">
        <v>2110020095</v>
      </c>
      <c r="B82" t="s">
        <v>18</v>
      </c>
      <c r="C82">
        <v>2310210136</v>
      </c>
      <c r="D82" t="s">
        <v>29</v>
      </c>
      <c r="E82">
        <v>2310090448</v>
      </c>
      <c r="F82" t="s">
        <v>76</v>
      </c>
      <c r="G82" t="s">
        <v>36</v>
      </c>
      <c r="H82">
        <v>8000</v>
      </c>
      <c r="I82">
        <v>2</v>
      </c>
      <c r="J82">
        <v>8000</v>
      </c>
      <c r="K82">
        <f>+VLOOKUP(E82,Costos!$A$1:$I$7161,9,FALSE)</f>
        <v>2.9846000000000001E-2</v>
      </c>
      <c r="L82" t="str">
        <f t="shared" si="2"/>
        <v>231</v>
      </c>
      <c r="M82" t="str">
        <f t="shared" si="3"/>
        <v>231009</v>
      </c>
    </row>
    <row r="83" spans="1:13" x14ac:dyDescent="0.25">
      <c r="A83">
        <v>2110020095</v>
      </c>
      <c r="B83" t="s">
        <v>18</v>
      </c>
      <c r="C83">
        <v>2310210136</v>
      </c>
      <c r="D83" t="s">
        <v>29</v>
      </c>
      <c r="E83">
        <v>2310160477</v>
      </c>
      <c r="F83" t="s">
        <v>77</v>
      </c>
      <c r="G83" t="s">
        <v>36</v>
      </c>
      <c r="H83">
        <v>8000</v>
      </c>
      <c r="I83">
        <v>2</v>
      </c>
      <c r="J83">
        <v>8000</v>
      </c>
      <c r="K83">
        <f>+VLOOKUP(E83,Costos!$A$1:$I$7161,9,FALSE)</f>
        <v>1.0012E-2</v>
      </c>
      <c r="L83" t="str">
        <f t="shared" si="2"/>
        <v>231</v>
      </c>
      <c r="M83" t="str">
        <f t="shared" si="3"/>
        <v>231016</v>
      </c>
    </row>
    <row r="84" spans="1:13" x14ac:dyDescent="0.25">
      <c r="A84">
        <v>2110020095</v>
      </c>
      <c r="B84" t="s">
        <v>18</v>
      </c>
      <c r="C84">
        <v>2310210136</v>
      </c>
      <c r="D84" t="s">
        <v>29</v>
      </c>
      <c r="E84">
        <v>2410290156</v>
      </c>
      <c r="F84" t="s">
        <v>40</v>
      </c>
      <c r="G84" t="s">
        <v>36</v>
      </c>
      <c r="H84">
        <v>0.32</v>
      </c>
      <c r="I84">
        <v>2</v>
      </c>
      <c r="J84">
        <v>8000</v>
      </c>
      <c r="K84">
        <f>+VLOOKUP(E84,Costos!$A$1:$I$7161,9,FALSE)</f>
        <v>23.787500000000001</v>
      </c>
      <c r="L84" t="str">
        <f t="shared" si="2"/>
        <v>241</v>
      </c>
      <c r="M84" t="str">
        <f t="shared" si="3"/>
        <v>241029</v>
      </c>
    </row>
    <row r="85" spans="1:13" x14ac:dyDescent="0.25">
      <c r="A85">
        <v>2110020095</v>
      </c>
      <c r="B85" t="s">
        <v>18</v>
      </c>
      <c r="C85">
        <v>2310210136</v>
      </c>
      <c r="D85" t="s">
        <v>29</v>
      </c>
      <c r="E85">
        <v>2310160489</v>
      </c>
      <c r="F85" t="s">
        <v>78</v>
      </c>
      <c r="G85" t="s">
        <v>36</v>
      </c>
      <c r="H85">
        <v>8000</v>
      </c>
      <c r="I85">
        <v>2</v>
      </c>
      <c r="J85">
        <v>8000</v>
      </c>
      <c r="K85" t="e">
        <f>+VLOOKUP(E85,Costos!$A$1:$I$7161,9,FALSE)</f>
        <v>#N/A</v>
      </c>
      <c r="L85" t="str">
        <f t="shared" si="2"/>
        <v>231</v>
      </c>
      <c r="M85" t="str">
        <f t="shared" si="3"/>
        <v>231016</v>
      </c>
    </row>
    <row r="86" spans="1:13" x14ac:dyDescent="0.25">
      <c r="A86">
        <v>2110020095</v>
      </c>
      <c r="B86" t="s">
        <v>18</v>
      </c>
      <c r="C86">
        <v>2310210136</v>
      </c>
      <c r="D86" t="s">
        <v>29</v>
      </c>
      <c r="E86">
        <v>2310180051</v>
      </c>
      <c r="F86" t="s">
        <v>79</v>
      </c>
      <c r="G86" t="s">
        <v>36</v>
      </c>
      <c r="H86">
        <v>7.2</v>
      </c>
      <c r="I86">
        <v>2</v>
      </c>
      <c r="J86">
        <v>8000</v>
      </c>
      <c r="K86">
        <f>+VLOOKUP(E86,Costos!$A$1:$I$7161,9,FALSE)</f>
        <v>5.2177179999999996</v>
      </c>
      <c r="L86" t="str">
        <f t="shared" si="2"/>
        <v>231</v>
      </c>
      <c r="M86" t="str">
        <f t="shared" si="3"/>
        <v>231018</v>
      </c>
    </row>
    <row r="87" spans="1:13" x14ac:dyDescent="0.25">
      <c r="A87">
        <v>2110020095</v>
      </c>
      <c r="B87" t="s">
        <v>18</v>
      </c>
      <c r="C87">
        <v>2310210137</v>
      </c>
      <c r="D87" t="s">
        <v>30</v>
      </c>
      <c r="E87">
        <v>2410170071</v>
      </c>
      <c r="F87" t="s">
        <v>39</v>
      </c>
      <c r="G87" t="s">
        <v>71</v>
      </c>
      <c r="H87">
        <v>8000</v>
      </c>
      <c r="I87">
        <v>2</v>
      </c>
      <c r="J87">
        <v>8000</v>
      </c>
      <c r="K87">
        <f>+VLOOKUP(E87,Costos!$A$1:$I$7161,9,FALSE)</f>
        <v>1.4323000000000001E-2</v>
      </c>
      <c r="L87" t="str">
        <f t="shared" si="2"/>
        <v>241</v>
      </c>
      <c r="M87" t="str">
        <f t="shared" si="3"/>
        <v>241017</v>
      </c>
    </row>
    <row r="88" spans="1:13" x14ac:dyDescent="0.25">
      <c r="A88">
        <v>2110020095</v>
      </c>
      <c r="B88" t="s">
        <v>18</v>
      </c>
      <c r="C88">
        <v>2310210137</v>
      </c>
      <c r="D88" t="s">
        <v>30</v>
      </c>
      <c r="E88">
        <v>2410130017</v>
      </c>
      <c r="F88" t="s">
        <v>41</v>
      </c>
      <c r="G88" t="s">
        <v>71</v>
      </c>
      <c r="H88">
        <v>8000</v>
      </c>
      <c r="I88">
        <v>2</v>
      </c>
      <c r="J88">
        <v>8000</v>
      </c>
      <c r="K88">
        <f>+VLOOKUP(E88,Costos!$A$1:$I$7161,9,FALSE)</f>
        <v>7.5389999999999997E-3</v>
      </c>
      <c r="L88" t="str">
        <f t="shared" si="2"/>
        <v>241</v>
      </c>
      <c r="M88" t="str">
        <f t="shared" si="3"/>
        <v>241013</v>
      </c>
    </row>
    <row r="89" spans="1:13" x14ac:dyDescent="0.25">
      <c r="A89">
        <v>2110020095</v>
      </c>
      <c r="B89" t="s">
        <v>18</v>
      </c>
      <c r="C89">
        <v>2310210137</v>
      </c>
      <c r="D89" t="s">
        <v>30</v>
      </c>
      <c r="E89">
        <v>2310090445</v>
      </c>
      <c r="F89" t="s">
        <v>80</v>
      </c>
      <c r="G89" t="s">
        <v>71</v>
      </c>
      <c r="H89">
        <v>8000</v>
      </c>
      <c r="I89">
        <v>2</v>
      </c>
      <c r="J89">
        <v>8000</v>
      </c>
      <c r="K89">
        <f>+VLOOKUP(E89,Costos!$A$1:$I$7161,9,FALSE)</f>
        <v>3.1757000000000001E-2</v>
      </c>
      <c r="L89" t="str">
        <f t="shared" si="2"/>
        <v>231</v>
      </c>
      <c r="M89" t="str">
        <f t="shared" si="3"/>
        <v>231009</v>
      </c>
    </row>
    <row r="90" spans="1:13" x14ac:dyDescent="0.25">
      <c r="A90">
        <v>2110020095</v>
      </c>
      <c r="B90" t="s">
        <v>18</v>
      </c>
      <c r="C90">
        <v>2310210137</v>
      </c>
      <c r="D90" t="s">
        <v>30</v>
      </c>
      <c r="E90">
        <v>2310160474</v>
      </c>
      <c r="F90" t="s">
        <v>81</v>
      </c>
      <c r="G90" t="s">
        <v>71</v>
      </c>
      <c r="H90">
        <v>8000</v>
      </c>
      <c r="I90">
        <v>2</v>
      </c>
      <c r="J90">
        <v>8000</v>
      </c>
      <c r="K90">
        <f>+VLOOKUP(E90,Costos!$A$1:$I$7161,9,FALSE)</f>
        <v>9.5460000000000007E-3</v>
      </c>
      <c r="L90" t="str">
        <f t="shared" si="2"/>
        <v>231</v>
      </c>
      <c r="M90" t="str">
        <f t="shared" si="3"/>
        <v>231016</v>
      </c>
    </row>
    <row r="91" spans="1:13" x14ac:dyDescent="0.25">
      <c r="A91">
        <v>2110020095</v>
      </c>
      <c r="B91" t="s">
        <v>18</v>
      </c>
      <c r="C91">
        <v>2310210137</v>
      </c>
      <c r="D91" t="s">
        <v>30</v>
      </c>
      <c r="E91">
        <v>2410290156</v>
      </c>
      <c r="F91" t="s">
        <v>40</v>
      </c>
      <c r="G91" t="s">
        <v>71</v>
      </c>
      <c r="H91">
        <v>0.32</v>
      </c>
      <c r="I91">
        <v>2</v>
      </c>
      <c r="J91">
        <v>8000</v>
      </c>
      <c r="K91">
        <f>+VLOOKUP(E91,Costos!$A$1:$I$7161,9,FALSE)</f>
        <v>23.787500000000001</v>
      </c>
      <c r="L91" t="str">
        <f t="shared" si="2"/>
        <v>241</v>
      </c>
      <c r="M91" t="str">
        <f t="shared" si="3"/>
        <v>241029</v>
      </c>
    </row>
    <row r="92" spans="1:13" x14ac:dyDescent="0.25">
      <c r="A92">
        <v>2110020095</v>
      </c>
      <c r="B92" t="s">
        <v>18</v>
      </c>
      <c r="C92">
        <v>2310210137</v>
      </c>
      <c r="D92" t="s">
        <v>30</v>
      </c>
      <c r="E92">
        <v>2310160486</v>
      </c>
      <c r="F92" t="s">
        <v>82</v>
      </c>
      <c r="G92" t="s">
        <v>71</v>
      </c>
      <c r="H92">
        <v>8000</v>
      </c>
      <c r="I92">
        <v>2</v>
      </c>
      <c r="J92">
        <v>8000</v>
      </c>
      <c r="K92" t="e">
        <f>+VLOOKUP(E92,Costos!$A$1:$I$7161,9,FALSE)</f>
        <v>#N/A</v>
      </c>
      <c r="L92" t="str">
        <f t="shared" si="2"/>
        <v>231</v>
      </c>
      <c r="M92" t="str">
        <f t="shared" si="3"/>
        <v>231016</v>
      </c>
    </row>
    <row r="93" spans="1:13" x14ac:dyDescent="0.25">
      <c r="A93">
        <v>2110020095</v>
      </c>
      <c r="B93" t="s">
        <v>18</v>
      </c>
      <c r="C93">
        <v>2310210137</v>
      </c>
      <c r="D93" t="s">
        <v>30</v>
      </c>
      <c r="E93">
        <v>2310180045</v>
      </c>
      <c r="F93" t="s">
        <v>83</v>
      </c>
      <c r="G93" t="s">
        <v>71</v>
      </c>
      <c r="H93">
        <v>7.2</v>
      </c>
      <c r="I93">
        <v>2</v>
      </c>
      <c r="J93">
        <v>8000</v>
      </c>
      <c r="K93">
        <f>+VLOOKUP(E93,Costos!$A$1:$I$7161,9,FALSE)</f>
        <v>6.6236490000000003</v>
      </c>
      <c r="L93" t="str">
        <f t="shared" si="2"/>
        <v>231</v>
      </c>
      <c r="M93" t="str">
        <f t="shared" si="3"/>
        <v>231018</v>
      </c>
    </row>
    <row r="94" spans="1:13" x14ac:dyDescent="0.25">
      <c r="A94">
        <v>2110020095</v>
      </c>
      <c r="B94" t="s">
        <v>18</v>
      </c>
      <c r="C94">
        <v>2310210138</v>
      </c>
      <c r="D94" t="s">
        <v>31</v>
      </c>
      <c r="E94">
        <v>2410170071</v>
      </c>
      <c r="F94" t="s">
        <v>39</v>
      </c>
      <c r="G94" t="s">
        <v>36</v>
      </c>
      <c r="H94">
        <v>8000</v>
      </c>
      <c r="I94">
        <v>2</v>
      </c>
      <c r="J94">
        <v>8000</v>
      </c>
      <c r="K94">
        <f>+VLOOKUP(E94,Costos!$A$1:$I$7161,9,FALSE)</f>
        <v>1.4323000000000001E-2</v>
      </c>
      <c r="L94" t="str">
        <f t="shared" si="2"/>
        <v>241</v>
      </c>
      <c r="M94" t="str">
        <f t="shared" si="3"/>
        <v>241017</v>
      </c>
    </row>
    <row r="95" spans="1:13" x14ac:dyDescent="0.25">
      <c r="A95">
        <v>2110020095</v>
      </c>
      <c r="B95" t="s">
        <v>18</v>
      </c>
      <c r="C95">
        <v>2310210138</v>
      </c>
      <c r="D95" t="s">
        <v>31</v>
      </c>
      <c r="E95">
        <v>2410130017</v>
      </c>
      <c r="F95" t="s">
        <v>41</v>
      </c>
      <c r="G95" t="s">
        <v>36</v>
      </c>
      <c r="H95">
        <v>8000</v>
      </c>
      <c r="I95">
        <v>2</v>
      </c>
      <c r="J95">
        <v>8000</v>
      </c>
      <c r="K95">
        <f>+VLOOKUP(E95,Costos!$A$1:$I$7161,9,FALSE)</f>
        <v>7.5389999999999997E-3</v>
      </c>
      <c r="L95" t="str">
        <f t="shared" si="2"/>
        <v>241</v>
      </c>
      <c r="M95" t="str">
        <f t="shared" si="3"/>
        <v>241013</v>
      </c>
    </row>
    <row r="96" spans="1:13" x14ac:dyDescent="0.25">
      <c r="A96">
        <v>2110020095</v>
      </c>
      <c r="B96" t="s">
        <v>18</v>
      </c>
      <c r="C96">
        <v>2310210138</v>
      </c>
      <c r="D96" t="s">
        <v>31</v>
      </c>
      <c r="E96">
        <v>2310090450</v>
      </c>
      <c r="F96" t="s">
        <v>84</v>
      </c>
      <c r="G96" t="s">
        <v>36</v>
      </c>
      <c r="H96">
        <v>8000</v>
      </c>
      <c r="I96">
        <v>2</v>
      </c>
      <c r="J96">
        <v>8000</v>
      </c>
      <c r="K96">
        <f>+VLOOKUP(E96,Costos!$A$1:$I$7161,9,FALSE)</f>
        <v>5.8645999999999997E-2</v>
      </c>
      <c r="L96" t="str">
        <f t="shared" si="2"/>
        <v>231</v>
      </c>
      <c r="M96" t="str">
        <f t="shared" si="3"/>
        <v>231009</v>
      </c>
    </row>
    <row r="97" spans="1:13" x14ac:dyDescent="0.25">
      <c r="A97">
        <v>2110020095</v>
      </c>
      <c r="B97" t="s">
        <v>18</v>
      </c>
      <c r="C97">
        <v>2310210138</v>
      </c>
      <c r="D97" t="s">
        <v>31</v>
      </c>
      <c r="E97">
        <v>2310160479</v>
      </c>
      <c r="F97" t="s">
        <v>85</v>
      </c>
      <c r="G97" t="s">
        <v>36</v>
      </c>
      <c r="H97">
        <v>8000</v>
      </c>
      <c r="I97">
        <v>2</v>
      </c>
      <c r="J97">
        <v>8000</v>
      </c>
      <c r="K97">
        <f>+VLOOKUP(E97,Costos!$A$1:$I$7161,9,FALSE)</f>
        <v>1.0666E-2</v>
      </c>
      <c r="L97" t="str">
        <f t="shared" si="2"/>
        <v>231</v>
      </c>
      <c r="M97" t="str">
        <f t="shared" si="3"/>
        <v>231016</v>
      </c>
    </row>
    <row r="98" spans="1:13" x14ac:dyDescent="0.25">
      <c r="A98">
        <v>2110020095</v>
      </c>
      <c r="B98" t="s">
        <v>18</v>
      </c>
      <c r="C98">
        <v>2310210138</v>
      </c>
      <c r="D98" t="s">
        <v>31</v>
      </c>
      <c r="E98">
        <v>2410290156</v>
      </c>
      <c r="F98" t="s">
        <v>40</v>
      </c>
      <c r="G98" t="s">
        <v>36</v>
      </c>
      <c r="H98">
        <v>0.32</v>
      </c>
      <c r="I98">
        <v>2</v>
      </c>
      <c r="J98">
        <v>8000</v>
      </c>
      <c r="K98">
        <f>+VLOOKUP(E98,Costos!$A$1:$I$7161,9,FALSE)</f>
        <v>23.787500000000001</v>
      </c>
      <c r="L98" t="str">
        <f t="shared" si="2"/>
        <v>241</v>
      </c>
      <c r="M98" t="str">
        <f t="shared" si="3"/>
        <v>241029</v>
      </c>
    </row>
    <row r="99" spans="1:13" x14ac:dyDescent="0.25">
      <c r="A99">
        <v>2110020095</v>
      </c>
      <c r="B99" t="s">
        <v>18</v>
      </c>
      <c r="C99">
        <v>2310210138</v>
      </c>
      <c r="D99" t="s">
        <v>31</v>
      </c>
      <c r="E99">
        <v>2310160491</v>
      </c>
      <c r="F99" t="s">
        <v>86</v>
      </c>
      <c r="G99" t="s">
        <v>36</v>
      </c>
      <c r="H99">
        <v>8000</v>
      </c>
      <c r="I99">
        <v>2</v>
      </c>
      <c r="J99">
        <v>8000</v>
      </c>
      <c r="K99">
        <f>+VLOOKUP(E99,Costos!$A$1:$I$7161,9,FALSE)</f>
        <v>9.7900000000000001E-3</v>
      </c>
      <c r="L99" t="str">
        <f t="shared" si="2"/>
        <v>231</v>
      </c>
      <c r="M99" t="str">
        <f t="shared" si="3"/>
        <v>231016</v>
      </c>
    </row>
    <row r="100" spans="1:13" x14ac:dyDescent="0.25">
      <c r="A100">
        <v>2110020095</v>
      </c>
      <c r="B100" t="s">
        <v>18</v>
      </c>
      <c r="C100">
        <v>2310210138</v>
      </c>
      <c r="D100" t="s">
        <v>31</v>
      </c>
      <c r="E100">
        <v>2310180040</v>
      </c>
      <c r="F100" t="s">
        <v>87</v>
      </c>
      <c r="G100" t="s">
        <v>36</v>
      </c>
      <c r="H100">
        <v>7.2</v>
      </c>
      <c r="I100">
        <v>2</v>
      </c>
      <c r="J100">
        <v>8000</v>
      </c>
      <c r="K100">
        <f>+VLOOKUP(E100,Costos!$A$1:$I$7161,9,FALSE)</f>
        <v>4.3330109999999999</v>
      </c>
      <c r="L100" t="str">
        <f t="shared" si="2"/>
        <v>231</v>
      </c>
      <c r="M100" t="str">
        <f t="shared" si="3"/>
        <v>231018</v>
      </c>
    </row>
    <row r="101" spans="1:13" x14ac:dyDescent="0.25">
      <c r="A101">
        <v>2110020095</v>
      </c>
      <c r="B101" t="s">
        <v>18</v>
      </c>
      <c r="C101">
        <v>2310090439</v>
      </c>
      <c r="D101" t="s">
        <v>35</v>
      </c>
      <c r="E101">
        <v>2410090295</v>
      </c>
      <c r="F101" t="s">
        <v>88</v>
      </c>
      <c r="G101" t="s">
        <v>89</v>
      </c>
      <c r="H101">
        <v>0.51370000000000005</v>
      </c>
      <c r="I101">
        <v>3</v>
      </c>
      <c r="J101">
        <v>8000</v>
      </c>
      <c r="K101">
        <f>+VLOOKUP(E101,Costos!$A$1:$I$7161,9,FALSE)</f>
        <v>18.454999999999998</v>
      </c>
      <c r="L101" t="str">
        <f t="shared" si="2"/>
        <v>241</v>
      </c>
      <c r="M101" t="str">
        <f t="shared" si="3"/>
        <v>241009</v>
      </c>
    </row>
    <row r="102" spans="1:13" x14ac:dyDescent="0.25">
      <c r="A102">
        <v>2110020095</v>
      </c>
      <c r="B102" t="s">
        <v>18</v>
      </c>
      <c r="C102">
        <v>2310090439</v>
      </c>
      <c r="D102" t="s">
        <v>35</v>
      </c>
      <c r="E102">
        <v>2410290153</v>
      </c>
      <c r="F102" t="s">
        <v>90</v>
      </c>
      <c r="G102" t="s">
        <v>89</v>
      </c>
      <c r="H102">
        <v>26.56</v>
      </c>
      <c r="I102">
        <v>3</v>
      </c>
      <c r="J102">
        <v>8000</v>
      </c>
      <c r="K102">
        <f>+VLOOKUP(E102,Costos!$A$1:$I$7161,9,FALSE)</f>
        <v>4.8165199999999997</v>
      </c>
      <c r="L102" t="str">
        <f t="shared" si="2"/>
        <v>241</v>
      </c>
      <c r="M102" t="str">
        <f t="shared" si="3"/>
        <v>241029</v>
      </c>
    </row>
    <row r="103" spans="1:13" x14ac:dyDescent="0.25">
      <c r="A103">
        <v>2110020095</v>
      </c>
      <c r="B103" t="s">
        <v>18</v>
      </c>
      <c r="C103">
        <v>2310160468</v>
      </c>
      <c r="D103" t="s">
        <v>37</v>
      </c>
      <c r="E103">
        <v>2410090295</v>
      </c>
      <c r="F103" t="s">
        <v>88</v>
      </c>
      <c r="G103" t="s">
        <v>89</v>
      </c>
      <c r="H103">
        <v>0.18240000000000001</v>
      </c>
      <c r="I103">
        <v>3</v>
      </c>
      <c r="J103">
        <v>8000</v>
      </c>
      <c r="K103">
        <f>+VLOOKUP(E103,Costos!$A$1:$I$7161,9,FALSE)</f>
        <v>18.454999999999998</v>
      </c>
      <c r="L103" t="str">
        <f t="shared" si="2"/>
        <v>241</v>
      </c>
      <c r="M103" t="str">
        <f t="shared" si="3"/>
        <v>241009</v>
      </c>
    </row>
    <row r="104" spans="1:13" x14ac:dyDescent="0.25">
      <c r="A104">
        <v>2110020095</v>
      </c>
      <c r="B104" t="s">
        <v>18</v>
      </c>
      <c r="C104">
        <v>2310160468</v>
      </c>
      <c r="D104" t="s">
        <v>37</v>
      </c>
      <c r="E104">
        <v>2410290624</v>
      </c>
      <c r="F104" t="s">
        <v>91</v>
      </c>
      <c r="G104" t="s">
        <v>89</v>
      </c>
      <c r="H104">
        <v>9.1196000000000002</v>
      </c>
      <c r="I104">
        <v>3</v>
      </c>
      <c r="J104">
        <v>8000</v>
      </c>
      <c r="K104">
        <f>+VLOOKUP(E104,Costos!$A$1:$I$7161,9,FALSE)</f>
        <v>4.3038160000000003</v>
      </c>
      <c r="L104" t="str">
        <f t="shared" si="2"/>
        <v>241</v>
      </c>
      <c r="M104" t="str">
        <f t="shared" si="3"/>
        <v>241029</v>
      </c>
    </row>
    <row r="105" spans="1:13" x14ac:dyDescent="0.25">
      <c r="A105">
        <v>2110020095</v>
      </c>
      <c r="B105" t="s">
        <v>18</v>
      </c>
      <c r="C105">
        <v>2310160480</v>
      </c>
      <c r="D105" t="s">
        <v>38</v>
      </c>
      <c r="E105">
        <v>2410090295</v>
      </c>
      <c r="F105" t="s">
        <v>88</v>
      </c>
      <c r="G105" t="s">
        <v>89</v>
      </c>
      <c r="H105">
        <v>0.1409</v>
      </c>
      <c r="I105">
        <v>3</v>
      </c>
      <c r="J105">
        <v>8000</v>
      </c>
      <c r="K105">
        <f>+VLOOKUP(E105,Costos!$A$1:$I$7161,9,FALSE)</f>
        <v>18.454999999999998</v>
      </c>
      <c r="L105" t="str">
        <f t="shared" si="2"/>
        <v>241</v>
      </c>
      <c r="M105" t="str">
        <f t="shared" si="3"/>
        <v>241009</v>
      </c>
    </row>
    <row r="106" spans="1:13" x14ac:dyDescent="0.25">
      <c r="A106">
        <v>2110020095</v>
      </c>
      <c r="B106" t="s">
        <v>18</v>
      </c>
      <c r="C106">
        <v>2310160480</v>
      </c>
      <c r="D106" t="s">
        <v>38</v>
      </c>
      <c r="E106">
        <v>2410290626</v>
      </c>
      <c r="F106" t="s">
        <v>92</v>
      </c>
      <c r="G106" t="s">
        <v>89</v>
      </c>
      <c r="H106">
        <v>7.12</v>
      </c>
      <c r="I106">
        <v>3</v>
      </c>
      <c r="J106">
        <v>8000</v>
      </c>
      <c r="K106">
        <f>+VLOOKUP(E106,Costos!$A$1:$I$7161,9,FALSE)</f>
        <v>4.362679</v>
      </c>
      <c r="L106" t="str">
        <f t="shared" si="2"/>
        <v>241</v>
      </c>
      <c r="M106" t="str">
        <f t="shared" si="3"/>
        <v>241029</v>
      </c>
    </row>
    <row r="107" spans="1:13" x14ac:dyDescent="0.25">
      <c r="A107">
        <v>2110020095</v>
      </c>
      <c r="B107" t="s">
        <v>18</v>
      </c>
      <c r="C107">
        <v>2310180036</v>
      </c>
      <c r="D107" t="s">
        <v>42</v>
      </c>
      <c r="E107">
        <v>2430450001</v>
      </c>
      <c r="F107" t="s">
        <v>93</v>
      </c>
      <c r="G107" t="s">
        <v>89</v>
      </c>
      <c r="H107">
        <v>0.72</v>
      </c>
      <c r="I107">
        <v>3</v>
      </c>
      <c r="J107">
        <v>8000</v>
      </c>
      <c r="K107">
        <f>+VLOOKUP(E107,Costos!$A$1:$I$7161,9,FALSE)</f>
        <v>5.0953559999999998</v>
      </c>
      <c r="L107" t="str">
        <f t="shared" si="2"/>
        <v>243</v>
      </c>
      <c r="M107" t="str">
        <f t="shared" si="3"/>
        <v>243045</v>
      </c>
    </row>
    <row r="108" spans="1:13" x14ac:dyDescent="0.25">
      <c r="A108">
        <v>2110020095</v>
      </c>
      <c r="B108" t="s">
        <v>18</v>
      </c>
      <c r="C108">
        <v>2310180036</v>
      </c>
      <c r="D108" t="s">
        <v>42</v>
      </c>
      <c r="E108">
        <v>2310180048</v>
      </c>
      <c r="F108" t="s">
        <v>94</v>
      </c>
      <c r="G108" t="s">
        <v>89</v>
      </c>
      <c r="H108">
        <v>0.9</v>
      </c>
      <c r="I108">
        <v>3</v>
      </c>
      <c r="J108">
        <v>8000</v>
      </c>
      <c r="K108">
        <f>+VLOOKUP(E108,Costos!$A$1:$I$7161,9,FALSE)</f>
        <v>2.7850670000000002</v>
      </c>
      <c r="L108" t="str">
        <f t="shared" si="2"/>
        <v>231</v>
      </c>
      <c r="M108" t="str">
        <f t="shared" si="3"/>
        <v>231018</v>
      </c>
    </row>
    <row r="109" spans="1:13" x14ac:dyDescent="0.25">
      <c r="A109">
        <v>2110020095</v>
      </c>
      <c r="B109" t="s">
        <v>18</v>
      </c>
      <c r="C109">
        <v>2310180036</v>
      </c>
      <c r="D109" t="s">
        <v>42</v>
      </c>
      <c r="E109">
        <v>2410210003</v>
      </c>
      <c r="F109" t="s">
        <v>95</v>
      </c>
      <c r="G109" t="s">
        <v>89</v>
      </c>
      <c r="H109">
        <v>1.44</v>
      </c>
      <c r="I109">
        <v>3</v>
      </c>
      <c r="J109">
        <v>8000</v>
      </c>
      <c r="K109">
        <f>+VLOOKUP(E109,Costos!$A$1:$I$7161,9,FALSE)</f>
        <v>5.0519999999999996</v>
      </c>
      <c r="L109" t="str">
        <f t="shared" si="2"/>
        <v>241</v>
      </c>
      <c r="M109" t="str">
        <f t="shared" si="3"/>
        <v>241021</v>
      </c>
    </row>
    <row r="110" spans="1:13" x14ac:dyDescent="0.25">
      <c r="A110">
        <v>2110020095</v>
      </c>
      <c r="B110" t="s">
        <v>18</v>
      </c>
      <c r="C110">
        <v>2310180036</v>
      </c>
      <c r="D110" t="s">
        <v>42</v>
      </c>
      <c r="E110">
        <v>2410090267</v>
      </c>
      <c r="F110" t="s">
        <v>96</v>
      </c>
      <c r="G110" t="s">
        <v>89</v>
      </c>
      <c r="H110">
        <v>1.4E-3</v>
      </c>
      <c r="I110">
        <v>3</v>
      </c>
      <c r="J110">
        <v>8000</v>
      </c>
      <c r="K110">
        <f>+VLOOKUP(E110,Costos!$A$1:$I$7161,9,FALSE)</f>
        <v>125.553377</v>
      </c>
      <c r="L110" t="str">
        <f t="shared" si="2"/>
        <v>241</v>
      </c>
      <c r="M110" t="str">
        <f t="shared" si="3"/>
        <v>241009</v>
      </c>
    </row>
    <row r="111" spans="1:13" x14ac:dyDescent="0.25">
      <c r="A111">
        <v>2110020095</v>
      </c>
      <c r="B111" t="s">
        <v>18</v>
      </c>
      <c r="C111">
        <v>2310180036</v>
      </c>
      <c r="D111" t="s">
        <v>42</v>
      </c>
      <c r="E111">
        <v>2410090268</v>
      </c>
      <c r="F111" t="s">
        <v>97</v>
      </c>
      <c r="G111" t="s">
        <v>89</v>
      </c>
      <c r="H111">
        <v>0.23760000000000001</v>
      </c>
      <c r="I111">
        <v>3</v>
      </c>
      <c r="J111">
        <v>8000</v>
      </c>
      <c r="K111">
        <f>+VLOOKUP(E111,Costos!$A$1:$I$7161,9,FALSE)</f>
        <v>138.307931</v>
      </c>
      <c r="L111" t="str">
        <f t="shared" si="2"/>
        <v>241</v>
      </c>
      <c r="M111" t="str">
        <f t="shared" si="3"/>
        <v>241009</v>
      </c>
    </row>
    <row r="112" spans="1:13" x14ac:dyDescent="0.25">
      <c r="A112">
        <v>2110020095</v>
      </c>
      <c r="B112" t="s">
        <v>18</v>
      </c>
      <c r="C112">
        <v>2310180036</v>
      </c>
      <c r="D112" t="s">
        <v>42</v>
      </c>
      <c r="E112">
        <v>2410090269</v>
      </c>
      <c r="F112" t="s">
        <v>98</v>
      </c>
      <c r="G112" t="s">
        <v>89</v>
      </c>
      <c r="H112">
        <v>0.12820000000000001</v>
      </c>
      <c r="I112">
        <v>3</v>
      </c>
      <c r="J112">
        <v>8000</v>
      </c>
      <c r="K112">
        <f>+VLOOKUP(E112,Costos!$A$1:$I$7161,9,FALSE)</f>
        <v>323.08498100000003</v>
      </c>
      <c r="L112" t="str">
        <f t="shared" si="2"/>
        <v>241</v>
      </c>
      <c r="M112" t="str">
        <f t="shared" si="3"/>
        <v>241009</v>
      </c>
    </row>
    <row r="113" spans="1:13" x14ac:dyDescent="0.25">
      <c r="A113">
        <v>2110020095</v>
      </c>
      <c r="B113" t="s">
        <v>18</v>
      </c>
      <c r="C113">
        <v>2310090441</v>
      </c>
      <c r="D113" t="s">
        <v>43</v>
      </c>
      <c r="E113">
        <v>2410090310</v>
      </c>
      <c r="F113" t="s">
        <v>99</v>
      </c>
      <c r="G113" t="s">
        <v>89</v>
      </c>
      <c r="H113">
        <v>0.30819999999999997</v>
      </c>
      <c r="I113">
        <v>3</v>
      </c>
      <c r="J113">
        <v>8000</v>
      </c>
      <c r="K113">
        <f>+VLOOKUP(E113,Costos!$A$1:$I$7161,9,FALSE)</f>
        <v>8.8844879999999993</v>
      </c>
      <c r="L113" t="str">
        <f t="shared" si="2"/>
        <v>241</v>
      </c>
      <c r="M113" t="str">
        <f t="shared" si="3"/>
        <v>241009</v>
      </c>
    </row>
    <row r="114" spans="1:13" x14ac:dyDescent="0.25">
      <c r="A114">
        <v>2110020095</v>
      </c>
      <c r="B114" t="s">
        <v>18</v>
      </c>
      <c r="C114">
        <v>2310090441</v>
      </c>
      <c r="D114" t="s">
        <v>43</v>
      </c>
      <c r="E114">
        <v>2410290153</v>
      </c>
      <c r="F114" t="s">
        <v>90</v>
      </c>
      <c r="G114" t="s">
        <v>89</v>
      </c>
      <c r="H114">
        <v>26.56</v>
      </c>
      <c r="I114">
        <v>3</v>
      </c>
      <c r="J114">
        <v>8000</v>
      </c>
      <c r="K114">
        <f>+VLOOKUP(E114,Costos!$A$1:$I$7161,9,FALSE)</f>
        <v>4.8165199999999997</v>
      </c>
      <c r="L114" t="str">
        <f t="shared" si="2"/>
        <v>241</v>
      </c>
      <c r="M114" t="str">
        <f t="shared" si="3"/>
        <v>241029</v>
      </c>
    </row>
    <row r="115" spans="1:13" x14ac:dyDescent="0.25">
      <c r="A115">
        <v>2110020095</v>
      </c>
      <c r="B115" t="s">
        <v>18</v>
      </c>
      <c r="C115">
        <v>2310160470</v>
      </c>
      <c r="D115" t="s">
        <v>44</v>
      </c>
      <c r="E115">
        <v>2410090310</v>
      </c>
      <c r="F115" t="s">
        <v>99</v>
      </c>
      <c r="G115" t="s">
        <v>89</v>
      </c>
      <c r="H115">
        <v>0.1094</v>
      </c>
      <c r="I115">
        <v>3</v>
      </c>
      <c r="J115">
        <v>8000</v>
      </c>
      <c r="K115">
        <f>+VLOOKUP(E115,Costos!$A$1:$I$7161,9,FALSE)</f>
        <v>8.8844879999999993</v>
      </c>
      <c r="L115" t="str">
        <f t="shared" si="2"/>
        <v>241</v>
      </c>
      <c r="M115" t="str">
        <f t="shared" si="3"/>
        <v>241009</v>
      </c>
    </row>
    <row r="116" spans="1:13" x14ac:dyDescent="0.25">
      <c r="A116">
        <v>2110020095</v>
      </c>
      <c r="B116" t="s">
        <v>18</v>
      </c>
      <c r="C116">
        <v>2310160470</v>
      </c>
      <c r="D116" t="s">
        <v>44</v>
      </c>
      <c r="E116">
        <v>2410290624</v>
      </c>
      <c r="F116" t="s">
        <v>91</v>
      </c>
      <c r="G116" t="s">
        <v>89</v>
      </c>
      <c r="H116">
        <v>9.1196000000000002</v>
      </c>
      <c r="I116">
        <v>3</v>
      </c>
      <c r="J116">
        <v>8000</v>
      </c>
      <c r="K116">
        <f>+VLOOKUP(E116,Costos!$A$1:$I$7161,9,FALSE)</f>
        <v>4.3038160000000003</v>
      </c>
      <c r="L116" t="str">
        <f t="shared" si="2"/>
        <v>241</v>
      </c>
      <c r="M116" t="str">
        <f t="shared" si="3"/>
        <v>241029</v>
      </c>
    </row>
    <row r="117" spans="1:13" x14ac:dyDescent="0.25">
      <c r="A117">
        <v>2110020095</v>
      </c>
      <c r="B117" t="s">
        <v>18</v>
      </c>
      <c r="C117">
        <v>2310160482</v>
      </c>
      <c r="D117" t="s">
        <v>45</v>
      </c>
      <c r="E117">
        <v>2410090310</v>
      </c>
      <c r="F117" t="s">
        <v>99</v>
      </c>
      <c r="G117" t="s">
        <v>89</v>
      </c>
      <c r="H117">
        <v>8.4500000000000006E-2</v>
      </c>
      <c r="I117">
        <v>3</v>
      </c>
      <c r="J117">
        <v>8000</v>
      </c>
      <c r="K117">
        <f>+VLOOKUP(E117,Costos!$A$1:$I$7161,9,FALSE)</f>
        <v>8.8844879999999993</v>
      </c>
      <c r="L117" t="str">
        <f t="shared" si="2"/>
        <v>241</v>
      </c>
      <c r="M117" t="str">
        <f t="shared" si="3"/>
        <v>241009</v>
      </c>
    </row>
    <row r="118" spans="1:13" x14ac:dyDescent="0.25">
      <c r="A118">
        <v>2110020095</v>
      </c>
      <c r="B118" t="s">
        <v>18</v>
      </c>
      <c r="C118">
        <v>2310160482</v>
      </c>
      <c r="D118" t="s">
        <v>45</v>
      </c>
      <c r="E118">
        <v>2410290626</v>
      </c>
      <c r="F118" t="s">
        <v>92</v>
      </c>
      <c r="G118" t="s">
        <v>89</v>
      </c>
      <c r="H118">
        <v>7.12</v>
      </c>
      <c r="I118">
        <v>3</v>
      </c>
      <c r="J118">
        <v>8000</v>
      </c>
      <c r="K118">
        <f>+VLOOKUP(E118,Costos!$A$1:$I$7161,9,FALSE)</f>
        <v>4.362679</v>
      </c>
      <c r="L118" t="str">
        <f t="shared" si="2"/>
        <v>241</v>
      </c>
      <c r="M118" t="str">
        <f t="shared" si="3"/>
        <v>241029</v>
      </c>
    </row>
    <row r="119" spans="1:13" x14ac:dyDescent="0.25">
      <c r="A119">
        <v>2110020095</v>
      </c>
      <c r="B119" t="s">
        <v>18</v>
      </c>
      <c r="C119">
        <v>2310180042</v>
      </c>
      <c r="D119" t="s">
        <v>46</v>
      </c>
      <c r="E119">
        <v>2430450001</v>
      </c>
      <c r="F119" t="s">
        <v>93</v>
      </c>
      <c r="G119" t="s">
        <v>89</v>
      </c>
      <c r="H119">
        <v>0.72</v>
      </c>
      <c r="I119">
        <v>3</v>
      </c>
      <c r="J119">
        <v>8000</v>
      </c>
      <c r="K119">
        <f>+VLOOKUP(E119,Costos!$A$1:$I$7161,9,FALSE)</f>
        <v>5.0953559999999998</v>
      </c>
      <c r="L119" t="str">
        <f t="shared" si="2"/>
        <v>243</v>
      </c>
      <c r="M119" t="str">
        <f t="shared" si="3"/>
        <v>243045</v>
      </c>
    </row>
    <row r="120" spans="1:13" x14ac:dyDescent="0.25">
      <c r="A120">
        <v>2110020095</v>
      </c>
      <c r="B120" t="s">
        <v>18</v>
      </c>
      <c r="C120">
        <v>2310180042</v>
      </c>
      <c r="D120" t="s">
        <v>46</v>
      </c>
      <c r="E120">
        <v>2310180048</v>
      </c>
      <c r="F120" t="s">
        <v>94</v>
      </c>
      <c r="G120" t="s">
        <v>89</v>
      </c>
      <c r="H120">
        <v>0.9</v>
      </c>
      <c r="I120">
        <v>3</v>
      </c>
      <c r="J120">
        <v>8000</v>
      </c>
      <c r="K120">
        <f>+VLOOKUP(E120,Costos!$A$1:$I$7161,9,FALSE)</f>
        <v>2.7850670000000002</v>
      </c>
      <c r="L120" t="str">
        <f t="shared" si="2"/>
        <v>231</v>
      </c>
      <c r="M120" t="str">
        <f t="shared" si="3"/>
        <v>231018</v>
      </c>
    </row>
    <row r="121" spans="1:13" x14ac:dyDescent="0.25">
      <c r="A121">
        <v>2110020095</v>
      </c>
      <c r="B121" t="s">
        <v>18</v>
      </c>
      <c r="C121">
        <v>2310180042</v>
      </c>
      <c r="D121" t="s">
        <v>46</v>
      </c>
      <c r="E121">
        <v>2410210003</v>
      </c>
      <c r="F121" t="s">
        <v>95</v>
      </c>
      <c r="G121" t="s">
        <v>89</v>
      </c>
      <c r="H121">
        <v>1.44</v>
      </c>
      <c r="I121">
        <v>3</v>
      </c>
      <c r="J121">
        <v>8000</v>
      </c>
      <c r="K121">
        <f>+VLOOKUP(E121,Costos!$A$1:$I$7161,9,FALSE)</f>
        <v>5.0519999999999996</v>
      </c>
      <c r="L121" t="str">
        <f t="shared" si="2"/>
        <v>241</v>
      </c>
      <c r="M121" t="str">
        <f t="shared" si="3"/>
        <v>241021</v>
      </c>
    </row>
    <row r="122" spans="1:13" x14ac:dyDescent="0.25">
      <c r="A122">
        <v>2110020095</v>
      </c>
      <c r="B122" t="s">
        <v>18</v>
      </c>
      <c r="C122">
        <v>2310180042</v>
      </c>
      <c r="D122" t="s">
        <v>46</v>
      </c>
      <c r="E122">
        <v>2410090267</v>
      </c>
      <c r="F122" t="s">
        <v>96</v>
      </c>
      <c r="G122" t="s">
        <v>89</v>
      </c>
      <c r="H122">
        <v>0.2145</v>
      </c>
      <c r="I122">
        <v>3</v>
      </c>
      <c r="J122">
        <v>8000</v>
      </c>
      <c r="K122">
        <f>+VLOOKUP(E122,Costos!$A$1:$I$7161,9,FALSE)</f>
        <v>125.553377</v>
      </c>
      <c r="L122" t="str">
        <f t="shared" si="2"/>
        <v>241</v>
      </c>
      <c r="M122" t="str">
        <f t="shared" si="3"/>
        <v>241009</v>
      </c>
    </row>
    <row r="123" spans="1:13" x14ac:dyDescent="0.25">
      <c r="A123">
        <v>2110020095</v>
      </c>
      <c r="B123" t="s">
        <v>18</v>
      </c>
      <c r="C123">
        <v>2310180042</v>
      </c>
      <c r="D123" t="s">
        <v>46</v>
      </c>
      <c r="E123">
        <v>2410090266</v>
      </c>
      <c r="F123" t="s">
        <v>100</v>
      </c>
      <c r="G123" t="s">
        <v>89</v>
      </c>
      <c r="H123">
        <v>0.16259999999999999</v>
      </c>
      <c r="I123">
        <v>3</v>
      </c>
      <c r="J123">
        <v>8000</v>
      </c>
      <c r="K123">
        <f>+VLOOKUP(E123,Costos!$A$1:$I$7161,9,FALSE)</f>
        <v>163.744855</v>
      </c>
      <c r="L123" t="str">
        <f t="shared" si="2"/>
        <v>241</v>
      </c>
      <c r="M123" t="str">
        <f t="shared" si="3"/>
        <v>241009</v>
      </c>
    </row>
    <row r="124" spans="1:13" x14ac:dyDescent="0.25">
      <c r="A124">
        <v>2110020095</v>
      </c>
      <c r="B124" t="s">
        <v>18</v>
      </c>
      <c r="C124">
        <v>2310180042</v>
      </c>
      <c r="D124" t="s">
        <v>46</v>
      </c>
      <c r="E124">
        <v>2410090268</v>
      </c>
      <c r="F124" t="s">
        <v>97</v>
      </c>
      <c r="G124" t="s">
        <v>89</v>
      </c>
      <c r="H124">
        <v>0.18709999999999999</v>
      </c>
      <c r="I124">
        <v>3</v>
      </c>
      <c r="J124">
        <v>8000</v>
      </c>
      <c r="K124">
        <f>+VLOOKUP(E124,Costos!$A$1:$I$7161,9,FALSE)</f>
        <v>138.307931</v>
      </c>
      <c r="L124" t="str">
        <f t="shared" si="2"/>
        <v>241</v>
      </c>
      <c r="M124" t="str">
        <f t="shared" si="3"/>
        <v>241009</v>
      </c>
    </row>
    <row r="125" spans="1:13" x14ac:dyDescent="0.25">
      <c r="A125">
        <v>2110020095</v>
      </c>
      <c r="B125" t="s">
        <v>18</v>
      </c>
      <c r="C125">
        <v>2310180042</v>
      </c>
      <c r="D125" t="s">
        <v>46</v>
      </c>
      <c r="E125">
        <v>2410090269</v>
      </c>
      <c r="F125" t="s">
        <v>98</v>
      </c>
      <c r="G125" t="s">
        <v>89</v>
      </c>
      <c r="H125">
        <v>1.4999999999999999E-2</v>
      </c>
      <c r="I125">
        <v>3</v>
      </c>
      <c r="J125">
        <v>8000</v>
      </c>
      <c r="K125">
        <f>+VLOOKUP(E125,Costos!$A$1:$I$7161,9,FALSE)</f>
        <v>323.08498100000003</v>
      </c>
      <c r="L125" t="str">
        <f t="shared" si="2"/>
        <v>241</v>
      </c>
      <c r="M125" t="str">
        <f t="shared" si="3"/>
        <v>241009</v>
      </c>
    </row>
    <row r="126" spans="1:13" x14ac:dyDescent="0.25">
      <c r="A126">
        <v>2110020095</v>
      </c>
      <c r="B126" t="s">
        <v>18</v>
      </c>
      <c r="C126">
        <v>2310090440</v>
      </c>
      <c r="D126" t="s">
        <v>47</v>
      </c>
      <c r="E126">
        <v>2410090294</v>
      </c>
      <c r="F126" t="s">
        <v>101</v>
      </c>
      <c r="G126" t="s">
        <v>89</v>
      </c>
      <c r="H126">
        <v>0.51370000000000005</v>
      </c>
      <c r="I126">
        <v>3</v>
      </c>
      <c r="J126">
        <v>8000</v>
      </c>
      <c r="K126">
        <f>+VLOOKUP(E126,Costos!$A$1:$I$7161,9,FALSE)</f>
        <v>20.024166000000001</v>
      </c>
      <c r="L126" t="str">
        <f t="shared" si="2"/>
        <v>241</v>
      </c>
      <c r="M126" t="str">
        <f t="shared" si="3"/>
        <v>241009</v>
      </c>
    </row>
    <row r="127" spans="1:13" x14ac:dyDescent="0.25">
      <c r="A127">
        <v>2110020095</v>
      </c>
      <c r="B127" t="s">
        <v>18</v>
      </c>
      <c r="C127">
        <v>2310090440</v>
      </c>
      <c r="D127" t="s">
        <v>47</v>
      </c>
      <c r="E127">
        <v>2410290153</v>
      </c>
      <c r="F127" t="s">
        <v>90</v>
      </c>
      <c r="G127" t="s">
        <v>89</v>
      </c>
      <c r="H127">
        <v>26.56</v>
      </c>
      <c r="I127">
        <v>3</v>
      </c>
      <c r="J127">
        <v>8000</v>
      </c>
      <c r="K127">
        <f>+VLOOKUP(E127,Costos!$A$1:$I$7161,9,FALSE)</f>
        <v>4.8165199999999997</v>
      </c>
      <c r="L127" t="str">
        <f t="shared" si="2"/>
        <v>241</v>
      </c>
      <c r="M127" t="str">
        <f t="shared" si="3"/>
        <v>241029</v>
      </c>
    </row>
    <row r="128" spans="1:13" x14ac:dyDescent="0.25">
      <c r="A128">
        <v>2110020095</v>
      </c>
      <c r="B128" t="s">
        <v>18</v>
      </c>
      <c r="C128">
        <v>2310160469</v>
      </c>
      <c r="D128" t="s">
        <v>48</v>
      </c>
      <c r="E128">
        <v>2410090294</v>
      </c>
      <c r="F128" t="s">
        <v>101</v>
      </c>
      <c r="G128" t="s">
        <v>89</v>
      </c>
      <c r="H128">
        <v>0.18240000000000001</v>
      </c>
      <c r="I128">
        <v>3</v>
      </c>
      <c r="J128">
        <v>8000</v>
      </c>
      <c r="K128">
        <f>+VLOOKUP(E128,Costos!$A$1:$I$7161,9,FALSE)</f>
        <v>20.024166000000001</v>
      </c>
      <c r="L128" t="str">
        <f t="shared" si="2"/>
        <v>241</v>
      </c>
      <c r="M128" t="str">
        <f t="shared" si="3"/>
        <v>241009</v>
      </c>
    </row>
    <row r="129" spans="1:13" x14ac:dyDescent="0.25">
      <c r="A129">
        <v>2110020095</v>
      </c>
      <c r="B129" t="s">
        <v>18</v>
      </c>
      <c r="C129">
        <v>2310160469</v>
      </c>
      <c r="D129" t="s">
        <v>48</v>
      </c>
      <c r="E129">
        <v>2410290624</v>
      </c>
      <c r="F129" t="s">
        <v>91</v>
      </c>
      <c r="G129" t="s">
        <v>89</v>
      </c>
      <c r="H129">
        <v>9.1196000000000002</v>
      </c>
      <c r="I129">
        <v>3</v>
      </c>
      <c r="J129">
        <v>8000</v>
      </c>
      <c r="K129">
        <f>+VLOOKUP(E129,Costos!$A$1:$I$7161,9,FALSE)</f>
        <v>4.3038160000000003</v>
      </c>
      <c r="L129" t="str">
        <f t="shared" si="2"/>
        <v>241</v>
      </c>
      <c r="M129" t="str">
        <f t="shared" si="3"/>
        <v>241029</v>
      </c>
    </row>
    <row r="130" spans="1:13" x14ac:dyDescent="0.25">
      <c r="A130">
        <v>2110020095</v>
      </c>
      <c r="B130" t="s">
        <v>18</v>
      </c>
      <c r="C130">
        <v>2310160481</v>
      </c>
      <c r="D130" t="s">
        <v>49</v>
      </c>
      <c r="E130">
        <v>2410090294</v>
      </c>
      <c r="F130" t="s">
        <v>101</v>
      </c>
      <c r="G130" t="s">
        <v>89</v>
      </c>
      <c r="H130">
        <v>0.1409</v>
      </c>
      <c r="I130">
        <v>3</v>
      </c>
      <c r="J130">
        <v>8000</v>
      </c>
      <c r="K130">
        <f>+VLOOKUP(E130,Costos!$A$1:$I$7161,9,FALSE)</f>
        <v>20.024166000000001</v>
      </c>
      <c r="L130" t="str">
        <f t="shared" si="2"/>
        <v>241</v>
      </c>
      <c r="M130" t="str">
        <f t="shared" si="3"/>
        <v>241009</v>
      </c>
    </row>
    <row r="131" spans="1:13" x14ac:dyDescent="0.25">
      <c r="A131">
        <v>2110020095</v>
      </c>
      <c r="B131" t="s">
        <v>18</v>
      </c>
      <c r="C131">
        <v>2310160481</v>
      </c>
      <c r="D131" t="s">
        <v>49</v>
      </c>
      <c r="E131">
        <v>2410290626</v>
      </c>
      <c r="F131" t="s">
        <v>92</v>
      </c>
      <c r="G131" t="s">
        <v>89</v>
      </c>
      <c r="H131">
        <v>7.12</v>
      </c>
      <c r="I131">
        <v>3</v>
      </c>
      <c r="J131">
        <v>8000</v>
      </c>
      <c r="K131">
        <f>+VLOOKUP(E131,Costos!$A$1:$I$7161,9,FALSE)</f>
        <v>4.362679</v>
      </c>
      <c r="L131" t="str">
        <f t="shared" ref="L131:L194" si="4">+LEFT(E131,3)</f>
        <v>241</v>
      </c>
      <c r="M131" t="str">
        <f t="shared" ref="M131:M194" si="5">+LEFT(E131,6)</f>
        <v>241029</v>
      </c>
    </row>
    <row r="132" spans="1:13" x14ac:dyDescent="0.25">
      <c r="A132">
        <v>2110020095</v>
      </c>
      <c r="B132" t="s">
        <v>18</v>
      </c>
      <c r="C132">
        <v>2310180041</v>
      </c>
      <c r="D132" t="s">
        <v>50</v>
      </c>
      <c r="E132">
        <v>2430450001</v>
      </c>
      <c r="F132" t="s">
        <v>93</v>
      </c>
      <c r="G132" t="s">
        <v>89</v>
      </c>
      <c r="H132">
        <v>0.72</v>
      </c>
      <c r="I132">
        <v>3</v>
      </c>
      <c r="J132">
        <v>8000</v>
      </c>
      <c r="K132">
        <f>+VLOOKUP(E132,Costos!$A$1:$I$7161,9,FALSE)</f>
        <v>5.0953559999999998</v>
      </c>
      <c r="L132" t="str">
        <f t="shared" si="4"/>
        <v>243</v>
      </c>
      <c r="M132" t="str">
        <f t="shared" si="5"/>
        <v>243045</v>
      </c>
    </row>
    <row r="133" spans="1:13" x14ac:dyDescent="0.25">
      <c r="A133">
        <v>2110020095</v>
      </c>
      <c r="B133" t="s">
        <v>18</v>
      </c>
      <c r="C133">
        <v>2310180041</v>
      </c>
      <c r="D133" t="s">
        <v>50</v>
      </c>
      <c r="E133">
        <v>2310180048</v>
      </c>
      <c r="F133" t="s">
        <v>94</v>
      </c>
      <c r="G133" t="s">
        <v>89</v>
      </c>
      <c r="H133">
        <v>0.9</v>
      </c>
      <c r="I133">
        <v>3</v>
      </c>
      <c r="J133">
        <v>8000</v>
      </c>
      <c r="K133">
        <f>+VLOOKUP(E133,Costos!$A$1:$I$7161,9,FALSE)</f>
        <v>2.7850670000000002</v>
      </c>
      <c r="L133" t="str">
        <f t="shared" si="4"/>
        <v>231</v>
      </c>
      <c r="M133" t="str">
        <f t="shared" si="5"/>
        <v>231018</v>
      </c>
    </row>
    <row r="134" spans="1:13" x14ac:dyDescent="0.25">
      <c r="A134">
        <v>2110020095</v>
      </c>
      <c r="B134" t="s">
        <v>18</v>
      </c>
      <c r="C134">
        <v>2310180041</v>
      </c>
      <c r="D134" t="s">
        <v>50</v>
      </c>
      <c r="E134">
        <v>2410210003</v>
      </c>
      <c r="F134" t="s">
        <v>95</v>
      </c>
      <c r="G134" t="s">
        <v>89</v>
      </c>
      <c r="H134">
        <v>1.44</v>
      </c>
      <c r="I134">
        <v>3</v>
      </c>
      <c r="J134">
        <v>8000</v>
      </c>
      <c r="K134">
        <f>+VLOOKUP(E134,Costos!$A$1:$I$7161,9,FALSE)</f>
        <v>5.0519999999999996</v>
      </c>
      <c r="L134" t="str">
        <f t="shared" si="4"/>
        <v>241</v>
      </c>
      <c r="M134" t="str">
        <f t="shared" si="5"/>
        <v>241021</v>
      </c>
    </row>
    <row r="135" spans="1:13" x14ac:dyDescent="0.25">
      <c r="A135">
        <v>2110020095</v>
      </c>
      <c r="B135" t="s">
        <v>18</v>
      </c>
      <c r="C135">
        <v>2310180041</v>
      </c>
      <c r="D135" t="s">
        <v>50</v>
      </c>
      <c r="E135">
        <v>2410090267</v>
      </c>
      <c r="F135" t="s">
        <v>96</v>
      </c>
      <c r="G135" t="s">
        <v>89</v>
      </c>
      <c r="H135">
        <v>0.28799999999999998</v>
      </c>
      <c r="I135">
        <v>3</v>
      </c>
      <c r="J135">
        <v>8000</v>
      </c>
      <c r="K135">
        <f>+VLOOKUP(E135,Costos!$A$1:$I$7161,9,FALSE)</f>
        <v>125.553377</v>
      </c>
      <c r="L135" t="str">
        <f t="shared" si="4"/>
        <v>241</v>
      </c>
      <c r="M135" t="str">
        <f t="shared" si="5"/>
        <v>241009</v>
      </c>
    </row>
    <row r="136" spans="1:13" x14ac:dyDescent="0.25">
      <c r="A136">
        <v>2110020095</v>
      </c>
      <c r="B136" t="s">
        <v>18</v>
      </c>
      <c r="C136">
        <v>2310180041</v>
      </c>
      <c r="D136" t="s">
        <v>50</v>
      </c>
      <c r="E136">
        <v>2410090266</v>
      </c>
      <c r="F136" t="s">
        <v>100</v>
      </c>
      <c r="G136" t="s">
        <v>89</v>
      </c>
      <c r="H136">
        <v>2.3800000000000002E-2</v>
      </c>
      <c r="I136">
        <v>3</v>
      </c>
      <c r="J136">
        <v>8000</v>
      </c>
      <c r="K136">
        <f>+VLOOKUP(E136,Costos!$A$1:$I$7161,9,FALSE)</f>
        <v>163.744855</v>
      </c>
      <c r="L136" t="str">
        <f t="shared" si="4"/>
        <v>241</v>
      </c>
      <c r="M136" t="str">
        <f t="shared" si="5"/>
        <v>241009</v>
      </c>
    </row>
    <row r="137" spans="1:13" x14ac:dyDescent="0.25">
      <c r="A137">
        <v>2110020095</v>
      </c>
      <c r="B137" t="s">
        <v>18</v>
      </c>
      <c r="C137">
        <v>2310090442</v>
      </c>
      <c r="D137" t="s">
        <v>51</v>
      </c>
      <c r="E137">
        <v>2410090296</v>
      </c>
      <c r="F137" t="s">
        <v>102</v>
      </c>
      <c r="G137" t="s">
        <v>89</v>
      </c>
      <c r="H137">
        <v>0.51370000000000005</v>
      </c>
      <c r="I137">
        <v>3</v>
      </c>
      <c r="J137">
        <v>8000</v>
      </c>
      <c r="K137">
        <f>+VLOOKUP(E137,Costos!$A$1:$I$7161,9,FALSE)</f>
        <v>20.628330999999999</v>
      </c>
      <c r="L137" t="str">
        <f t="shared" si="4"/>
        <v>241</v>
      </c>
      <c r="M137" t="str">
        <f t="shared" si="5"/>
        <v>241009</v>
      </c>
    </row>
    <row r="138" spans="1:13" x14ac:dyDescent="0.25">
      <c r="A138">
        <v>2110020095</v>
      </c>
      <c r="B138" t="s">
        <v>18</v>
      </c>
      <c r="C138">
        <v>2310090442</v>
      </c>
      <c r="D138" t="s">
        <v>51</v>
      </c>
      <c r="E138">
        <v>2410290153</v>
      </c>
      <c r="F138" t="s">
        <v>90</v>
      </c>
      <c r="G138" t="s">
        <v>89</v>
      </c>
      <c r="H138">
        <v>26.56</v>
      </c>
      <c r="I138">
        <v>3</v>
      </c>
      <c r="J138">
        <v>8000</v>
      </c>
      <c r="K138">
        <f>+VLOOKUP(E138,Costos!$A$1:$I$7161,9,FALSE)</f>
        <v>4.8165199999999997</v>
      </c>
      <c r="L138" t="str">
        <f t="shared" si="4"/>
        <v>241</v>
      </c>
      <c r="M138" t="str">
        <f t="shared" si="5"/>
        <v>241029</v>
      </c>
    </row>
    <row r="139" spans="1:13" x14ac:dyDescent="0.25">
      <c r="A139">
        <v>2110020095</v>
      </c>
      <c r="B139" t="s">
        <v>18</v>
      </c>
      <c r="C139">
        <v>2310160471</v>
      </c>
      <c r="D139" t="s">
        <v>52</v>
      </c>
      <c r="E139">
        <v>2410090296</v>
      </c>
      <c r="F139" t="s">
        <v>102</v>
      </c>
      <c r="G139" t="s">
        <v>89</v>
      </c>
      <c r="H139">
        <v>0.18240000000000001</v>
      </c>
      <c r="I139">
        <v>3</v>
      </c>
      <c r="J139">
        <v>8000</v>
      </c>
      <c r="K139">
        <f>+VLOOKUP(E139,Costos!$A$1:$I$7161,9,FALSE)</f>
        <v>20.628330999999999</v>
      </c>
      <c r="L139" t="str">
        <f t="shared" si="4"/>
        <v>241</v>
      </c>
      <c r="M139" t="str">
        <f t="shared" si="5"/>
        <v>241009</v>
      </c>
    </row>
    <row r="140" spans="1:13" x14ac:dyDescent="0.25">
      <c r="A140">
        <v>2110020095</v>
      </c>
      <c r="B140" t="s">
        <v>18</v>
      </c>
      <c r="C140">
        <v>2310160471</v>
      </c>
      <c r="D140" t="s">
        <v>52</v>
      </c>
      <c r="E140">
        <v>2410290624</v>
      </c>
      <c r="F140" t="s">
        <v>91</v>
      </c>
      <c r="G140" t="s">
        <v>89</v>
      </c>
      <c r="H140">
        <v>9.1196000000000002</v>
      </c>
      <c r="I140">
        <v>3</v>
      </c>
      <c r="J140">
        <v>8000</v>
      </c>
      <c r="K140">
        <f>+VLOOKUP(E140,Costos!$A$1:$I$7161,9,FALSE)</f>
        <v>4.3038160000000003</v>
      </c>
      <c r="L140" t="str">
        <f t="shared" si="4"/>
        <v>241</v>
      </c>
      <c r="M140" t="str">
        <f t="shared" si="5"/>
        <v>241029</v>
      </c>
    </row>
    <row r="141" spans="1:13" x14ac:dyDescent="0.25">
      <c r="A141">
        <v>2110020095</v>
      </c>
      <c r="B141" t="s">
        <v>18</v>
      </c>
      <c r="C141">
        <v>2310160483</v>
      </c>
      <c r="D141" t="s">
        <v>53</v>
      </c>
      <c r="E141">
        <v>2410090296</v>
      </c>
      <c r="F141" t="s">
        <v>102</v>
      </c>
      <c r="G141" t="s">
        <v>89</v>
      </c>
      <c r="H141">
        <v>0.1409</v>
      </c>
      <c r="I141">
        <v>3</v>
      </c>
      <c r="J141">
        <v>8000</v>
      </c>
      <c r="K141">
        <f>+VLOOKUP(E141,Costos!$A$1:$I$7161,9,FALSE)</f>
        <v>20.628330999999999</v>
      </c>
      <c r="L141" t="str">
        <f t="shared" si="4"/>
        <v>241</v>
      </c>
      <c r="M141" t="str">
        <f t="shared" si="5"/>
        <v>241009</v>
      </c>
    </row>
    <row r="142" spans="1:13" x14ac:dyDescent="0.25">
      <c r="A142">
        <v>2110020095</v>
      </c>
      <c r="B142" t="s">
        <v>18</v>
      </c>
      <c r="C142">
        <v>2310160483</v>
      </c>
      <c r="D142" t="s">
        <v>53</v>
      </c>
      <c r="E142">
        <v>2410290626</v>
      </c>
      <c r="F142" t="s">
        <v>92</v>
      </c>
      <c r="G142" t="s">
        <v>89</v>
      </c>
      <c r="H142">
        <v>7.12</v>
      </c>
      <c r="I142">
        <v>3</v>
      </c>
      <c r="J142">
        <v>8000</v>
      </c>
      <c r="K142">
        <f>+VLOOKUP(E142,Costos!$A$1:$I$7161,9,FALSE)</f>
        <v>4.362679</v>
      </c>
      <c r="L142" t="str">
        <f t="shared" si="4"/>
        <v>241</v>
      </c>
      <c r="M142" t="str">
        <f t="shared" si="5"/>
        <v>241029</v>
      </c>
    </row>
    <row r="143" spans="1:13" x14ac:dyDescent="0.25">
      <c r="A143">
        <v>2110020095</v>
      </c>
      <c r="B143" t="s">
        <v>18</v>
      </c>
      <c r="C143">
        <v>2310180044</v>
      </c>
      <c r="D143" t="s">
        <v>54</v>
      </c>
      <c r="E143">
        <v>2430450001</v>
      </c>
      <c r="F143" t="s">
        <v>93</v>
      </c>
      <c r="G143" t="s">
        <v>89</v>
      </c>
      <c r="H143">
        <v>0.72</v>
      </c>
      <c r="I143">
        <v>3</v>
      </c>
      <c r="J143">
        <v>8000</v>
      </c>
      <c r="K143">
        <f>+VLOOKUP(E143,Costos!$A$1:$I$7161,9,FALSE)</f>
        <v>5.0953559999999998</v>
      </c>
      <c r="L143" t="str">
        <f t="shared" si="4"/>
        <v>243</v>
      </c>
      <c r="M143" t="str">
        <f t="shared" si="5"/>
        <v>243045</v>
      </c>
    </row>
    <row r="144" spans="1:13" x14ac:dyDescent="0.25">
      <c r="A144">
        <v>2110020095</v>
      </c>
      <c r="B144" t="s">
        <v>18</v>
      </c>
      <c r="C144">
        <v>2310180044</v>
      </c>
      <c r="D144" t="s">
        <v>54</v>
      </c>
      <c r="E144">
        <v>2310180048</v>
      </c>
      <c r="F144" t="s">
        <v>94</v>
      </c>
      <c r="G144" t="s">
        <v>89</v>
      </c>
      <c r="H144">
        <v>0.9</v>
      </c>
      <c r="I144">
        <v>3</v>
      </c>
      <c r="J144">
        <v>8000</v>
      </c>
      <c r="K144">
        <f>+VLOOKUP(E144,Costos!$A$1:$I$7161,9,FALSE)</f>
        <v>2.7850670000000002</v>
      </c>
      <c r="L144" t="str">
        <f t="shared" si="4"/>
        <v>231</v>
      </c>
      <c r="M144" t="str">
        <f t="shared" si="5"/>
        <v>231018</v>
      </c>
    </row>
    <row r="145" spans="1:13" x14ac:dyDescent="0.25">
      <c r="A145">
        <v>2110020095</v>
      </c>
      <c r="B145" t="s">
        <v>18</v>
      </c>
      <c r="C145">
        <v>2310180044</v>
      </c>
      <c r="D145" t="s">
        <v>54</v>
      </c>
      <c r="E145">
        <v>2410210003</v>
      </c>
      <c r="F145" t="s">
        <v>95</v>
      </c>
      <c r="G145" t="s">
        <v>89</v>
      </c>
      <c r="H145">
        <v>1.44</v>
      </c>
      <c r="I145">
        <v>3</v>
      </c>
      <c r="J145">
        <v>8000</v>
      </c>
      <c r="K145">
        <f>+VLOOKUP(E145,Costos!$A$1:$I$7161,9,FALSE)</f>
        <v>5.0519999999999996</v>
      </c>
      <c r="L145" t="str">
        <f t="shared" si="4"/>
        <v>241</v>
      </c>
      <c r="M145" t="str">
        <f t="shared" si="5"/>
        <v>241021</v>
      </c>
    </row>
    <row r="146" spans="1:13" x14ac:dyDescent="0.25">
      <c r="A146">
        <v>2110020095</v>
      </c>
      <c r="B146" t="s">
        <v>18</v>
      </c>
      <c r="C146">
        <v>2310180044</v>
      </c>
      <c r="D146" t="s">
        <v>54</v>
      </c>
      <c r="E146">
        <v>2410090267</v>
      </c>
      <c r="F146" t="s">
        <v>96</v>
      </c>
      <c r="G146" t="s">
        <v>89</v>
      </c>
      <c r="H146">
        <v>5.7999999999999996E-3</v>
      </c>
      <c r="I146">
        <v>3</v>
      </c>
      <c r="J146">
        <v>8000</v>
      </c>
      <c r="K146">
        <f>+VLOOKUP(E146,Costos!$A$1:$I$7161,9,FALSE)</f>
        <v>125.553377</v>
      </c>
      <c r="L146" t="str">
        <f t="shared" si="4"/>
        <v>241</v>
      </c>
      <c r="M146" t="str">
        <f t="shared" si="5"/>
        <v>241009</v>
      </c>
    </row>
    <row r="147" spans="1:13" x14ac:dyDescent="0.25">
      <c r="A147">
        <v>2110020095</v>
      </c>
      <c r="B147" t="s">
        <v>18</v>
      </c>
      <c r="C147">
        <v>2310180044</v>
      </c>
      <c r="D147" t="s">
        <v>54</v>
      </c>
      <c r="E147">
        <v>2410090268</v>
      </c>
      <c r="F147" t="s">
        <v>97</v>
      </c>
      <c r="G147" t="s">
        <v>89</v>
      </c>
      <c r="H147">
        <v>9.8599999999999993E-2</v>
      </c>
      <c r="I147">
        <v>3</v>
      </c>
      <c r="J147">
        <v>8000</v>
      </c>
      <c r="K147">
        <f>+VLOOKUP(E147,Costos!$A$1:$I$7161,9,FALSE)</f>
        <v>138.307931</v>
      </c>
      <c r="L147" t="str">
        <f t="shared" si="4"/>
        <v>241</v>
      </c>
      <c r="M147" t="str">
        <f t="shared" si="5"/>
        <v>241009</v>
      </c>
    </row>
    <row r="148" spans="1:13" x14ac:dyDescent="0.25">
      <c r="A148">
        <v>2110020095</v>
      </c>
      <c r="B148" t="s">
        <v>18</v>
      </c>
      <c r="C148">
        <v>2310180044</v>
      </c>
      <c r="D148" t="s">
        <v>54</v>
      </c>
      <c r="E148">
        <v>2410090265</v>
      </c>
      <c r="F148" t="s">
        <v>103</v>
      </c>
      <c r="G148" t="s">
        <v>89</v>
      </c>
      <c r="H148">
        <v>0.14399999999999999</v>
      </c>
      <c r="I148">
        <v>3</v>
      </c>
      <c r="J148">
        <v>8000</v>
      </c>
      <c r="K148">
        <f>+VLOOKUP(E148,Costos!$A$1:$I$7161,9,FALSE)</f>
        <v>88.803754999999995</v>
      </c>
      <c r="L148" t="str">
        <f t="shared" si="4"/>
        <v>241</v>
      </c>
      <c r="M148" t="str">
        <f t="shared" si="5"/>
        <v>241009</v>
      </c>
    </row>
    <row r="149" spans="1:13" x14ac:dyDescent="0.25">
      <c r="A149">
        <v>2110020095</v>
      </c>
      <c r="B149" t="s">
        <v>18</v>
      </c>
      <c r="C149">
        <v>2310090443</v>
      </c>
      <c r="D149" t="s">
        <v>55</v>
      </c>
      <c r="E149">
        <v>2410090297</v>
      </c>
      <c r="F149" t="s">
        <v>104</v>
      </c>
      <c r="G149" t="s">
        <v>89</v>
      </c>
      <c r="H149">
        <v>0.51370000000000005</v>
      </c>
      <c r="I149">
        <v>3</v>
      </c>
      <c r="J149">
        <v>8000</v>
      </c>
      <c r="K149">
        <f>+VLOOKUP(E149,Costos!$A$1:$I$7161,9,FALSE)</f>
        <v>14.927002999999999</v>
      </c>
      <c r="L149" t="str">
        <f t="shared" si="4"/>
        <v>241</v>
      </c>
      <c r="M149" t="str">
        <f t="shared" si="5"/>
        <v>241009</v>
      </c>
    </row>
    <row r="150" spans="1:13" x14ac:dyDescent="0.25">
      <c r="A150">
        <v>2110020095</v>
      </c>
      <c r="B150" t="s">
        <v>18</v>
      </c>
      <c r="C150">
        <v>2310090443</v>
      </c>
      <c r="D150" t="s">
        <v>55</v>
      </c>
      <c r="E150">
        <v>2410290153</v>
      </c>
      <c r="F150" t="s">
        <v>90</v>
      </c>
      <c r="G150" t="s">
        <v>89</v>
      </c>
      <c r="H150">
        <v>26.56</v>
      </c>
      <c r="I150">
        <v>3</v>
      </c>
      <c r="J150">
        <v>8000</v>
      </c>
      <c r="K150">
        <f>+VLOOKUP(E150,Costos!$A$1:$I$7161,9,FALSE)</f>
        <v>4.8165199999999997</v>
      </c>
      <c r="L150" t="str">
        <f t="shared" si="4"/>
        <v>241</v>
      </c>
      <c r="M150" t="str">
        <f t="shared" si="5"/>
        <v>241029</v>
      </c>
    </row>
    <row r="151" spans="1:13" x14ac:dyDescent="0.25">
      <c r="A151">
        <v>2110020095</v>
      </c>
      <c r="B151" t="s">
        <v>18</v>
      </c>
      <c r="C151">
        <v>2310160472</v>
      </c>
      <c r="D151" t="s">
        <v>56</v>
      </c>
      <c r="E151">
        <v>2410090297</v>
      </c>
      <c r="F151" t="s">
        <v>104</v>
      </c>
      <c r="G151" t="s">
        <v>89</v>
      </c>
      <c r="H151">
        <v>0.18240000000000001</v>
      </c>
      <c r="I151">
        <v>3</v>
      </c>
      <c r="J151">
        <v>8000</v>
      </c>
      <c r="K151">
        <f>+VLOOKUP(E151,Costos!$A$1:$I$7161,9,FALSE)</f>
        <v>14.927002999999999</v>
      </c>
      <c r="L151" t="str">
        <f t="shared" si="4"/>
        <v>241</v>
      </c>
      <c r="M151" t="str">
        <f t="shared" si="5"/>
        <v>241009</v>
      </c>
    </row>
    <row r="152" spans="1:13" x14ac:dyDescent="0.25">
      <c r="A152">
        <v>2110020095</v>
      </c>
      <c r="B152" t="s">
        <v>18</v>
      </c>
      <c r="C152">
        <v>2310160472</v>
      </c>
      <c r="D152" t="s">
        <v>56</v>
      </c>
      <c r="E152">
        <v>2410290624</v>
      </c>
      <c r="F152" t="s">
        <v>91</v>
      </c>
      <c r="G152" t="s">
        <v>89</v>
      </c>
      <c r="H152">
        <v>9.1196000000000002</v>
      </c>
      <c r="I152">
        <v>3</v>
      </c>
      <c r="J152">
        <v>8000</v>
      </c>
      <c r="K152">
        <f>+VLOOKUP(E152,Costos!$A$1:$I$7161,9,FALSE)</f>
        <v>4.3038160000000003</v>
      </c>
      <c r="L152" t="str">
        <f t="shared" si="4"/>
        <v>241</v>
      </c>
      <c r="M152" t="str">
        <f t="shared" si="5"/>
        <v>241029</v>
      </c>
    </row>
    <row r="153" spans="1:13" x14ac:dyDescent="0.25">
      <c r="A153">
        <v>2110020095</v>
      </c>
      <c r="B153" t="s">
        <v>18</v>
      </c>
      <c r="C153">
        <v>2310160484</v>
      </c>
      <c r="D153" t="s">
        <v>57</v>
      </c>
      <c r="E153">
        <v>2410090297</v>
      </c>
      <c r="F153" t="s">
        <v>104</v>
      </c>
      <c r="G153" t="s">
        <v>89</v>
      </c>
      <c r="H153">
        <v>0.1409</v>
      </c>
      <c r="I153">
        <v>3</v>
      </c>
      <c r="J153">
        <v>8000</v>
      </c>
      <c r="K153">
        <f>+VLOOKUP(E153,Costos!$A$1:$I$7161,9,FALSE)</f>
        <v>14.927002999999999</v>
      </c>
      <c r="L153" t="str">
        <f t="shared" si="4"/>
        <v>241</v>
      </c>
      <c r="M153" t="str">
        <f t="shared" si="5"/>
        <v>241009</v>
      </c>
    </row>
    <row r="154" spans="1:13" x14ac:dyDescent="0.25">
      <c r="A154">
        <v>2110020095</v>
      </c>
      <c r="B154" t="s">
        <v>18</v>
      </c>
      <c r="C154">
        <v>2310160484</v>
      </c>
      <c r="D154" t="s">
        <v>57</v>
      </c>
      <c r="E154">
        <v>2410290626</v>
      </c>
      <c r="F154" t="s">
        <v>92</v>
      </c>
      <c r="G154" t="s">
        <v>89</v>
      </c>
      <c r="H154">
        <v>7.12</v>
      </c>
      <c r="I154">
        <v>3</v>
      </c>
      <c r="J154">
        <v>8000</v>
      </c>
      <c r="K154">
        <f>+VLOOKUP(E154,Costos!$A$1:$I$7161,9,FALSE)</f>
        <v>4.362679</v>
      </c>
      <c r="L154" t="str">
        <f t="shared" si="4"/>
        <v>241</v>
      </c>
      <c r="M154" t="str">
        <f t="shared" si="5"/>
        <v>241029</v>
      </c>
    </row>
    <row r="155" spans="1:13" x14ac:dyDescent="0.25">
      <c r="A155">
        <v>2110020095</v>
      </c>
      <c r="B155" t="s">
        <v>18</v>
      </c>
      <c r="C155">
        <v>2310180035</v>
      </c>
      <c r="D155" t="s">
        <v>58</v>
      </c>
      <c r="E155">
        <v>2430450001</v>
      </c>
      <c r="F155" t="s">
        <v>93</v>
      </c>
      <c r="G155" t="s">
        <v>89</v>
      </c>
      <c r="H155">
        <v>0.72</v>
      </c>
      <c r="I155">
        <v>3</v>
      </c>
      <c r="J155">
        <v>8000</v>
      </c>
      <c r="K155">
        <f>+VLOOKUP(E155,Costos!$A$1:$I$7161,9,FALSE)</f>
        <v>5.0953559999999998</v>
      </c>
      <c r="L155" t="str">
        <f t="shared" si="4"/>
        <v>243</v>
      </c>
      <c r="M155" t="str">
        <f t="shared" si="5"/>
        <v>243045</v>
      </c>
    </row>
    <row r="156" spans="1:13" x14ac:dyDescent="0.25">
      <c r="A156">
        <v>2110020095</v>
      </c>
      <c r="B156" t="s">
        <v>18</v>
      </c>
      <c r="C156">
        <v>2310180035</v>
      </c>
      <c r="D156" t="s">
        <v>58</v>
      </c>
      <c r="E156">
        <v>2310180048</v>
      </c>
      <c r="F156" t="s">
        <v>94</v>
      </c>
      <c r="G156" t="s">
        <v>89</v>
      </c>
      <c r="H156">
        <v>0.9</v>
      </c>
      <c r="I156">
        <v>3</v>
      </c>
      <c r="J156">
        <v>8000</v>
      </c>
      <c r="K156">
        <f>+VLOOKUP(E156,Costos!$A$1:$I$7161,9,FALSE)</f>
        <v>2.7850670000000002</v>
      </c>
      <c r="L156" t="str">
        <f t="shared" si="4"/>
        <v>231</v>
      </c>
      <c r="M156" t="str">
        <f t="shared" si="5"/>
        <v>231018</v>
      </c>
    </row>
    <row r="157" spans="1:13" x14ac:dyDescent="0.25">
      <c r="A157">
        <v>2110020095</v>
      </c>
      <c r="B157" t="s">
        <v>18</v>
      </c>
      <c r="C157">
        <v>2310180035</v>
      </c>
      <c r="D157" t="s">
        <v>58</v>
      </c>
      <c r="E157">
        <v>2410210003</v>
      </c>
      <c r="F157" t="s">
        <v>95</v>
      </c>
      <c r="G157" t="s">
        <v>89</v>
      </c>
      <c r="H157">
        <v>1.44</v>
      </c>
      <c r="I157">
        <v>3</v>
      </c>
      <c r="J157">
        <v>8000</v>
      </c>
      <c r="K157">
        <f>+VLOOKUP(E157,Costos!$A$1:$I$7161,9,FALSE)</f>
        <v>5.0519999999999996</v>
      </c>
      <c r="L157" t="str">
        <f t="shared" si="4"/>
        <v>241</v>
      </c>
      <c r="M157" t="str">
        <f t="shared" si="5"/>
        <v>241021</v>
      </c>
    </row>
    <row r="158" spans="1:13" x14ac:dyDescent="0.25">
      <c r="A158">
        <v>2110020095</v>
      </c>
      <c r="B158" t="s">
        <v>18</v>
      </c>
      <c r="C158">
        <v>2310180035</v>
      </c>
      <c r="D158" t="s">
        <v>58</v>
      </c>
      <c r="E158">
        <v>2410090265</v>
      </c>
      <c r="F158" t="s">
        <v>103</v>
      </c>
      <c r="G158" t="s">
        <v>89</v>
      </c>
      <c r="H158">
        <v>0.23039999999999999</v>
      </c>
      <c r="I158">
        <v>3</v>
      </c>
      <c r="J158">
        <v>8000</v>
      </c>
      <c r="K158">
        <f>+VLOOKUP(E158,Costos!$A$1:$I$7161,9,FALSE)</f>
        <v>88.803754999999995</v>
      </c>
      <c r="L158" t="str">
        <f t="shared" si="4"/>
        <v>241</v>
      </c>
      <c r="M158" t="str">
        <f t="shared" si="5"/>
        <v>241009</v>
      </c>
    </row>
    <row r="159" spans="1:13" x14ac:dyDescent="0.25">
      <c r="A159">
        <v>2110020095</v>
      </c>
      <c r="B159" t="s">
        <v>18</v>
      </c>
      <c r="C159">
        <v>2310090444</v>
      </c>
      <c r="D159" t="s">
        <v>59</v>
      </c>
      <c r="E159">
        <v>2410090172</v>
      </c>
      <c r="F159" t="s">
        <v>105</v>
      </c>
      <c r="G159" t="s">
        <v>89</v>
      </c>
      <c r="H159">
        <v>0.51370000000000005</v>
      </c>
      <c r="I159">
        <v>3</v>
      </c>
      <c r="J159">
        <v>8000</v>
      </c>
      <c r="K159">
        <f>+VLOOKUP(E159,Costos!$A$1:$I$7161,9,FALSE)</f>
        <v>55.284253999999997</v>
      </c>
      <c r="L159" t="str">
        <f t="shared" si="4"/>
        <v>241</v>
      </c>
      <c r="M159" t="str">
        <f t="shared" si="5"/>
        <v>241009</v>
      </c>
    </row>
    <row r="160" spans="1:13" x14ac:dyDescent="0.25">
      <c r="A160">
        <v>2110020095</v>
      </c>
      <c r="B160" t="s">
        <v>18</v>
      </c>
      <c r="C160">
        <v>2310090444</v>
      </c>
      <c r="D160" t="s">
        <v>59</v>
      </c>
      <c r="E160">
        <v>2410290153</v>
      </c>
      <c r="F160" t="s">
        <v>90</v>
      </c>
      <c r="G160" t="s">
        <v>89</v>
      </c>
      <c r="H160">
        <v>26.56</v>
      </c>
      <c r="I160">
        <v>3</v>
      </c>
      <c r="J160">
        <v>8000</v>
      </c>
      <c r="K160">
        <f>+VLOOKUP(E160,Costos!$A$1:$I$7161,9,FALSE)</f>
        <v>4.8165199999999997</v>
      </c>
      <c r="L160" t="str">
        <f t="shared" si="4"/>
        <v>241</v>
      </c>
      <c r="M160" t="str">
        <f t="shared" si="5"/>
        <v>241029</v>
      </c>
    </row>
    <row r="161" spans="1:13" x14ac:dyDescent="0.25">
      <c r="A161">
        <v>2110020095</v>
      </c>
      <c r="B161" t="s">
        <v>18</v>
      </c>
      <c r="C161">
        <v>2310160473</v>
      </c>
      <c r="D161" t="s">
        <v>60</v>
      </c>
      <c r="E161">
        <v>2410090172</v>
      </c>
      <c r="F161" t="s">
        <v>105</v>
      </c>
      <c r="G161" t="s">
        <v>89</v>
      </c>
      <c r="H161">
        <v>0.18240000000000001</v>
      </c>
      <c r="I161">
        <v>3</v>
      </c>
      <c r="J161">
        <v>8000</v>
      </c>
      <c r="K161">
        <f>+VLOOKUP(E161,Costos!$A$1:$I$7161,9,FALSE)</f>
        <v>55.284253999999997</v>
      </c>
      <c r="L161" t="str">
        <f t="shared" si="4"/>
        <v>241</v>
      </c>
      <c r="M161" t="str">
        <f t="shared" si="5"/>
        <v>241009</v>
      </c>
    </row>
    <row r="162" spans="1:13" x14ac:dyDescent="0.25">
      <c r="A162">
        <v>2110020095</v>
      </c>
      <c r="B162" t="s">
        <v>18</v>
      </c>
      <c r="C162">
        <v>2310160473</v>
      </c>
      <c r="D162" t="s">
        <v>60</v>
      </c>
      <c r="E162">
        <v>2410290624</v>
      </c>
      <c r="F162" t="s">
        <v>91</v>
      </c>
      <c r="G162" t="s">
        <v>89</v>
      </c>
      <c r="H162">
        <v>9.1196000000000002</v>
      </c>
      <c r="I162">
        <v>3</v>
      </c>
      <c r="J162">
        <v>8000</v>
      </c>
      <c r="K162">
        <f>+VLOOKUP(E162,Costos!$A$1:$I$7161,9,FALSE)</f>
        <v>4.3038160000000003</v>
      </c>
      <c r="L162" t="str">
        <f t="shared" si="4"/>
        <v>241</v>
      </c>
      <c r="M162" t="str">
        <f t="shared" si="5"/>
        <v>241029</v>
      </c>
    </row>
    <row r="163" spans="1:13" x14ac:dyDescent="0.25">
      <c r="A163">
        <v>2110020095</v>
      </c>
      <c r="B163" t="s">
        <v>18</v>
      </c>
      <c r="C163">
        <v>2310160485</v>
      </c>
      <c r="D163" t="s">
        <v>61</v>
      </c>
      <c r="E163">
        <v>2410090172</v>
      </c>
      <c r="F163" t="s">
        <v>105</v>
      </c>
      <c r="G163" t="s">
        <v>89</v>
      </c>
      <c r="H163">
        <v>0.1409</v>
      </c>
      <c r="I163">
        <v>3</v>
      </c>
      <c r="J163">
        <v>8000</v>
      </c>
      <c r="K163">
        <f>+VLOOKUP(E163,Costos!$A$1:$I$7161,9,FALSE)</f>
        <v>55.284253999999997</v>
      </c>
      <c r="L163" t="str">
        <f t="shared" si="4"/>
        <v>241</v>
      </c>
      <c r="M163" t="str">
        <f t="shared" si="5"/>
        <v>241009</v>
      </c>
    </row>
    <row r="164" spans="1:13" x14ac:dyDescent="0.25">
      <c r="A164">
        <v>2110020095</v>
      </c>
      <c r="B164" t="s">
        <v>18</v>
      </c>
      <c r="C164">
        <v>2310160485</v>
      </c>
      <c r="D164" t="s">
        <v>61</v>
      </c>
      <c r="E164">
        <v>2410290626</v>
      </c>
      <c r="F164" t="s">
        <v>92</v>
      </c>
      <c r="G164" t="s">
        <v>89</v>
      </c>
      <c r="H164">
        <v>7.12</v>
      </c>
      <c r="I164">
        <v>3</v>
      </c>
      <c r="J164">
        <v>8000</v>
      </c>
      <c r="K164">
        <f>+VLOOKUP(E164,Costos!$A$1:$I$7161,9,FALSE)</f>
        <v>4.362679</v>
      </c>
      <c r="L164" t="str">
        <f t="shared" si="4"/>
        <v>241</v>
      </c>
      <c r="M164" t="str">
        <f t="shared" si="5"/>
        <v>241029</v>
      </c>
    </row>
    <row r="165" spans="1:13" x14ac:dyDescent="0.25">
      <c r="A165">
        <v>2110020095</v>
      </c>
      <c r="B165" t="s">
        <v>18</v>
      </c>
      <c r="C165">
        <v>2310180039</v>
      </c>
      <c r="D165" t="s">
        <v>62</v>
      </c>
      <c r="E165">
        <v>2430450001</v>
      </c>
      <c r="F165" t="s">
        <v>93</v>
      </c>
      <c r="G165" t="s">
        <v>89</v>
      </c>
      <c r="H165">
        <v>0.72</v>
      </c>
      <c r="I165">
        <v>3</v>
      </c>
      <c r="J165">
        <v>8000</v>
      </c>
      <c r="K165">
        <f>+VLOOKUP(E165,Costos!$A$1:$I$7161,9,FALSE)</f>
        <v>5.0953559999999998</v>
      </c>
      <c r="L165" t="str">
        <f t="shared" si="4"/>
        <v>243</v>
      </c>
      <c r="M165" t="str">
        <f t="shared" si="5"/>
        <v>243045</v>
      </c>
    </row>
    <row r="166" spans="1:13" x14ac:dyDescent="0.25">
      <c r="A166">
        <v>2110020095</v>
      </c>
      <c r="B166" t="s">
        <v>18</v>
      </c>
      <c r="C166">
        <v>2310180039</v>
      </c>
      <c r="D166" t="s">
        <v>62</v>
      </c>
      <c r="E166">
        <v>2310180048</v>
      </c>
      <c r="F166" t="s">
        <v>94</v>
      </c>
      <c r="G166" t="s">
        <v>89</v>
      </c>
      <c r="H166">
        <v>0.9</v>
      </c>
      <c r="I166">
        <v>3</v>
      </c>
      <c r="J166">
        <v>8000</v>
      </c>
      <c r="K166">
        <f>+VLOOKUP(E166,Costos!$A$1:$I$7161,9,FALSE)</f>
        <v>2.7850670000000002</v>
      </c>
      <c r="L166" t="str">
        <f t="shared" si="4"/>
        <v>231</v>
      </c>
      <c r="M166" t="str">
        <f t="shared" si="5"/>
        <v>231018</v>
      </c>
    </row>
    <row r="167" spans="1:13" x14ac:dyDescent="0.25">
      <c r="A167">
        <v>2110020095</v>
      </c>
      <c r="B167" t="s">
        <v>18</v>
      </c>
      <c r="C167">
        <v>2310180039</v>
      </c>
      <c r="D167" t="s">
        <v>62</v>
      </c>
      <c r="E167">
        <v>2410210003</v>
      </c>
      <c r="F167" t="s">
        <v>95</v>
      </c>
      <c r="G167" t="s">
        <v>89</v>
      </c>
      <c r="H167">
        <v>1.44</v>
      </c>
      <c r="I167">
        <v>3</v>
      </c>
      <c r="J167">
        <v>8000</v>
      </c>
      <c r="K167">
        <f>+VLOOKUP(E167,Costos!$A$1:$I$7161,9,FALSE)</f>
        <v>5.0519999999999996</v>
      </c>
      <c r="L167" t="str">
        <f t="shared" si="4"/>
        <v>241</v>
      </c>
      <c r="M167" t="str">
        <f t="shared" si="5"/>
        <v>241021</v>
      </c>
    </row>
    <row r="168" spans="1:13" x14ac:dyDescent="0.25">
      <c r="A168">
        <v>2110020095</v>
      </c>
      <c r="B168" t="s">
        <v>18</v>
      </c>
      <c r="C168">
        <v>2310180039</v>
      </c>
      <c r="D168" t="s">
        <v>62</v>
      </c>
      <c r="E168">
        <v>2410090267</v>
      </c>
      <c r="F168" t="s">
        <v>96</v>
      </c>
      <c r="G168" t="s">
        <v>89</v>
      </c>
      <c r="H168">
        <v>0.12239999999999999</v>
      </c>
      <c r="I168">
        <v>3</v>
      </c>
      <c r="J168">
        <v>8000</v>
      </c>
      <c r="K168">
        <f>+VLOOKUP(E168,Costos!$A$1:$I$7161,9,FALSE)</f>
        <v>125.553377</v>
      </c>
      <c r="L168" t="str">
        <f t="shared" si="4"/>
        <v>241</v>
      </c>
      <c r="M168" t="str">
        <f t="shared" si="5"/>
        <v>241009</v>
      </c>
    </row>
    <row r="169" spans="1:13" x14ac:dyDescent="0.25">
      <c r="A169">
        <v>2110020095</v>
      </c>
      <c r="B169" t="s">
        <v>18</v>
      </c>
      <c r="C169">
        <v>2310180039</v>
      </c>
      <c r="D169" t="s">
        <v>62</v>
      </c>
      <c r="E169">
        <v>2410090266</v>
      </c>
      <c r="F169" t="s">
        <v>100</v>
      </c>
      <c r="G169" t="s">
        <v>89</v>
      </c>
      <c r="H169">
        <v>9.3600000000000003E-2</v>
      </c>
      <c r="I169">
        <v>3</v>
      </c>
      <c r="J169">
        <v>8000</v>
      </c>
      <c r="K169">
        <f>+VLOOKUP(E169,Costos!$A$1:$I$7161,9,FALSE)</f>
        <v>163.744855</v>
      </c>
      <c r="L169" t="str">
        <f t="shared" si="4"/>
        <v>241</v>
      </c>
      <c r="M169" t="str">
        <f t="shared" si="5"/>
        <v>241009</v>
      </c>
    </row>
    <row r="170" spans="1:13" x14ac:dyDescent="0.25">
      <c r="A170">
        <v>2110020095</v>
      </c>
      <c r="B170" t="s">
        <v>18</v>
      </c>
      <c r="C170">
        <v>2310180039</v>
      </c>
      <c r="D170" t="s">
        <v>62</v>
      </c>
      <c r="E170">
        <v>2410090268</v>
      </c>
      <c r="F170" t="s">
        <v>97</v>
      </c>
      <c r="G170" t="s">
        <v>89</v>
      </c>
      <c r="H170">
        <v>2.1600000000000001E-2</v>
      </c>
      <c r="I170">
        <v>3</v>
      </c>
      <c r="J170">
        <v>8000</v>
      </c>
      <c r="K170">
        <f>+VLOOKUP(E170,Costos!$A$1:$I$7161,9,FALSE)</f>
        <v>138.307931</v>
      </c>
      <c r="L170" t="str">
        <f t="shared" si="4"/>
        <v>241</v>
      </c>
      <c r="M170" t="str">
        <f t="shared" si="5"/>
        <v>241009</v>
      </c>
    </row>
    <row r="171" spans="1:13" x14ac:dyDescent="0.25">
      <c r="A171">
        <v>2110020095</v>
      </c>
      <c r="B171" t="s">
        <v>18</v>
      </c>
      <c r="C171">
        <v>2310180039</v>
      </c>
      <c r="D171" t="s">
        <v>62</v>
      </c>
      <c r="E171">
        <v>2410090265</v>
      </c>
      <c r="F171" t="s">
        <v>103</v>
      </c>
      <c r="G171" t="s">
        <v>89</v>
      </c>
      <c r="H171">
        <v>5.04E-2</v>
      </c>
      <c r="I171">
        <v>3</v>
      </c>
      <c r="J171">
        <v>8000</v>
      </c>
      <c r="K171">
        <f>+VLOOKUP(E171,Costos!$A$1:$I$7161,9,FALSE)</f>
        <v>88.803754999999995</v>
      </c>
      <c r="L171" t="str">
        <f t="shared" si="4"/>
        <v>241</v>
      </c>
      <c r="M171" t="str">
        <f t="shared" si="5"/>
        <v>241009</v>
      </c>
    </row>
    <row r="172" spans="1:13" x14ac:dyDescent="0.25">
      <c r="A172">
        <v>2110020095</v>
      </c>
      <c r="B172" t="s">
        <v>18</v>
      </c>
      <c r="C172">
        <v>2310090447</v>
      </c>
      <c r="D172" t="s">
        <v>63</v>
      </c>
      <c r="E172">
        <v>2410090298</v>
      </c>
      <c r="F172" t="s">
        <v>106</v>
      </c>
      <c r="G172" t="s">
        <v>89</v>
      </c>
      <c r="H172">
        <v>0.51370000000000005</v>
      </c>
      <c r="I172">
        <v>3</v>
      </c>
      <c r="J172">
        <v>8000</v>
      </c>
      <c r="K172">
        <f>+VLOOKUP(E172,Costos!$A$1:$I$7161,9,FALSE)</f>
        <v>17.241623000000001</v>
      </c>
      <c r="L172" t="str">
        <f t="shared" si="4"/>
        <v>241</v>
      </c>
      <c r="M172" t="str">
        <f t="shared" si="5"/>
        <v>241009</v>
      </c>
    </row>
    <row r="173" spans="1:13" x14ac:dyDescent="0.25">
      <c r="A173">
        <v>2110020095</v>
      </c>
      <c r="B173" t="s">
        <v>18</v>
      </c>
      <c r="C173">
        <v>2310090447</v>
      </c>
      <c r="D173" t="s">
        <v>63</v>
      </c>
      <c r="E173">
        <v>2410290153</v>
      </c>
      <c r="F173" t="s">
        <v>90</v>
      </c>
      <c r="G173" t="s">
        <v>89</v>
      </c>
      <c r="H173">
        <v>26.56</v>
      </c>
      <c r="I173">
        <v>3</v>
      </c>
      <c r="J173">
        <v>8000</v>
      </c>
      <c r="K173">
        <f>+VLOOKUP(E173,Costos!$A$1:$I$7161,9,FALSE)</f>
        <v>4.8165199999999997</v>
      </c>
      <c r="L173" t="str">
        <f t="shared" si="4"/>
        <v>241</v>
      </c>
      <c r="M173" t="str">
        <f t="shared" si="5"/>
        <v>241029</v>
      </c>
    </row>
    <row r="174" spans="1:13" x14ac:dyDescent="0.25">
      <c r="A174">
        <v>2110020095</v>
      </c>
      <c r="B174" t="s">
        <v>18</v>
      </c>
      <c r="C174">
        <v>2310160476</v>
      </c>
      <c r="D174" t="s">
        <v>64</v>
      </c>
      <c r="E174">
        <v>2410090298</v>
      </c>
      <c r="F174" t="s">
        <v>106</v>
      </c>
      <c r="G174" t="s">
        <v>89</v>
      </c>
      <c r="H174">
        <v>4.4299999999999999E-2</v>
      </c>
      <c r="I174">
        <v>3</v>
      </c>
      <c r="J174">
        <v>8000</v>
      </c>
      <c r="K174">
        <f>+VLOOKUP(E174,Costos!$A$1:$I$7161,9,FALSE)</f>
        <v>17.241623000000001</v>
      </c>
      <c r="L174" t="str">
        <f t="shared" si="4"/>
        <v>241</v>
      </c>
      <c r="M174" t="str">
        <f t="shared" si="5"/>
        <v>241009</v>
      </c>
    </row>
    <row r="175" spans="1:13" x14ac:dyDescent="0.25">
      <c r="A175">
        <v>2110020095</v>
      </c>
      <c r="B175" t="s">
        <v>18</v>
      </c>
      <c r="C175">
        <v>2310160476</v>
      </c>
      <c r="D175" t="s">
        <v>64</v>
      </c>
      <c r="E175">
        <v>2410290626</v>
      </c>
      <c r="F175" t="s">
        <v>92</v>
      </c>
      <c r="G175" t="s">
        <v>89</v>
      </c>
      <c r="H175">
        <v>8.8000000000000007</v>
      </c>
      <c r="I175">
        <v>3</v>
      </c>
      <c r="J175">
        <v>8000</v>
      </c>
      <c r="K175">
        <f>+VLOOKUP(E175,Costos!$A$1:$I$7161,9,FALSE)</f>
        <v>4.362679</v>
      </c>
      <c r="L175" t="str">
        <f t="shared" si="4"/>
        <v>241</v>
      </c>
      <c r="M175" t="str">
        <f t="shared" si="5"/>
        <v>241029</v>
      </c>
    </row>
    <row r="176" spans="1:13" x14ac:dyDescent="0.25">
      <c r="A176">
        <v>2110020095</v>
      </c>
      <c r="B176" t="s">
        <v>18</v>
      </c>
      <c r="C176">
        <v>2310160488</v>
      </c>
      <c r="D176" t="s">
        <v>65</v>
      </c>
      <c r="E176">
        <v>2410090298</v>
      </c>
      <c r="F176" t="s">
        <v>106</v>
      </c>
      <c r="G176" t="s">
        <v>89</v>
      </c>
      <c r="H176">
        <v>6.3E-3</v>
      </c>
      <c r="I176">
        <v>3</v>
      </c>
      <c r="J176">
        <v>8000</v>
      </c>
      <c r="K176">
        <f>+VLOOKUP(E176,Costos!$A$1:$I$7161,9,FALSE)</f>
        <v>17.241623000000001</v>
      </c>
      <c r="L176" t="str">
        <f t="shared" si="4"/>
        <v>241</v>
      </c>
      <c r="M176" t="str">
        <f t="shared" si="5"/>
        <v>241009</v>
      </c>
    </row>
    <row r="177" spans="1:13" x14ac:dyDescent="0.25">
      <c r="A177">
        <v>2110020095</v>
      </c>
      <c r="B177" t="s">
        <v>18</v>
      </c>
      <c r="C177">
        <v>2310160488</v>
      </c>
      <c r="D177" t="s">
        <v>65</v>
      </c>
      <c r="E177">
        <v>2410290626</v>
      </c>
      <c r="F177" t="s">
        <v>92</v>
      </c>
      <c r="G177" t="s">
        <v>89</v>
      </c>
      <c r="H177">
        <v>7.1570999999999998</v>
      </c>
      <c r="I177">
        <v>3</v>
      </c>
      <c r="J177">
        <v>8000</v>
      </c>
      <c r="K177">
        <f>+VLOOKUP(E177,Costos!$A$1:$I$7161,9,FALSE)</f>
        <v>4.362679</v>
      </c>
      <c r="L177" t="str">
        <f t="shared" si="4"/>
        <v>241</v>
      </c>
      <c r="M177" t="str">
        <f t="shared" si="5"/>
        <v>241029</v>
      </c>
    </row>
    <row r="178" spans="1:13" x14ac:dyDescent="0.25">
      <c r="A178">
        <v>2110020095</v>
      </c>
      <c r="B178" t="s">
        <v>18</v>
      </c>
      <c r="C178">
        <v>2310180047</v>
      </c>
      <c r="D178" t="s">
        <v>66</v>
      </c>
      <c r="E178">
        <v>2430450001</v>
      </c>
      <c r="F178" t="s">
        <v>93</v>
      </c>
      <c r="G178" t="s">
        <v>89</v>
      </c>
      <c r="H178">
        <v>0.72</v>
      </c>
      <c r="I178">
        <v>3</v>
      </c>
      <c r="J178">
        <v>8000</v>
      </c>
      <c r="K178">
        <f>+VLOOKUP(E178,Costos!$A$1:$I$7161,9,FALSE)</f>
        <v>5.0953559999999998</v>
      </c>
      <c r="L178" t="str">
        <f t="shared" si="4"/>
        <v>243</v>
      </c>
      <c r="M178" t="str">
        <f t="shared" si="5"/>
        <v>243045</v>
      </c>
    </row>
    <row r="179" spans="1:13" x14ac:dyDescent="0.25">
      <c r="A179">
        <v>2110020095</v>
      </c>
      <c r="B179" t="s">
        <v>18</v>
      </c>
      <c r="C179">
        <v>2310180047</v>
      </c>
      <c r="D179" t="s">
        <v>66</v>
      </c>
      <c r="E179">
        <v>2310180048</v>
      </c>
      <c r="F179" t="s">
        <v>94</v>
      </c>
      <c r="G179" t="s">
        <v>89</v>
      </c>
      <c r="H179">
        <v>0.9</v>
      </c>
      <c r="I179">
        <v>3</v>
      </c>
      <c r="J179">
        <v>8000</v>
      </c>
      <c r="K179">
        <f>+VLOOKUP(E179,Costos!$A$1:$I$7161,9,FALSE)</f>
        <v>2.7850670000000002</v>
      </c>
      <c r="L179" t="str">
        <f t="shared" si="4"/>
        <v>231</v>
      </c>
      <c r="M179" t="str">
        <f t="shared" si="5"/>
        <v>231018</v>
      </c>
    </row>
    <row r="180" spans="1:13" x14ac:dyDescent="0.25">
      <c r="A180">
        <v>2110020095</v>
      </c>
      <c r="B180" t="s">
        <v>18</v>
      </c>
      <c r="C180">
        <v>2310180047</v>
      </c>
      <c r="D180" t="s">
        <v>66</v>
      </c>
      <c r="E180">
        <v>2410210003</v>
      </c>
      <c r="F180" t="s">
        <v>95</v>
      </c>
      <c r="G180" t="s">
        <v>89</v>
      </c>
      <c r="H180">
        <v>1.44</v>
      </c>
      <c r="I180">
        <v>3</v>
      </c>
      <c r="J180">
        <v>8000</v>
      </c>
      <c r="K180">
        <f>+VLOOKUP(E180,Costos!$A$1:$I$7161,9,FALSE)</f>
        <v>5.0519999999999996</v>
      </c>
      <c r="L180" t="str">
        <f t="shared" si="4"/>
        <v>241</v>
      </c>
      <c r="M180" t="str">
        <f t="shared" si="5"/>
        <v>241021</v>
      </c>
    </row>
    <row r="181" spans="1:13" x14ac:dyDescent="0.25">
      <c r="A181">
        <v>2110020095</v>
      </c>
      <c r="B181" t="s">
        <v>18</v>
      </c>
      <c r="C181">
        <v>2310180047</v>
      </c>
      <c r="D181" t="s">
        <v>66</v>
      </c>
      <c r="E181">
        <v>2410090267</v>
      </c>
      <c r="F181" t="s">
        <v>96</v>
      </c>
      <c r="G181" t="s">
        <v>89</v>
      </c>
      <c r="H181">
        <v>9.4999999999999998E-3</v>
      </c>
      <c r="I181">
        <v>3</v>
      </c>
      <c r="J181">
        <v>8000</v>
      </c>
      <c r="K181">
        <f>+VLOOKUP(E181,Costos!$A$1:$I$7161,9,FALSE)</f>
        <v>125.553377</v>
      </c>
      <c r="L181" t="str">
        <f t="shared" si="4"/>
        <v>241</v>
      </c>
      <c r="M181" t="str">
        <f t="shared" si="5"/>
        <v>241009</v>
      </c>
    </row>
    <row r="182" spans="1:13" x14ac:dyDescent="0.25">
      <c r="A182">
        <v>2110020095</v>
      </c>
      <c r="B182" t="s">
        <v>18</v>
      </c>
      <c r="C182">
        <v>2310180047</v>
      </c>
      <c r="D182" t="s">
        <v>66</v>
      </c>
      <c r="E182">
        <v>2410090266</v>
      </c>
      <c r="F182" t="s">
        <v>100</v>
      </c>
      <c r="G182" t="s">
        <v>89</v>
      </c>
      <c r="H182">
        <v>0.25340000000000001</v>
      </c>
      <c r="I182">
        <v>3</v>
      </c>
      <c r="J182">
        <v>8000</v>
      </c>
      <c r="K182">
        <f>+VLOOKUP(E182,Costos!$A$1:$I$7161,9,FALSE)</f>
        <v>163.744855</v>
      </c>
      <c r="L182" t="str">
        <f t="shared" si="4"/>
        <v>241</v>
      </c>
      <c r="M182" t="str">
        <f t="shared" si="5"/>
        <v>241009</v>
      </c>
    </row>
    <row r="183" spans="1:13" x14ac:dyDescent="0.25">
      <c r="A183">
        <v>2110020095</v>
      </c>
      <c r="B183" t="s">
        <v>18</v>
      </c>
      <c r="C183">
        <v>2310090446</v>
      </c>
      <c r="D183" t="s">
        <v>67</v>
      </c>
      <c r="E183">
        <v>2410090163</v>
      </c>
      <c r="F183" t="s">
        <v>107</v>
      </c>
      <c r="G183" t="s">
        <v>89</v>
      </c>
      <c r="H183">
        <v>0.61639999999999995</v>
      </c>
      <c r="I183">
        <v>3</v>
      </c>
      <c r="J183">
        <v>8000</v>
      </c>
      <c r="K183">
        <f>+VLOOKUP(E183,Costos!$A$1:$I$7161,9,FALSE)</f>
        <v>50.463196000000003</v>
      </c>
      <c r="L183" t="str">
        <f t="shared" si="4"/>
        <v>241</v>
      </c>
      <c r="M183" t="str">
        <f t="shared" si="5"/>
        <v>241009</v>
      </c>
    </row>
    <row r="184" spans="1:13" x14ac:dyDescent="0.25">
      <c r="A184">
        <v>2110020095</v>
      </c>
      <c r="B184" t="s">
        <v>18</v>
      </c>
      <c r="C184">
        <v>2310090446</v>
      </c>
      <c r="D184" t="s">
        <v>67</v>
      </c>
      <c r="E184">
        <v>2410290153</v>
      </c>
      <c r="F184" t="s">
        <v>90</v>
      </c>
      <c r="G184" t="s">
        <v>89</v>
      </c>
      <c r="H184">
        <v>26.56</v>
      </c>
      <c r="I184">
        <v>3</v>
      </c>
      <c r="J184">
        <v>8000</v>
      </c>
      <c r="K184">
        <f>+VLOOKUP(E184,Costos!$A$1:$I$7161,9,FALSE)</f>
        <v>4.8165199999999997</v>
      </c>
      <c r="L184" t="str">
        <f t="shared" si="4"/>
        <v>241</v>
      </c>
      <c r="M184" t="str">
        <f t="shared" si="5"/>
        <v>241029</v>
      </c>
    </row>
    <row r="185" spans="1:13" x14ac:dyDescent="0.25">
      <c r="A185">
        <v>2110020095</v>
      </c>
      <c r="B185" t="s">
        <v>18</v>
      </c>
      <c r="C185">
        <v>2310160475</v>
      </c>
      <c r="D185" t="s">
        <v>68</v>
      </c>
      <c r="E185">
        <v>2410090163</v>
      </c>
      <c r="F185" t="s">
        <v>107</v>
      </c>
      <c r="G185" t="s">
        <v>89</v>
      </c>
      <c r="H185">
        <v>0.21890000000000001</v>
      </c>
      <c r="I185">
        <v>3</v>
      </c>
      <c r="J185">
        <v>8000</v>
      </c>
      <c r="K185">
        <f>+VLOOKUP(E185,Costos!$A$1:$I$7161,9,FALSE)</f>
        <v>50.463196000000003</v>
      </c>
      <c r="L185" t="str">
        <f t="shared" si="4"/>
        <v>241</v>
      </c>
      <c r="M185" t="str">
        <f t="shared" si="5"/>
        <v>241009</v>
      </c>
    </row>
    <row r="186" spans="1:13" x14ac:dyDescent="0.25">
      <c r="A186">
        <v>2110020095</v>
      </c>
      <c r="B186" t="s">
        <v>18</v>
      </c>
      <c r="C186">
        <v>2310160475</v>
      </c>
      <c r="D186" t="s">
        <v>68</v>
      </c>
      <c r="E186">
        <v>2410290624</v>
      </c>
      <c r="F186" t="s">
        <v>91</v>
      </c>
      <c r="G186" t="s">
        <v>89</v>
      </c>
      <c r="H186">
        <v>9.1196000000000002</v>
      </c>
      <c r="I186">
        <v>3</v>
      </c>
      <c r="J186">
        <v>8000</v>
      </c>
      <c r="K186">
        <f>+VLOOKUP(E186,Costos!$A$1:$I$7161,9,FALSE)</f>
        <v>4.3038160000000003</v>
      </c>
      <c r="L186" t="str">
        <f t="shared" si="4"/>
        <v>241</v>
      </c>
      <c r="M186" t="str">
        <f t="shared" si="5"/>
        <v>241029</v>
      </c>
    </row>
    <row r="187" spans="1:13" x14ac:dyDescent="0.25">
      <c r="A187">
        <v>2110020095</v>
      </c>
      <c r="B187" t="s">
        <v>18</v>
      </c>
      <c r="C187">
        <v>2310160487</v>
      </c>
      <c r="D187" t="s">
        <v>69</v>
      </c>
      <c r="E187">
        <v>2410090163</v>
      </c>
      <c r="F187" t="s">
        <v>107</v>
      </c>
      <c r="G187" t="s">
        <v>89</v>
      </c>
      <c r="H187">
        <v>0.16900000000000001</v>
      </c>
      <c r="I187">
        <v>3</v>
      </c>
      <c r="J187">
        <v>8000</v>
      </c>
      <c r="K187">
        <f>+VLOOKUP(E187,Costos!$A$1:$I$7161,9,FALSE)</f>
        <v>50.463196000000003</v>
      </c>
      <c r="L187" t="str">
        <f t="shared" si="4"/>
        <v>241</v>
      </c>
      <c r="M187" t="str">
        <f t="shared" si="5"/>
        <v>241009</v>
      </c>
    </row>
    <row r="188" spans="1:13" x14ac:dyDescent="0.25">
      <c r="A188">
        <v>2110020095</v>
      </c>
      <c r="B188" t="s">
        <v>18</v>
      </c>
      <c r="C188">
        <v>2310160487</v>
      </c>
      <c r="D188" t="s">
        <v>69</v>
      </c>
      <c r="E188">
        <v>2410290626</v>
      </c>
      <c r="F188" t="s">
        <v>92</v>
      </c>
      <c r="G188" t="s">
        <v>89</v>
      </c>
      <c r="H188">
        <v>7.12</v>
      </c>
      <c r="I188">
        <v>3</v>
      </c>
      <c r="J188">
        <v>8000</v>
      </c>
      <c r="K188">
        <f>+VLOOKUP(E188,Costos!$A$1:$I$7161,9,FALSE)</f>
        <v>4.362679</v>
      </c>
      <c r="L188" t="str">
        <f t="shared" si="4"/>
        <v>241</v>
      </c>
      <c r="M188" t="str">
        <f t="shared" si="5"/>
        <v>241029</v>
      </c>
    </row>
    <row r="189" spans="1:13" x14ac:dyDescent="0.25">
      <c r="A189">
        <v>2110020095</v>
      </c>
      <c r="B189" t="s">
        <v>18</v>
      </c>
      <c r="C189">
        <v>2310180050</v>
      </c>
      <c r="D189" t="s">
        <v>70</v>
      </c>
      <c r="E189">
        <v>2430450001</v>
      </c>
      <c r="F189" t="s">
        <v>93</v>
      </c>
      <c r="G189" t="s">
        <v>89</v>
      </c>
      <c r="H189">
        <v>0.72</v>
      </c>
      <c r="I189">
        <v>3</v>
      </c>
      <c r="J189">
        <v>8000</v>
      </c>
      <c r="K189">
        <f>+VLOOKUP(E189,Costos!$A$1:$I$7161,9,FALSE)</f>
        <v>5.0953559999999998</v>
      </c>
      <c r="L189" t="str">
        <f t="shared" si="4"/>
        <v>243</v>
      </c>
      <c r="M189" t="str">
        <f t="shared" si="5"/>
        <v>243045</v>
      </c>
    </row>
    <row r="190" spans="1:13" x14ac:dyDescent="0.25">
      <c r="A190">
        <v>2110020095</v>
      </c>
      <c r="B190" t="s">
        <v>18</v>
      </c>
      <c r="C190">
        <v>2310180050</v>
      </c>
      <c r="D190" t="s">
        <v>70</v>
      </c>
      <c r="E190">
        <v>2310180048</v>
      </c>
      <c r="F190" t="s">
        <v>94</v>
      </c>
      <c r="G190" t="s">
        <v>89</v>
      </c>
      <c r="H190">
        <v>0.9</v>
      </c>
      <c r="I190">
        <v>3</v>
      </c>
      <c r="J190">
        <v>8000</v>
      </c>
      <c r="K190">
        <f>+VLOOKUP(E190,Costos!$A$1:$I$7161,9,FALSE)</f>
        <v>2.7850670000000002</v>
      </c>
      <c r="L190" t="str">
        <f t="shared" si="4"/>
        <v>231</v>
      </c>
      <c r="M190" t="str">
        <f t="shared" si="5"/>
        <v>231018</v>
      </c>
    </row>
    <row r="191" spans="1:13" x14ac:dyDescent="0.25">
      <c r="A191">
        <v>2110020095</v>
      </c>
      <c r="B191" t="s">
        <v>18</v>
      </c>
      <c r="C191">
        <v>2310180050</v>
      </c>
      <c r="D191" t="s">
        <v>70</v>
      </c>
      <c r="E191">
        <v>2410210003</v>
      </c>
      <c r="F191" t="s">
        <v>95</v>
      </c>
      <c r="G191" t="s">
        <v>89</v>
      </c>
      <c r="H191">
        <v>1.44</v>
      </c>
      <c r="I191">
        <v>3</v>
      </c>
      <c r="J191">
        <v>8000</v>
      </c>
      <c r="K191">
        <f>+VLOOKUP(E191,Costos!$A$1:$I$7161,9,FALSE)</f>
        <v>5.0519999999999996</v>
      </c>
      <c r="L191" t="str">
        <f t="shared" si="4"/>
        <v>241</v>
      </c>
      <c r="M191" t="str">
        <f t="shared" si="5"/>
        <v>241021</v>
      </c>
    </row>
    <row r="192" spans="1:13" x14ac:dyDescent="0.25">
      <c r="A192">
        <v>2110020095</v>
      </c>
      <c r="B192" t="s">
        <v>18</v>
      </c>
      <c r="C192">
        <v>2310180050</v>
      </c>
      <c r="D192" t="s">
        <v>70</v>
      </c>
      <c r="E192">
        <v>2410090246</v>
      </c>
      <c r="F192" t="s">
        <v>108</v>
      </c>
      <c r="G192" t="s">
        <v>89</v>
      </c>
      <c r="H192">
        <v>1.9800000000000002E-2</v>
      </c>
      <c r="I192">
        <v>3</v>
      </c>
      <c r="J192">
        <v>8000</v>
      </c>
      <c r="K192">
        <f>+VLOOKUP(E192,Costos!$A$1:$I$7161,9,FALSE)</f>
        <v>147.97090600000001</v>
      </c>
      <c r="L192" t="str">
        <f t="shared" si="4"/>
        <v>241</v>
      </c>
      <c r="M192" t="str">
        <f t="shared" si="5"/>
        <v>241009</v>
      </c>
    </row>
    <row r="193" spans="1:13" x14ac:dyDescent="0.25">
      <c r="A193">
        <v>2110020095</v>
      </c>
      <c r="B193" t="s">
        <v>18</v>
      </c>
      <c r="C193">
        <v>2310090507</v>
      </c>
      <c r="D193" t="s">
        <v>72</v>
      </c>
      <c r="E193">
        <v>2410090168</v>
      </c>
      <c r="F193" t="s">
        <v>109</v>
      </c>
      <c r="G193" t="s">
        <v>89</v>
      </c>
      <c r="H193">
        <v>0.51370000000000005</v>
      </c>
      <c r="I193">
        <v>3</v>
      </c>
      <c r="J193">
        <v>8000</v>
      </c>
      <c r="K193">
        <f>+VLOOKUP(E193,Costos!$A$1:$I$7161,9,FALSE)</f>
        <v>80.451408000000001</v>
      </c>
      <c r="L193" t="str">
        <f t="shared" si="4"/>
        <v>241</v>
      </c>
      <c r="M193" t="str">
        <f t="shared" si="5"/>
        <v>241009</v>
      </c>
    </row>
    <row r="194" spans="1:13" x14ac:dyDescent="0.25">
      <c r="A194">
        <v>2110020095</v>
      </c>
      <c r="B194" t="s">
        <v>18</v>
      </c>
      <c r="C194">
        <v>2310090507</v>
      </c>
      <c r="D194" t="s">
        <v>72</v>
      </c>
      <c r="E194">
        <v>2410290153</v>
      </c>
      <c r="F194" t="s">
        <v>90</v>
      </c>
      <c r="G194" t="s">
        <v>89</v>
      </c>
      <c r="H194">
        <v>26.56</v>
      </c>
      <c r="I194">
        <v>3</v>
      </c>
      <c r="J194">
        <v>8000</v>
      </c>
      <c r="K194">
        <f>+VLOOKUP(E194,Costos!$A$1:$I$7161,9,FALSE)</f>
        <v>4.8165199999999997</v>
      </c>
      <c r="L194" t="str">
        <f t="shared" si="4"/>
        <v>241</v>
      </c>
      <c r="M194" t="str">
        <f t="shared" si="5"/>
        <v>241029</v>
      </c>
    </row>
    <row r="195" spans="1:13" x14ac:dyDescent="0.25">
      <c r="A195">
        <v>2110020095</v>
      </c>
      <c r="B195" t="s">
        <v>18</v>
      </c>
      <c r="C195">
        <v>2310160500</v>
      </c>
      <c r="D195" t="s">
        <v>73</v>
      </c>
      <c r="E195">
        <v>2410290624</v>
      </c>
      <c r="F195" t="s">
        <v>91</v>
      </c>
      <c r="G195" t="s">
        <v>89</v>
      </c>
      <c r="H195">
        <v>9.1196000000000002</v>
      </c>
      <c r="I195">
        <v>3</v>
      </c>
      <c r="J195">
        <v>8000</v>
      </c>
      <c r="K195">
        <f>+VLOOKUP(E195,Costos!$A$1:$I$7161,9,FALSE)</f>
        <v>4.3038160000000003</v>
      </c>
      <c r="L195" t="str">
        <f t="shared" ref="L195:L238" si="6">+LEFT(E195,3)</f>
        <v>241</v>
      </c>
      <c r="M195" t="str">
        <f t="shared" ref="M195:M238" si="7">+LEFT(E195,6)</f>
        <v>241029</v>
      </c>
    </row>
    <row r="196" spans="1:13" x14ac:dyDescent="0.25">
      <c r="A196">
        <v>2110020095</v>
      </c>
      <c r="B196" t="s">
        <v>18</v>
      </c>
      <c r="C196">
        <v>2310160500</v>
      </c>
      <c r="D196" t="s">
        <v>73</v>
      </c>
      <c r="E196">
        <v>2410090168</v>
      </c>
      <c r="F196" t="s">
        <v>109</v>
      </c>
      <c r="G196" t="s">
        <v>89</v>
      </c>
      <c r="H196">
        <v>0.18240000000000001</v>
      </c>
      <c r="I196">
        <v>3</v>
      </c>
      <c r="J196">
        <v>8000</v>
      </c>
      <c r="K196">
        <f>+VLOOKUP(E196,Costos!$A$1:$I$7161,9,FALSE)</f>
        <v>80.451408000000001</v>
      </c>
      <c r="L196" t="str">
        <f t="shared" si="6"/>
        <v>241</v>
      </c>
      <c r="M196" t="str">
        <f t="shared" si="7"/>
        <v>241009</v>
      </c>
    </row>
    <row r="197" spans="1:13" x14ac:dyDescent="0.25">
      <c r="A197">
        <v>2110020095</v>
      </c>
      <c r="B197" t="s">
        <v>18</v>
      </c>
      <c r="C197">
        <v>2310160501</v>
      </c>
      <c r="D197" t="s">
        <v>74</v>
      </c>
      <c r="E197">
        <v>2410090168</v>
      </c>
      <c r="F197" t="s">
        <v>109</v>
      </c>
      <c r="G197" t="s">
        <v>89</v>
      </c>
      <c r="H197">
        <v>0.1409</v>
      </c>
      <c r="I197">
        <v>3</v>
      </c>
      <c r="J197">
        <v>8000</v>
      </c>
      <c r="K197">
        <f>+VLOOKUP(E197,Costos!$A$1:$I$7161,9,FALSE)</f>
        <v>80.451408000000001</v>
      </c>
      <c r="L197" t="str">
        <f t="shared" si="6"/>
        <v>241</v>
      </c>
      <c r="M197" t="str">
        <f t="shared" si="7"/>
        <v>241009</v>
      </c>
    </row>
    <row r="198" spans="1:13" x14ac:dyDescent="0.25">
      <c r="A198">
        <v>2110020095</v>
      </c>
      <c r="B198" t="s">
        <v>18</v>
      </c>
      <c r="C198">
        <v>2310160501</v>
      </c>
      <c r="D198" t="s">
        <v>74</v>
      </c>
      <c r="E198">
        <v>2410290626</v>
      </c>
      <c r="F198" t="s">
        <v>92</v>
      </c>
      <c r="G198" t="s">
        <v>89</v>
      </c>
      <c r="H198">
        <v>7.12</v>
      </c>
      <c r="I198">
        <v>3</v>
      </c>
      <c r="J198">
        <v>8000</v>
      </c>
      <c r="K198">
        <f>+VLOOKUP(E198,Costos!$A$1:$I$7161,9,FALSE)</f>
        <v>4.362679</v>
      </c>
      <c r="L198" t="str">
        <f t="shared" si="6"/>
        <v>241</v>
      </c>
      <c r="M198" t="str">
        <f t="shared" si="7"/>
        <v>241029</v>
      </c>
    </row>
    <row r="199" spans="1:13" x14ac:dyDescent="0.25">
      <c r="A199">
        <v>2110020095</v>
      </c>
      <c r="B199" t="s">
        <v>18</v>
      </c>
      <c r="C199">
        <v>2310180037</v>
      </c>
      <c r="D199" t="s">
        <v>75</v>
      </c>
      <c r="E199">
        <v>2430450001</v>
      </c>
      <c r="F199" t="s">
        <v>93</v>
      </c>
      <c r="G199" t="s">
        <v>89</v>
      </c>
      <c r="H199">
        <v>0.72</v>
      </c>
      <c r="I199">
        <v>3</v>
      </c>
      <c r="J199">
        <v>8000</v>
      </c>
      <c r="K199">
        <f>+VLOOKUP(E199,Costos!$A$1:$I$7161,9,FALSE)</f>
        <v>5.0953559999999998</v>
      </c>
      <c r="L199" t="str">
        <f t="shared" si="6"/>
        <v>243</v>
      </c>
      <c r="M199" t="str">
        <f t="shared" si="7"/>
        <v>243045</v>
      </c>
    </row>
    <row r="200" spans="1:13" x14ac:dyDescent="0.25">
      <c r="A200">
        <v>2110020095</v>
      </c>
      <c r="B200" t="s">
        <v>18</v>
      </c>
      <c r="C200">
        <v>2310180037</v>
      </c>
      <c r="D200" t="s">
        <v>75</v>
      </c>
      <c r="E200">
        <v>2310180048</v>
      </c>
      <c r="F200" t="s">
        <v>94</v>
      </c>
      <c r="G200" t="s">
        <v>89</v>
      </c>
      <c r="H200">
        <v>0.9</v>
      </c>
      <c r="I200">
        <v>3</v>
      </c>
      <c r="J200">
        <v>8000</v>
      </c>
      <c r="K200">
        <f>+VLOOKUP(E200,Costos!$A$1:$I$7161,9,FALSE)</f>
        <v>2.7850670000000002</v>
      </c>
      <c r="L200" t="str">
        <f t="shared" si="6"/>
        <v>231</v>
      </c>
      <c r="M200" t="str">
        <f t="shared" si="7"/>
        <v>231018</v>
      </c>
    </row>
    <row r="201" spans="1:13" x14ac:dyDescent="0.25">
      <c r="A201">
        <v>2110020095</v>
      </c>
      <c r="B201" t="s">
        <v>18</v>
      </c>
      <c r="C201">
        <v>2310180037</v>
      </c>
      <c r="D201" t="s">
        <v>75</v>
      </c>
      <c r="E201">
        <v>2410210003</v>
      </c>
      <c r="F201" t="s">
        <v>95</v>
      </c>
      <c r="G201" t="s">
        <v>89</v>
      </c>
      <c r="H201">
        <v>1.44</v>
      </c>
      <c r="I201">
        <v>3</v>
      </c>
      <c r="J201">
        <v>8000</v>
      </c>
      <c r="K201">
        <f>+VLOOKUP(E201,Costos!$A$1:$I$7161,9,FALSE)</f>
        <v>5.0519999999999996</v>
      </c>
      <c r="L201" t="str">
        <f t="shared" si="6"/>
        <v>241</v>
      </c>
      <c r="M201" t="str">
        <f t="shared" si="7"/>
        <v>241021</v>
      </c>
    </row>
    <row r="202" spans="1:13" x14ac:dyDescent="0.25">
      <c r="A202">
        <v>2110020095</v>
      </c>
      <c r="B202" t="s">
        <v>18</v>
      </c>
      <c r="C202">
        <v>2310180037</v>
      </c>
      <c r="D202" t="s">
        <v>75</v>
      </c>
      <c r="E202">
        <v>2410090268</v>
      </c>
      <c r="F202" t="s">
        <v>97</v>
      </c>
      <c r="G202" t="s">
        <v>89</v>
      </c>
      <c r="H202">
        <v>1.44E-2</v>
      </c>
      <c r="I202">
        <v>3</v>
      </c>
      <c r="J202">
        <v>8000</v>
      </c>
      <c r="K202">
        <f>+VLOOKUP(E202,Costos!$A$1:$I$7161,9,FALSE)</f>
        <v>138.307931</v>
      </c>
      <c r="L202" t="str">
        <f t="shared" si="6"/>
        <v>241</v>
      </c>
      <c r="M202" t="str">
        <f t="shared" si="7"/>
        <v>241009</v>
      </c>
    </row>
    <row r="203" spans="1:13" x14ac:dyDescent="0.25">
      <c r="A203">
        <v>2110020095</v>
      </c>
      <c r="B203" t="s">
        <v>18</v>
      </c>
      <c r="C203">
        <v>2310180037</v>
      </c>
      <c r="D203" t="s">
        <v>75</v>
      </c>
      <c r="E203">
        <v>2410090269</v>
      </c>
      <c r="F203" t="s">
        <v>98</v>
      </c>
      <c r="G203" t="s">
        <v>89</v>
      </c>
      <c r="H203">
        <v>0.12740000000000001</v>
      </c>
      <c r="I203">
        <v>3</v>
      </c>
      <c r="J203">
        <v>8000</v>
      </c>
      <c r="K203">
        <f>+VLOOKUP(E203,Costos!$A$1:$I$7161,9,FALSE)</f>
        <v>323.08498100000003</v>
      </c>
      <c r="L203" t="str">
        <f t="shared" si="6"/>
        <v>241</v>
      </c>
      <c r="M203" t="str">
        <f t="shared" si="7"/>
        <v>241009</v>
      </c>
    </row>
    <row r="204" spans="1:13" x14ac:dyDescent="0.25">
      <c r="A204">
        <v>2110020095</v>
      </c>
      <c r="B204" t="s">
        <v>18</v>
      </c>
      <c r="C204">
        <v>2310090448</v>
      </c>
      <c r="D204" t="s">
        <v>76</v>
      </c>
      <c r="E204">
        <v>2410090299</v>
      </c>
      <c r="F204" t="s">
        <v>110</v>
      </c>
      <c r="G204" t="s">
        <v>89</v>
      </c>
      <c r="H204">
        <v>0.51370000000000005</v>
      </c>
      <c r="I204">
        <v>3</v>
      </c>
      <c r="J204">
        <v>8000</v>
      </c>
      <c r="K204">
        <f>+VLOOKUP(E204,Costos!$A$1:$I$7161,9,FALSE)</f>
        <v>12.364929</v>
      </c>
      <c r="L204" t="str">
        <f t="shared" si="6"/>
        <v>241</v>
      </c>
      <c r="M204" t="str">
        <f t="shared" si="7"/>
        <v>241009</v>
      </c>
    </row>
    <row r="205" spans="1:13" x14ac:dyDescent="0.25">
      <c r="A205">
        <v>2110020095</v>
      </c>
      <c r="B205" t="s">
        <v>18</v>
      </c>
      <c r="C205">
        <v>2310090448</v>
      </c>
      <c r="D205" t="s">
        <v>76</v>
      </c>
      <c r="E205">
        <v>2410290153</v>
      </c>
      <c r="F205" t="s">
        <v>90</v>
      </c>
      <c r="G205" t="s">
        <v>89</v>
      </c>
      <c r="H205">
        <v>26.56</v>
      </c>
      <c r="I205">
        <v>3</v>
      </c>
      <c r="J205">
        <v>8000</v>
      </c>
      <c r="K205">
        <f>+VLOOKUP(E205,Costos!$A$1:$I$7161,9,FALSE)</f>
        <v>4.8165199999999997</v>
      </c>
      <c r="L205" t="str">
        <f t="shared" si="6"/>
        <v>241</v>
      </c>
      <c r="M205" t="str">
        <f t="shared" si="7"/>
        <v>241029</v>
      </c>
    </row>
    <row r="206" spans="1:13" x14ac:dyDescent="0.25">
      <c r="A206">
        <v>2110020095</v>
      </c>
      <c r="B206" t="s">
        <v>18</v>
      </c>
      <c r="C206">
        <v>2310160477</v>
      </c>
      <c r="D206" t="s">
        <v>77</v>
      </c>
      <c r="E206">
        <v>2410090299</v>
      </c>
      <c r="F206" t="s">
        <v>110</v>
      </c>
      <c r="G206" t="s">
        <v>89</v>
      </c>
      <c r="H206">
        <v>0.18240000000000001</v>
      </c>
      <c r="I206">
        <v>3</v>
      </c>
      <c r="J206">
        <v>8000</v>
      </c>
      <c r="K206">
        <f>+VLOOKUP(E206,Costos!$A$1:$I$7161,9,FALSE)</f>
        <v>12.364929</v>
      </c>
      <c r="L206" t="str">
        <f t="shared" si="6"/>
        <v>241</v>
      </c>
      <c r="M206" t="str">
        <f t="shared" si="7"/>
        <v>241009</v>
      </c>
    </row>
    <row r="207" spans="1:13" x14ac:dyDescent="0.25">
      <c r="A207">
        <v>2110020095</v>
      </c>
      <c r="B207" t="s">
        <v>18</v>
      </c>
      <c r="C207">
        <v>2310160477</v>
      </c>
      <c r="D207" t="s">
        <v>77</v>
      </c>
      <c r="E207">
        <v>2410290624</v>
      </c>
      <c r="F207" t="s">
        <v>91</v>
      </c>
      <c r="G207" t="s">
        <v>89</v>
      </c>
      <c r="H207">
        <v>9.1196000000000002</v>
      </c>
      <c r="I207">
        <v>3</v>
      </c>
      <c r="J207">
        <v>8000</v>
      </c>
      <c r="K207">
        <f>+VLOOKUP(E207,Costos!$A$1:$I$7161,9,FALSE)</f>
        <v>4.3038160000000003</v>
      </c>
      <c r="L207" t="str">
        <f t="shared" si="6"/>
        <v>241</v>
      </c>
      <c r="M207" t="str">
        <f t="shared" si="7"/>
        <v>241029</v>
      </c>
    </row>
    <row r="208" spans="1:13" x14ac:dyDescent="0.25">
      <c r="A208">
        <v>2110020095</v>
      </c>
      <c r="B208" t="s">
        <v>18</v>
      </c>
      <c r="C208">
        <v>2310160489</v>
      </c>
      <c r="D208" t="s">
        <v>78</v>
      </c>
      <c r="E208">
        <v>2410090299</v>
      </c>
      <c r="F208" t="s">
        <v>110</v>
      </c>
      <c r="G208" t="s">
        <v>89</v>
      </c>
      <c r="H208">
        <v>0.1409</v>
      </c>
      <c r="I208">
        <v>3</v>
      </c>
      <c r="J208">
        <v>8000</v>
      </c>
      <c r="K208">
        <f>+VLOOKUP(E208,Costos!$A$1:$I$7161,9,FALSE)</f>
        <v>12.364929</v>
      </c>
      <c r="L208" t="str">
        <f t="shared" si="6"/>
        <v>241</v>
      </c>
      <c r="M208" t="str">
        <f t="shared" si="7"/>
        <v>241009</v>
      </c>
    </row>
    <row r="209" spans="1:13" x14ac:dyDescent="0.25">
      <c r="A209">
        <v>2110020095</v>
      </c>
      <c r="B209" t="s">
        <v>18</v>
      </c>
      <c r="C209">
        <v>2310160489</v>
      </c>
      <c r="D209" t="s">
        <v>78</v>
      </c>
      <c r="E209">
        <v>2410290626</v>
      </c>
      <c r="F209" t="s">
        <v>92</v>
      </c>
      <c r="G209" t="s">
        <v>89</v>
      </c>
      <c r="H209">
        <v>7.12</v>
      </c>
      <c r="I209">
        <v>3</v>
      </c>
      <c r="J209">
        <v>8000</v>
      </c>
      <c r="K209">
        <f>+VLOOKUP(E209,Costos!$A$1:$I$7161,9,FALSE)</f>
        <v>4.362679</v>
      </c>
      <c r="L209" t="str">
        <f t="shared" si="6"/>
        <v>241</v>
      </c>
      <c r="M209" t="str">
        <f t="shared" si="7"/>
        <v>241029</v>
      </c>
    </row>
    <row r="210" spans="1:13" x14ac:dyDescent="0.25">
      <c r="A210">
        <v>2110020095</v>
      </c>
      <c r="B210" t="s">
        <v>18</v>
      </c>
      <c r="C210">
        <v>2310180051</v>
      </c>
      <c r="D210" t="s">
        <v>79</v>
      </c>
      <c r="E210">
        <v>2430450001</v>
      </c>
      <c r="F210" t="s">
        <v>93</v>
      </c>
      <c r="G210" t="s">
        <v>89</v>
      </c>
      <c r="H210">
        <v>0.72</v>
      </c>
      <c r="I210">
        <v>3</v>
      </c>
      <c r="J210">
        <v>8000</v>
      </c>
      <c r="K210">
        <f>+VLOOKUP(E210,Costos!$A$1:$I$7161,9,FALSE)</f>
        <v>5.0953559999999998</v>
      </c>
      <c r="L210" t="str">
        <f t="shared" si="6"/>
        <v>243</v>
      </c>
      <c r="M210" t="str">
        <f t="shared" si="7"/>
        <v>243045</v>
      </c>
    </row>
    <row r="211" spans="1:13" x14ac:dyDescent="0.25">
      <c r="A211">
        <v>2110020095</v>
      </c>
      <c r="B211" t="s">
        <v>18</v>
      </c>
      <c r="C211">
        <v>2310180051</v>
      </c>
      <c r="D211" t="s">
        <v>79</v>
      </c>
      <c r="E211">
        <v>2310180048</v>
      </c>
      <c r="F211" t="s">
        <v>94</v>
      </c>
      <c r="G211" t="s">
        <v>89</v>
      </c>
      <c r="H211">
        <v>0.9</v>
      </c>
      <c r="I211">
        <v>3</v>
      </c>
      <c r="J211">
        <v>8000</v>
      </c>
      <c r="K211">
        <f>+VLOOKUP(E211,Costos!$A$1:$I$7161,9,FALSE)</f>
        <v>2.7850670000000002</v>
      </c>
      <c r="L211" t="str">
        <f t="shared" si="6"/>
        <v>231</v>
      </c>
      <c r="M211" t="str">
        <f t="shared" si="7"/>
        <v>231018</v>
      </c>
    </row>
    <row r="212" spans="1:13" x14ac:dyDescent="0.25">
      <c r="A212">
        <v>2110020095</v>
      </c>
      <c r="B212" t="s">
        <v>18</v>
      </c>
      <c r="C212">
        <v>2310180051</v>
      </c>
      <c r="D212" t="s">
        <v>79</v>
      </c>
      <c r="E212">
        <v>2410210003</v>
      </c>
      <c r="F212" t="s">
        <v>95</v>
      </c>
      <c r="G212" t="s">
        <v>89</v>
      </c>
      <c r="H212">
        <v>1.44</v>
      </c>
      <c r="I212">
        <v>3</v>
      </c>
      <c r="J212">
        <v>8000</v>
      </c>
      <c r="K212">
        <f>+VLOOKUP(E212,Costos!$A$1:$I$7161,9,FALSE)</f>
        <v>5.0519999999999996</v>
      </c>
      <c r="L212" t="str">
        <f t="shared" si="6"/>
        <v>241</v>
      </c>
      <c r="M212" t="str">
        <f t="shared" si="7"/>
        <v>241021</v>
      </c>
    </row>
    <row r="213" spans="1:13" x14ac:dyDescent="0.25">
      <c r="A213">
        <v>2110020095</v>
      </c>
      <c r="B213" t="s">
        <v>18</v>
      </c>
      <c r="C213">
        <v>2310180051</v>
      </c>
      <c r="D213" t="s">
        <v>79</v>
      </c>
      <c r="E213">
        <v>2410090268</v>
      </c>
      <c r="F213" t="s">
        <v>97</v>
      </c>
      <c r="G213" t="s">
        <v>89</v>
      </c>
      <c r="H213">
        <v>3.5999999999999997E-2</v>
      </c>
      <c r="I213">
        <v>3</v>
      </c>
      <c r="J213">
        <v>8000</v>
      </c>
      <c r="K213">
        <f>+VLOOKUP(E213,Costos!$A$1:$I$7161,9,FALSE)</f>
        <v>138.307931</v>
      </c>
      <c r="L213" t="str">
        <f t="shared" si="6"/>
        <v>241</v>
      </c>
      <c r="M213" t="str">
        <f t="shared" si="7"/>
        <v>241009</v>
      </c>
    </row>
    <row r="214" spans="1:13" x14ac:dyDescent="0.25">
      <c r="A214">
        <v>2110020095</v>
      </c>
      <c r="B214" t="s">
        <v>18</v>
      </c>
      <c r="C214">
        <v>2310090445</v>
      </c>
      <c r="D214" t="s">
        <v>80</v>
      </c>
      <c r="E214">
        <v>2410090300</v>
      </c>
      <c r="F214" t="s">
        <v>111</v>
      </c>
      <c r="G214" t="s">
        <v>89</v>
      </c>
      <c r="H214">
        <v>0.51370000000000005</v>
      </c>
      <c r="I214">
        <v>3</v>
      </c>
      <c r="J214">
        <v>8000</v>
      </c>
      <c r="K214">
        <f>+VLOOKUP(E214,Costos!$A$1:$I$7161,9,FALSE)</f>
        <v>17.620238000000001</v>
      </c>
      <c r="L214" t="str">
        <f t="shared" si="6"/>
        <v>241</v>
      </c>
      <c r="M214" t="str">
        <f t="shared" si="7"/>
        <v>241009</v>
      </c>
    </row>
    <row r="215" spans="1:13" x14ac:dyDescent="0.25">
      <c r="A215">
        <v>2110020095</v>
      </c>
      <c r="B215" t="s">
        <v>18</v>
      </c>
      <c r="C215">
        <v>2310090445</v>
      </c>
      <c r="D215" t="s">
        <v>80</v>
      </c>
      <c r="E215">
        <v>2410290153</v>
      </c>
      <c r="F215" t="s">
        <v>90</v>
      </c>
      <c r="G215" t="s">
        <v>89</v>
      </c>
      <c r="H215">
        <v>26.56</v>
      </c>
      <c r="I215">
        <v>3</v>
      </c>
      <c r="J215">
        <v>8000</v>
      </c>
      <c r="K215">
        <f>+VLOOKUP(E215,Costos!$A$1:$I$7161,9,FALSE)</f>
        <v>4.8165199999999997</v>
      </c>
      <c r="L215" t="str">
        <f t="shared" si="6"/>
        <v>241</v>
      </c>
      <c r="M215" t="str">
        <f t="shared" si="7"/>
        <v>241029</v>
      </c>
    </row>
    <row r="216" spans="1:13" x14ac:dyDescent="0.25">
      <c r="A216">
        <v>2110020095</v>
      </c>
      <c r="B216" t="s">
        <v>18</v>
      </c>
      <c r="C216">
        <v>2310160474</v>
      </c>
      <c r="D216" t="s">
        <v>81</v>
      </c>
      <c r="E216">
        <v>2410090300</v>
      </c>
      <c r="F216" t="s">
        <v>111</v>
      </c>
      <c r="G216" t="s">
        <v>89</v>
      </c>
      <c r="H216">
        <v>0.18240000000000001</v>
      </c>
      <c r="I216">
        <v>3</v>
      </c>
      <c r="J216">
        <v>8000</v>
      </c>
      <c r="K216">
        <f>+VLOOKUP(E216,Costos!$A$1:$I$7161,9,FALSE)</f>
        <v>17.620238000000001</v>
      </c>
      <c r="L216" t="str">
        <f t="shared" si="6"/>
        <v>241</v>
      </c>
      <c r="M216" t="str">
        <f t="shared" si="7"/>
        <v>241009</v>
      </c>
    </row>
    <row r="217" spans="1:13" x14ac:dyDescent="0.25">
      <c r="A217">
        <v>2110020095</v>
      </c>
      <c r="B217" t="s">
        <v>18</v>
      </c>
      <c r="C217">
        <v>2310160474</v>
      </c>
      <c r="D217" t="s">
        <v>81</v>
      </c>
      <c r="E217">
        <v>2410290624</v>
      </c>
      <c r="F217" t="s">
        <v>91</v>
      </c>
      <c r="G217" t="s">
        <v>89</v>
      </c>
      <c r="H217">
        <v>9.1196000000000002</v>
      </c>
      <c r="I217">
        <v>3</v>
      </c>
      <c r="J217">
        <v>8000</v>
      </c>
      <c r="K217">
        <f>+VLOOKUP(E217,Costos!$A$1:$I$7161,9,FALSE)</f>
        <v>4.3038160000000003</v>
      </c>
      <c r="L217" t="str">
        <f t="shared" si="6"/>
        <v>241</v>
      </c>
      <c r="M217" t="str">
        <f t="shared" si="7"/>
        <v>241029</v>
      </c>
    </row>
    <row r="218" spans="1:13" x14ac:dyDescent="0.25">
      <c r="A218">
        <v>2110020095</v>
      </c>
      <c r="B218" t="s">
        <v>18</v>
      </c>
      <c r="C218">
        <v>2310160486</v>
      </c>
      <c r="D218" t="s">
        <v>82</v>
      </c>
      <c r="E218">
        <v>2410090300</v>
      </c>
      <c r="F218" t="s">
        <v>111</v>
      </c>
      <c r="G218" t="s">
        <v>89</v>
      </c>
      <c r="H218">
        <v>0.1409</v>
      </c>
      <c r="I218">
        <v>3</v>
      </c>
      <c r="J218">
        <v>8000</v>
      </c>
      <c r="K218">
        <f>+VLOOKUP(E218,Costos!$A$1:$I$7161,9,FALSE)</f>
        <v>17.620238000000001</v>
      </c>
      <c r="L218" t="str">
        <f t="shared" si="6"/>
        <v>241</v>
      </c>
      <c r="M218" t="str">
        <f t="shared" si="7"/>
        <v>241009</v>
      </c>
    </row>
    <row r="219" spans="1:13" x14ac:dyDescent="0.25">
      <c r="A219">
        <v>2110020095</v>
      </c>
      <c r="B219" t="s">
        <v>18</v>
      </c>
      <c r="C219">
        <v>2310160486</v>
      </c>
      <c r="D219" t="s">
        <v>82</v>
      </c>
      <c r="E219">
        <v>2410290626</v>
      </c>
      <c r="F219" t="s">
        <v>92</v>
      </c>
      <c r="G219" t="s">
        <v>89</v>
      </c>
      <c r="H219">
        <v>7.12</v>
      </c>
      <c r="I219">
        <v>3</v>
      </c>
      <c r="J219">
        <v>8000</v>
      </c>
      <c r="K219">
        <f>+VLOOKUP(E219,Costos!$A$1:$I$7161,9,FALSE)</f>
        <v>4.362679</v>
      </c>
      <c r="L219" t="str">
        <f t="shared" si="6"/>
        <v>241</v>
      </c>
      <c r="M219" t="str">
        <f t="shared" si="7"/>
        <v>241029</v>
      </c>
    </row>
    <row r="220" spans="1:13" x14ac:dyDescent="0.25">
      <c r="A220">
        <v>2110020095</v>
      </c>
      <c r="B220" t="s">
        <v>18</v>
      </c>
      <c r="C220">
        <v>2310180045</v>
      </c>
      <c r="D220" t="s">
        <v>83</v>
      </c>
      <c r="E220">
        <v>2430450001</v>
      </c>
      <c r="F220" t="s">
        <v>93</v>
      </c>
      <c r="G220" t="s">
        <v>89</v>
      </c>
      <c r="H220">
        <v>0.72</v>
      </c>
      <c r="I220">
        <v>3</v>
      </c>
      <c r="J220">
        <v>8000</v>
      </c>
      <c r="K220">
        <f>+VLOOKUP(E220,Costos!$A$1:$I$7161,9,FALSE)</f>
        <v>5.0953559999999998</v>
      </c>
      <c r="L220" t="str">
        <f t="shared" si="6"/>
        <v>243</v>
      </c>
      <c r="M220" t="str">
        <f t="shared" si="7"/>
        <v>243045</v>
      </c>
    </row>
    <row r="221" spans="1:13" x14ac:dyDescent="0.25">
      <c r="A221">
        <v>2110020095</v>
      </c>
      <c r="B221" t="s">
        <v>18</v>
      </c>
      <c r="C221">
        <v>2310180045</v>
      </c>
      <c r="D221" t="s">
        <v>83</v>
      </c>
      <c r="E221">
        <v>2310180048</v>
      </c>
      <c r="F221" t="s">
        <v>94</v>
      </c>
      <c r="G221" t="s">
        <v>89</v>
      </c>
      <c r="H221">
        <v>0.9</v>
      </c>
      <c r="I221">
        <v>3</v>
      </c>
      <c r="J221">
        <v>8000</v>
      </c>
      <c r="K221">
        <f>+VLOOKUP(E221,Costos!$A$1:$I$7161,9,FALSE)</f>
        <v>2.7850670000000002</v>
      </c>
      <c r="L221" t="str">
        <f t="shared" si="6"/>
        <v>231</v>
      </c>
      <c r="M221" t="str">
        <f t="shared" si="7"/>
        <v>231018</v>
      </c>
    </row>
    <row r="222" spans="1:13" x14ac:dyDescent="0.25">
      <c r="A222">
        <v>2110020095</v>
      </c>
      <c r="B222" t="s">
        <v>18</v>
      </c>
      <c r="C222">
        <v>2310180045</v>
      </c>
      <c r="D222" t="s">
        <v>83</v>
      </c>
      <c r="E222">
        <v>2410210003</v>
      </c>
      <c r="F222" t="s">
        <v>95</v>
      </c>
      <c r="G222" t="s">
        <v>89</v>
      </c>
      <c r="H222">
        <v>1.44</v>
      </c>
      <c r="I222">
        <v>3</v>
      </c>
      <c r="J222">
        <v>8000</v>
      </c>
      <c r="K222">
        <f>+VLOOKUP(E222,Costos!$A$1:$I$7161,9,FALSE)</f>
        <v>5.0519999999999996</v>
      </c>
      <c r="L222" t="str">
        <f t="shared" si="6"/>
        <v>241</v>
      </c>
      <c r="M222" t="str">
        <f t="shared" si="7"/>
        <v>241021</v>
      </c>
    </row>
    <row r="223" spans="1:13" x14ac:dyDescent="0.25">
      <c r="A223">
        <v>2110020095</v>
      </c>
      <c r="B223" t="s">
        <v>18</v>
      </c>
      <c r="C223">
        <v>2310180045</v>
      </c>
      <c r="D223" t="s">
        <v>83</v>
      </c>
      <c r="E223">
        <v>2410090268</v>
      </c>
      <c r="F223" t="s">
        <v>97</v>
      </c>
      <c r="G223" t="s">
        <v>89</v>
      </c>
      <c r="H223">
        <v>2.5899999999999999E-2</v>
      </c>
      <c r="I223">
        <v>3</v>
      </c>
      <c r="J223">
        <v>8000</v>
      </c>
      <c r="K223">
        <f>+VLOOKUP(E223,Costos!$A$1:$I$7161,9,FALSE)</f>
        <v>138.307931</v>
      </c>
      <c r="L223" t="str">
        <f t="shared" si="6"/>
        <v>241</v>
      </c>
      <c r="M223" t="str">
        <f t="shared" si="7"/>
        <v>241009</v>
      </c>
    </row>
    <row r="224" spans="1:13" x14ac:dyDescent="0.25">
      <c r="A224">
        <v>2110020095</v>
      </c>
      <c r="B224" t="s">
        <v>18</v>
      </c>
      <c r="C224">
        <v>2310180045</v>
      </c>
      <c r="D224" t="s">
        <v>83</v>
      </c>
      <c r="E224">
        <v>2410090265</v>
      </c>
      <c r="F224" t="s">
        <v>103</v>
      </c>
      <c r="G224" t="s">
        <v>89</v>
      </c>
      <c r="H224">
        <v>0.23760000000000001</v>
      </c>
      <c r="I224">
        <v>3</v>
      </c>
      <c r="J224">
        <v>8000</v>
      </c>
      <c r="K224">
        <f>+VLOOKUP(E224,Costos!$A$1:$I$7161,9,FALSE)</f>
        <v>88.803754999999995</v>
      </c>
      <c r="L224" t="str">
        <f t="shared" si="6"/>
        <v>241</v>
      </c>
      <c r="M224" t="str">
        <f t="shared" si="7"/>
        <v>241009</v>
      </c>
    </row>
    <row r="225" spans="1:13" x14ac:dyDescent="0.25">
      <c r="A225">
        <v>2110020095</v>
      </c>
      <c r="B225" t="s">
        <v>18</v>
      </c>
      <c r="C225">
        <v>2310090450</v>
      </c>
      <c r="D225" t="s">
        <v>84</v>
      </c>
      <c r="E225">
        <v>2410090166</v>
      </c>
      <c r="F225" t="s">
        <v>112</v>
      </c>
      <c r="G225" t="s">
        <v>89</v>
      </c>
      <c r="H225">
        <v>0.51370000000000005</v>
      </c>
      <c r="I225">
        <v>3</v>
      </c>
      <c r="J225">
        <v>8000</v>
      </c>
      <c r="K225">
        <f>+VLOOKUP(E225,Costos!$A$1:$I$7161,9,FALSE)</f>
        <v>53.901384</v>
      </c>
      <c r="L225" t="str">
        <f t="shared" si="6"/>
        <v>241</v>
      </c>
      <c r="M225" t="str">
        <f t="shared" si="7"/>
        <v>241009</v>
      </c>
    </row>
    <row r="226" spans="1:13" x14ac:dyDescent="0.25">
      <c r="A226">
        <v>2110020095</v>
      </c>
      <c r="B226" t="s">
        <v>18</v>
      </c>
      <c r="C226">
        <v>2310090450</v>
      </c>
      <c r="D226" t="s">
        <v>84</v>
      </c>
      <c r="E226">
        <v>2410290153</v>
      </c>
      <c r="F226" t="s">
        <v>90</v>
      </c>
      <c r="G226" t="s">
        <v>89</v>
      </c>
      <c r="H226">
        <v>26.56</v>
      </c>
      <c r="I226">
        <v>3</v>
      </c>
      <c r="J226">
        <v>8000</v>
      </c>
      <c r="K226">
        <f>+VLOOKUP(E226,Costos!$A$1:$I$7161,9,FALSE)</f>
        <v>4.8165199999999997</v>
      </c>
      <c r="L226" t="str">
        <f t="shared" si="6"/>
        <v>241</v>
      </c>
      <c r="M226" t="str">
        <f t="shared" si="7"/>
        <v>241029</v>
      </c>
    </row>
    <row r="227" spans="1:13" x14ac:dyDescent="0.25">
      <c r="A227">
        <v>2110020095</v>
      </c>
      <c r="B227" t="s">
        <v>18</v>
      </c>
      <c r="C227">
        <v>2310160479</v>
      </c>
      <c r="D227" t="s">
        <v>85</v>
      </c>
      <c r="E227">
        <v>2410090166</v>
      </c>
      <c r="F227" t="s">
        <v>112</v>
      </c>
      <c r="G227" t="s">
        <v>89</v>
      </c>
      <c r="H227">
        <v>0.155</v>
      </c>
      <c r="I227">
        <v>3</v>
      </c>
      <c r="J227">
        <v>8000</v>
      </c>
      <c r="K227">
        <f>+VLOOKUP(E227,Costos!$A$1:$I$7161,9,FALSE)</f>
        <v>53.901384</v>
      </c>
      <c r="L227" t="str">
        <f t="shared" si="6"/>
        <v>241</v>
      </c>
      <c r="M227" t="str">
        <f t="shared" si="7"/>
        <v>241009</v>
      </c>
    </row>
    <row r="228" spans="1:13" x14ac:dyDescent="0.25">
      <c r="A228">
        <v>2110020095</v>
      </c>
      <c r="B228" t="s">
        <v>18</v>
      </c>
      <c r="C228">
        <v>2310160479</v>
      </c>
      <c r="D228" t="s">
        <v>85</v>
      </c>
      <c r="E228">
        <v>2410290624</v>
      </c>
      <c r="F228" t="s">
        <v>91</v>
      </c>
      <c r="G228" t="s">
        <v>89</v>
      </c>
      <c r="H228">
        <v>9.1196000000000002</v>
      </c>
      <c r="I228">
        <v>3</v>
      </c>
      <c r="J228">
        <v>8000</v>
      </c>
      <c r="K228">
        <f>+VLOOKUP(E228,Costos!$A$1:$I$7161,9,FALSE)</f>
        <v>4.3038160000000003</v>
      </c>
      <c r="L228" t="str">
        <f t="shared" si="6"/>
        <v>241</v>
      </c>
      <c r="M228" t="str">
        <f t="shared" si="7"/>
        <v>241029</v>
      </c>
    </row>
    <row r="229" spans="1:13" x14ac:dyDescent="0.25">
      <c r="A229">
        <v>2110020095</v>
      </c>
      <c r="B229" t="s">
        <v>18</v>
      </c>
      <c r="C229">
        <v>2310160491</v>
      </c>
      <c r="D229" t="s">
        <v>86</v>
      </c>
      <c r="E229">
        <v>2410090166</v>
      </c>
      <c r="F229" t="s">
        <v>112</v>
      </c>
      <c r="G229" t="s">
        <v>89</v>
      </c>
      <c r="H229">
        <v>9.8599999999999993E-2</v>
      </c>
      <c r="I229">
        <v>3</v>
      </c>
      <c r="J229">
        <v>8000</v>
      </c>
      <c r="K229">
        <f>+VLOOKUP(E229,Costos!$A$1:$I$7161,9,FALSE)</f>
        <v>53.901384</v>
      </c>
      <c r="L229" t="str">
        <f t="shared" si="6"/>
        <v>241</v>
      </c>
      <c r="M229" t="str">
        <f t="shared" si="7"/>
        <v>241009</v>
      </c>
    </row>
    <row r="230" spans="1:13" x14ac:dyDescent="0.25">
      <c r="A230">
        <v>2110020095</v>
      </c>
      <c r="B230" t="s">
        <v>18</v>
      </c>
      <c r="C230">
        <v>2310160491</v>
      </c>
      <c r="D230" t="s">
        <v>86</v>
      </c>
      <c r="E230">
        <v>2410290626</v>
      </c>
      <c r="F230" t="s">
        <v>92</v>
      </c>
      <c r="G230" t="s">
        <v>89</v>
      </c>
      <c r="H230">
        <v>7.12</v>
      </c>
      <c r="I230">
        <v>3</v>
      </c>
      <c r="J230">
        <v>8000</v>
      </c>
      <c r="K230">
        <f>+VLOOKUP(E230,Costos!$A$1:$I$7161,9,FALSE)</f>
        <v>4.362679</v>
      </c>
      <c r="L230" t="str">
        <f t="shared" si="6"/>
        <v>241</v>
      </c>
      <c r="M230" t="str">
        <f t="shared" si="7"/>
        <v>241029</v>
      </c>
    </row>
    <row r="231" spans="1:13" x14ac:dyDescent="0.25">
      <c r="A231">
        <v>2110020095</v>
      </c>
      <c r="B231" t="s">
        <v>18</v>
      </c>
      <c r="C231">
        <v>2310180040</v>
      </c>
      <c r="D231" t="s">
        <v>87</v>
      </c>
      <c r="E231">
        <v>2430450001</v>
      </c>
      <c r="F231" t="s">
        <v>93</v>
      </c>
      <c r="G231" t="s">
        <v>89</v>
      </c>
      <c r="H231">
        <v>0.72</v>
      </c>
      <c r="I231">
        <v>3</v>
      </c>
      <c r="J231">
        <v>8000</v>
      </c>
      <c r="K231">
        <f>+VLOOKUP(E231,Costos!$A$1:$I$7161,9,FALSE)</f>
        <v>5.0953559999999998</v>
      </c>
      <c r="L231" t="str">
        <f t="shared" si="6"/>
        <v>243</v>
      </c>
      <c r="M231" t="str">
        <f t="shared" si="7"/>
        <v>243045</v>
      </c>
    </row>
    <row r="232" spans="1:13" x14ac:dyDescent="0.25">
      <c r="A232">
        <v>2110020095</v>
      </c>
      <c r="B232" t="s">
        <v>18</v>
      </c>
      <c r="C232">
        <v>2310180040</v>
      </c>
      <c r="D232" t="s">
        <v>87</v>
      </c>
      <c r="E232">
        <v>2310180048</v>
      </c>
      <c r="F232" t="s">
        <v>94</v>
      </c>
      <c r="G232" t="s">
        <v>89</v>
      </c>
      <c r="H232">
        <v>0.9</v>
      </c>
      <c r="I232">
        <v>3</v>
      </c>
      <c r="J232">
        <v>8000</v>
      </c>
      <c r="K232">
        <f>+VLOOKUP(E232,Costos!$A$1:$I$7161,9,FALSE)</f>
        <v>2.7850670000000002</v>
      </c>
      <c r="L232" t="str">
        <f t="shared" si="6"/>
        <v>231</v>
      </c>
      <c r="M232" t="str">
        <f t="shared" si="7"/>
        <v>231018</v>
      </c>
    </row>
    <row r="233" spans="1:13" x14ac:dyDescent="0.25">
      <c r="A233">
        <v>2110020095</v>
      </c>
      <c r="B233" t="s">
        <v>18</v>
      </c>
      <c r="C233">
        <v>2310180040</v>
      </c>
      <c r="D233" t="s">
        <v>87</v>
      </c>
      <c r="E233">
        <v>2410210003</v>
      </c>
      <c r="F233" t="s">
        <v>95</v>
      </c>
      <c r="G233" t="s">
        <v>89</v>
      </c>
      <c r="H233">
        <v>1.44</v>
      </c>
      <c r="I233">
        <v>3</v>
      </c>
      <c r="J233">
        <v>8000</v>
      </c>
      <c r="K233">
        <f>+VLOOKUP(E233,Costos!$A$1:$I$7161,9,FALSE)</f>
        <v>5.0519999999999996</v>
      </c>
      <c r="L233" t="str">
        <f t="shared" si="6"/>
        <v>241</v>
      </c>
      <c r="M233" t="str">
        <f t="shared" si="7"/>
        <v>241021</v>
      </c>
    </row>
    <row r="234" spans="1:13" x14ac:dyDescent="0.25">
      <c r="A234">
        <v>2110020095</v>
      </c>
      <c r="B234" t="s">
        <v>18</v>
      </c>
      <c r="C234">
        <v>2310180040</v>
      </c>
      <c r="D234" t="s">
        <v>87</v>
      </c>
      <c r="E234">
        <v>2410090267</v>
      </c>
      <c r="F234" t="s">
        <v>96</v>
      </c>
      <c r="G234" t="s">
        <v>89</v>
      </c>
      <c r="H234">
        <v>2.1600000000000001E-2</v>
      </c>
      <c r="I234">
        <v>3</v>
      </c>
      <c r="J234">
        <v>8000</v>
      </c>
      <c r="K234">
        <f>+VLOOKUP(E234,Costos!$A$1:$I$7161,9,FALSE)</f>
        <v>125.553377</v>
      </c>
      <c r="L234" t="str">
        <f t="shared" si="6"/>
        <v>241</v>
      </c>
      <c r="M234" t="str">
        <f t="shared" si="7"/>
        <v>241009</v>
      </c>
    </row>
    <row r="235" spans="1:13" x14ac:dyDescent="0.25">
      <c r="A235">
        <v>2110020095</v>
      </c>
      <c r="B235" t="s">
        <v>18</v>
      </c>
      <c r="C235">
        <v>2310180040</v>
      </c>
      <c r="D235" t="s">
        <v>87</v>
      </c>
      <c r="E235">
        <v>2410090265</v>
      </c>
      <c r="F235" t="s">
        <v>103</v>
      </c>
      <c r="G235" t="s">
        <v>89</v>
      </c>
      <c r="H235">
        <v>7.1999999999999998E-3</v>
      </c>
      <c r="I235">
        <v>3</v>
      </c>
      <c r="J235">
        <v>8000</v>
      </c>
      <c r="K235">
        <f>+VLOOKUP(E235,Costos!$A$1:$I$7161,9,FALSE)</f>
        <v>88.803754999999995</v>
      </c>
      <c r="L235" t="str">
        <f t="shared" si="6"/>
        <v>241</v>
      </c>
      <c r="M235" t="str">
        <f t="shared" si="7"/>
        <v>241009</v>
      </c>
    </row>
    <row r="236" spans="1:13" x14ac:dyDescent="0.25">
      <c r="A236">
        <v>2110020095</v>
      </c>
      <c r="B236" t="s">
        <v>18</v>
      </c>
      <c r="C236">
        <v>2310180048</v>
      </c>
      <c r="D236" t="s">
        <v>94</v>
      </c>
      <c r="E236">
        <v>2410210019</v>
      </c>
      <c r="F236" t="s">
        <v>113</v>
      </c>
      <c r="G236" t="s">
        <v>89</v>
      </c>
      <c r="H236">
        <v>1.7999999999999999E-2</v>
      </c>
      <c r="I236">
        <v>4</v>
      </c>
      <c r="J236">
        <v>8000</v>
      </c>
      <c r="K236">
        <f>+VLOOKUP(E236,Costos!$A$1:$I$7161,9,FALSE)</f>
        <v>7.5043049999999996</v>
      </c>
      <c r="L236" t="str">
        <f t="shared" si="6"/>
        <v>241</v>
      </c>
      <c r="M236" t="str">
        <f t="shared" si="7"/>
        <v>241021</v>
      </c>
    </row>
    <row r="237" spans="1:13" x14ac:dyDescent="0.25">
      <c r="A237">
        <v>2110020095</v>
      </c>
      <c r="B237" t="s">
        <v>18</v>
      </c>
      <c r="C237">
        <v>2310180048</v>
      </c>
      <c r="D237" t="s">
        <v>94</v>
      </c>
      <c r="E237">
        <v>2430930001</v>
      </c>
      <c r="F237" t="s">
        <v>114</v>
      </c>
      <c r="G237" t="s">
        <v>89</v>
      </c>
      <c r="H237">
        <v>0.45900000000000002</v>
      </c>
      <c r="I237">
        <v>4</v>
      </c>
      <c r="J237">
        <v>8000</v>
      </c>
      <c r="K237">
        <f>+VLOOKUP(E237,Costos!$A$1:$I$7161,9,FALSE)</f>
        <v>4.7685019999999998</v>
      </c>
      <c r="L237" t="str">
        <f t="shared" si="6"/>
        <v>243</v>
      </c>
      <c r="M237" t="str">
        <f t="shared" si="7"/>
        <v>243093</v>
      </c>
    </row>
    <row r="238" spans="1:13" x14ac:dyDescent="0.25">
      <c r="A238">
        <v>2110020095</v>
      </c>
      <c r="B238" t="s">
        <v>18</v>
      </c>
      <c r="C238">
        <v>2310180048</v>
      </c>
      <c r="D238" t="s">
        <v>94</v>
      </c>
      <c r="E238">
        <v>2430880022</v>
      </c>
      <c r="F238" t="s">
        <v>115</v>
      </c>
      <c r="G238" t="s">
        <v>89</v>
      </c>
      <c r="H238">
        <v>2.7000000000000001E-3</v>
      </c>
      <c r="I238">
        <v>4</v>
      </c>
      <c r="J238">
        <v>8000</v>
      </c>
      <c r="K238">
        <f>+VLOOKUP(E238,Costos!$A$1:$I$7161,9,FALSE)</f>
        <v>5.3984490000000003</v>
      </c>
      <c r="L238" t="str">
        <f t="shared" si="6"/>
        <v>243</v>
      </c>
      <c r="M238" t="str">
        <f t="shared" si="7"/>
        <v>243088</v>
      </c>
    </row>
    <row r="239" spans="1:13" x14ac:dyDescent="0.25">
      <c r="A239">
        <v>2140040002</v>
      </c>
      <c r="B239" t="s">
        <v>1519</v>
      </c>
      <c r="C239">
        <v>2140040002</v>
      </c>
      <c r="D239" t="s">
        <v>1519</v>
      </c>
      <c r="E239">
        <v>2310250019</v>
      </c>
      <c r="F239" t="s">
        <v>2632</v>
      </c>
      <c r="G239" t="s">
        <v>4871</v>
      </c>
      <c r="H239">
        <v>20000</v>
      </c>
      <c r="I239">
        <v>1</v>
      </c>
      <c r="J239">
        <v>120000</v>
      </c>
      <c r="K239">
        <f>+VLOOKUP(E239,Costos!$A$1:$I$7161,9,FALSE)</f>
        <v>0.58613000000000004</v>
      </c>
      <c r="L239" t="str">
        <f t="shared" ref="L239:L302" si="8">+LEFT(E239,3)</f>
        <v>231</v>
      </c>
      <c r="M239" t="str">
        <f t="shared" ref="M239:M302" si="9">+LEFT(E239,6)</f>
        <v>231025</v>
      </c>
    </row>
    <row r="240" spans="1:13" x14ac:dyDescent="0.25">
      <c r="A240">
        <v>2140040002</v>
      </c>
      <c r="B240" t="s">
        <v>1519</v>
      </c>
      <c r="C240">
        <v>2310250019</v>
      </c>
      <c r="D240" t="s">
        <v>2632</v>
      </c>
      <c r="E240">
        <v>2310160005</v>
      </c>
      <c r="F240" t="s">
        <v>2360</v>
      </c>
      <c r="G240" t="s">
        <v>4871</v>
      </c>
      <c r="H240">
        <v>20000</v>
      </c>
      <c r="I240">
        <v>2</v>
      </c>
      <c r="J240">
        <v>120000</v>
      </c>
      <c r="K240">
        <f>+VLOOKUP(E240,Costos!$A$1:$I$7161,9,FALSE)</f>
        <v>3.9544000000000003E-2</v>
      </c>
      <c r="L240" t="str">
        <f t="shared" si="8"/>
        <v>231</v>
      </c>
      <c r="M240" t="str">
        <f t="shared" si="9"/>
        <v>231016</v>
      </c>
    </row>
    <row r="241" spans="1:13" x14ac:dyDescent="0.25">
      <c r="A241">
        <v>2140040002</v>
      </c>
      <c r="B241" t="s">
        <v>1519</v>
      </c>
      <c r="C241">
        <v>2310160005</v>
      </c>
      <c r="D241" t="s">
        <v>2360</v>
      </c>
      <c r="E241">
        <v>2410290575</v>
      </c>
      <c r="F241" t="s">
        <v>3422</v>
      </c>
      <c r="G241" t="s">
        <v>71</v>
      </c>
      <c r="H241">
        <v>64.588200000000001</v>
      </c>
      <c r="I241">
        <v>3</v>
      </c>
      <c r="J241">
        <v>120000</v>
      </c>
      <c r="K241">
        <f>+VLOOKUP(E241,Costos!$A$1:$I$7161,9,FALSE)</f>
        <v>4.782578</v>
      </c>
      <c r="L241" t="str">
        <f t="shared" si="8"/>
        <v>241</v>
      </c>
      <c r="M241" t="str">
        <f t="shared" si="9"/>
        <v>241029</v>
      </c>
    </row>
    <row r="242" spans="1:13" x14ac:dyDescent="0.25">
      <c r="A242">
        <v>2140040002</v>
      </c>
      <c r="B242" t="s">
        <v>1519</v>
      </c>
      <c r="C242">
        <v>2310250019</v>
      </c>
      <c r="D242" t="s">
        <v>2632</v>
      </c>
      <c r="E242">
        <v>2310170002</v>
      </c>
      <c r="F242" t="s">
        <v>2512</v>
      </c>
      <c r="G242" t="s">
        <v>4871</v>
      </c>
      <c r="H242">
        <v>20000</v>
      </c>
      <c r="I242">
        <v>2</v>
      </c>
      <c r="J242">
        <v>120000</v>
      </c>
      <c r="K242">
        <f>+VLOOKUP(E242,Costos!$A$1:$I$7161,9,FALSE)</f>
        <v>4.6299E-2</v>
      </c>
      <c r="L242" t="str">
        <f t="shared" si="8"/>
        <v>231</v>
      </c>
      <c r="M242" t="str">
        <f t="shared" si="9"/>
        <v>231017</v>
      </c>
    </row>
    <row r="243" spans="1:13" x14ac:dyDescent="0.25">
      <c r="A243">
        <v>2140040002</v>
      </c>
      <c r="B243" t="s">
        <v>1519</v>
      </c>
      <c r="C243">
        <v>2310170002</v>
      </c>
      <c r="D243" t="s">
        <v>2512</v>
      </c>
      <c r="E243">
        <v>2410290575</v>
      </c>
      <c r="F243" t="s">
        <v>3422</v>
      </c>
      <c r="G243" t="s">
        <v>71</v>
      </c>
      <c r="H243">
        <v>99.632300000000001</v>
      </c>
      <c r="I243">
        <v>3</v>
      </c>
      <c r="J243">
        <v>120000</v>
      </c>
      <c r="K243">
        <f>+VLOOKUP(E243,Costos!$A$1:$I$7161,9,FALSE)</f>
        <v>4.782578</v>
      </c>
      <c r="L243" t="str">
        <f t="shared" si="8"/>
        <v>241</v>
      </c>
      <c r="M243" t="str">
        <f t="shared" si="9"/>
        <v>241029</v>
      </c>
    </row>
    <row r="244" spans="1:13" x14ac:dyDescent="0.25">
      <c r="A244">
        <v>2140040002</v>
      </c>
      <c r="B244" t="s">
        <v>1519</v>
      </c>
      <c r="C244">
        <v>2310250019</v>
      </c>
      <c r="D244" t="s">
        <v>2632</v>
      </c>
      <c r="E244">
        <v>2310250012</v>
      </c>
      <c r="F244" t="s">
        <v>2629</v>
      </c>
      <c r="G244" t="s">
        <v>4871</v>
      </c>
      <c r="H244">
        <v>582.27269999999999</v>
      </c>
      <c r="I244">
        <v>2</v>
      </c>
      <c r="J244">
        <v>120000</v>
      </c>
      <c r="K244">
        <f>+VLOOKUP(E244,Costos!$A$1:$I$7161,9,FALSE)</f>
        <v>10.778192000000001</v>
      </c>
      <c r="L244" t="str">
        <f t="shared" si="8"/>
        <v>231</v>
      </c>
      <c r="M244" t="str">
        <f t="shared" si="9"/>
        <v>231025</v>
      </c>
    </row>
    <row r="245" spans="1:13" x14ac:dyDescent="0.25">
      <c r="A245">
        <v>2140040002</v>
      </c>
      <c r="B245" t="s">
        <v>1519</v>
      </c>
      <c r="C245">
        <v>2310250012</v>
      </c>
      <c r="D245" t="s">
        <v>2629</v>
      </c>
      <c r="E245">
        <v>2430550009</v>
      </c>
      <c r="F245" t="s">
        <v>3639</v>
      </c>
      <c r="G245" t="s">
        <v>89</v>
      </c>
      <c r="H245">
        <v>194.08840000000001</v>
      </c>
      <c r="I245">
        <v>3</v>
      </c>
      <c r="J245">
        <v>120000</v>
      </c>
      <c r="K245">
        <f>+VLOOKUP(E245,Costos!$A$1:$I$7161,9,FALSE)</f>
        <v>1.6416980000000001</v>
      </c>
      <c r="L245" t="str">
        <f t="shared" si="8"/>
        <v>243</v>
      </c>
      <c r="M245" t="str">
        <f t="shared" si="9"/>
        <v>243055</v>
      </c>
    </row>
    <row r="246" spans="1:13" x14ac:dyDescent="0.25">
      <c r="A246">
        <v>2140040002</v>
      </c>
      <c r="B246" t="s">
        <v>1519</v>
      </c>
      <c r="C246">
        <v>2310250012</v>
      </c>
      <c r="D246" t="s">
        <v>2629</v>
      </c>
      <c r="E246">
        <v>2430330004</v>
      </c>
      <c r="F246" t="s">
        <v>3611</v>
      </c>
      <c r="G246" t="s">
        <v>89</v>
      </c>
      <c r="H246">
        <v>75.694500000000005</v>
      </c>
      <c r="I246">
        <v>3</v>
      </c>
      <c r="J246">
        <v>120000</v>
      </c>
      <c r="K246">
        <f>+VLOOKUP(E246,Costos!$A$1:$I$7161,9,FALSE)</f>
        <v>14.394951000000001</v>
      </c>
      <c r="L246" t="str">
        <f t="shared" si="8"/>
        <v>243</v>
      </c>
      <c r="M246" t="str">
        <f t="shared" si="9"/>
        <v>243033</v>
      </c>
    </row>
    <row r="247" spans="1:13" x14ac:dyDescent="0.25">
      <c r="A247">
        <v>2140040002</v>
      </c>
      <c r="B247" t="s">
        <v>1519</v>
      </c>
      <c r="C247">
        <v>2310250012</v>
      </c>
      <c r="D247" t="s">
        <v>2629</v>
      </c>
      <c r="E247">
        <v>2410120051</v>
      </c>
      <c r="F247" t="s">
        <v>3321</v>
      </c>
      <c r="G247" t="s">
        <v>89</v>
      </c>
      <c r="H247">
        <v>53.77</v>
      </c>
      <c r="I247">
        <v>3</v>
      </c>
      <c r="J247">
        <v>120000</v>
      </c>
      <c r="K247">
        <f>+VLOOKUP(E247,Costos!$A$1:$I$7161,9,FALSE)</f>
        <v>31.756435</v>
      </c>
      <c r="L247" t="str">
        <f t="shared" si="8"/>
        <v>241</v>
      </c>
      <c r="M247" t="str">
        <f t="shared" si="9"/>
        <v>241012</v>
      </c>
    </row>
    <row r="248" spans="1:13" x14ac:dyDescent="0.25">
      <c r="A248">
        <v>2140040002</v>
      </c>
      <c r="B248" t="s">
        <v>1519</v>
      </c>
      <c r="C248">
        <v>2310250012</v>
      </c>
      <c r="D248" t="s">
        <v>2629</v>
      </c>
      <c r="E248">
        <v>2430520005</v>
      </c>
      <c r="F248" t="s">
        <v>3631</v>
      </c>
      <c r="G248" t="s">
        <v>89</v>
      </c>
      <c r="H248">
        <v>3.4935999999999998</v>
      </c>
      <c r="I248">
        <v>3</v>
      </c>
      <c r="J248">
        <v>120000</v>
      </c>
      <c r="K248">
        <f>+VLOOKUP(E248,Costos!$A$1:$I$7161,9,FALSE)</f>
        <v>10.514614</v>
      </c>
      <c r="L248" t="str">
        <f t="shared" si="8"/>
        <v>243</v>
      </c>
      <c r="M248" t="str">
        <f t="shared" si="9"/>
        <v>243052</v>
      </c>
    </row>
    <row r="249" spans="1:13" x14ac:dyDescent="0.25">
      <c r="A249">
        <v>2140040002</v>
      </c>
      <c r="B249" t="s">
        <v>1519</v>
      </c>
      <c r="C249">
        <v>2310250012</v>
      </c>
      <c r="D249" t="s">
        <v>2629</v>
      </c>
      <c r="E249">
        <v>2430700001</v>
      </c>
      <c r="F249" t="s">
        <v>3666</v>
      </c>
      <c r="G249" t="s">
        <v>89</v>
      </c>
      <c r="H249">
        <v>8.734</v>
      </c>
      <c r="I249">
        <v>3</v>
      </c>
      <c r="J249">
        <v>120000</v>
      </c>
      <c r="K249">
        <f>+VLOOKUP(E249,Costos!$A$1:$I$7161,9,FALSE)</f>
        <v>21.535326999999999</v>
      </c>
      <c r="L249" t="str">
        <f t="shared" si="8"/>
        <v>243</v>
      </c>
      <c r="M249" t="str">
        <f t="shared" si="9"/>
        <v>243070</v>
      </c>
    </row>
    <row r="250" spans="1:13" x14ac:dyDescent="0.25">
      <c r="A250">
        <v>2140040002</v>
      </c>
      <c r="B250" t="s">
        <v>1519</v>
      </c>
      <c r="C250">
        <v>2310250012</v>
      </c>
      <c r="D250" t="s">
        <v>2629</v>
      </c>
      <c r="E250">
        <v>2430530004</v>
      </c>
      <c r="F250" t="s">
        <v>3633</v>
      </c>
      <c r="G250" t="s">
        <v>89</v>
      </c>
      <c r="H250">
        <v>97.044200000000004</v>
      </c>
      <c r="I250">
        <v>3</v>
      </c>
      <c r="J250">
        <v>120000</v>
      </c>
      <c r="K250">
        <f>+VLOOKUP(E250,Costos!$A$1:$I$7161,9,FALSE)</f>
        <v>0.49230200000000002</v>
      </c>
      <c r="L250" t="str">
        <f t="shared" si="8"/>
        <v>243</v>
      </c>
      <c r="M250" t="str">
        <f t="shared" si="9"/>
        <v>243053</v>
      </c>
    </row>
    <row r="251" spans="1:13" x14ac:dyDescent="0.25">
      <c r="A251">
        <v>2140040002</v>
      </c>
      <c r="B251" t="s">
        <v>1519</v>
      </c>
      <c r="C251">
        <v>2310250012</v>
      </c>
      <c r="D251" t="s">
        <v>2629</v>
      </c>
      <c r="E251">
        <v>2410120053</v>
      </c>
      <c r="F251" t="s">
        <v>3322</v>
      </c>
      <c r="G251" t="s">
        <v>89</v>
      </c>
      <c r="H251">
        <v>169.0258</v>
      </c>
      <c r="I251">
        <v>3</v>
      </c>
      <c r="J251">
        <v>120000</v>
      </c>
      <c r="K251">
        <f>+VLOOKUP(E251,Costos!$A$1:$I$7161,9,FALSE)</f>
        <v>7.6890970000000003</v>
      </c>
      <c r="L251" t="str">
        <f t="shared" si="8"/>
        <v>241</v>
      </c>
      <c r="M251" t="str">
        <f t="shared" si="9"/>
        <v>241012</v>
      </c>
    </row>
    <row r="252" spans="1:13" x14ac:dyDescent="0.25">
      <c r="A252">
        <v>2140040002</v>
      </c>
      <c r="B252" t="s">
        <v>1519</v>
      </c>
      <c r="C252">
        <v>2310250019</v>
      </c>
      <c r="D252" t="s">
        <v>2632</v>
      </c>
      <c r="E252">
        <v>2500070520</v>
      </c>
      <c r="F252" t="s">
        <v>3876</v>
      </c>
      <c r="G252" t="s">
        <v>4871</v>
      </c>
      <c r="H252">
        <v>20000</v>
      </c>
      <c r="I252">
        <v>2</v>
      </c>
      <c r="J252">
        <v>120000</v>
      </c>
      <c r="K252">
        <f>+VLOOKUP(E252,Costos!$A$1:$I$7161,9,FALSE)</f>
        <v>1.2921999999999999E-2</v>
      </c>
      <c r="L252" t="str">
        <f t="shared" si="8"/>
        <v>250</v>
      </c>
      <c r="M252" t="str">
        <f t="shared" si="9"/>
        <v>250007</v>
      </c>
    </row>
    <row r="253" spans="1:13" x14ac:dyDescent="0.25">
      <c r="A253">
        <v>2140040002</v>
      </c>
      <c r="B253" t="s">
        <v>1519</v>
      </c>
      <c r="C253">
        <v>2140040002</v>
      </c>
      <c r="D253" t="s">
        <v>1519</v>
      </c>
      <c r="E253">
        <v>2310250021</v>
      </c>
      <c r="F253" t="s">
        <v>2633</v>
      </c>
      <c r="G253" t="s">
        <v>4871</v>
      </c>
      <c r="H253">
        <v>20000</v>
      </c>
      <c r="I253">
        <v>1</v>
      </c>
      <c r="J253">
        <v>120000</v>
      </c>
      <c r="K253">
        <f>+VLOOKUP(E253,Costos!$A$1:$I$7161,9,FALSE)</f>
        <v>0.58654499999999998</v>
      </c>
      <c r="L253" t="str">
        <f t="shared" si="8"/>
        <v>231</v>
      </c>
      <c r="M253" t="str">
        <f t="shared" si="9"/>
        <v>231025</v>
      </c>
    </row>
    <row r="254" spans="1:13" x14ac:dyDescent="0.25">
      <c r="A254">
        <v>2140040002</v>
      </c>
      <c r="B254" t="s">
        <v>1519</v>
      </c>
      <c r="C254">
        <v>2310250021</v>
      </c>
      <c r="D254" t="s">
        <v>2633</v>
      </c>
      <c r="E254">
        <v>2310160005</v>
      </c>
      <c r="F254" t="s">
        <v>2360</v>
      </c>
      <c r="G254" t="s">
        <v>4871</v>
      </c>
      <c r="H254">
        <v>20000</v>
      </c>
      <c r="I254">
        <v>2</v>
      </c>
      <c r="J254">
        <v>120000</v>
      </c>
      <c r="K254">
        <f>+VLOOKUP(E254,Costos!$A$1:$I$7161,9,FALSE)</f>
        <v>3.9544000000000003E-2</v>
      </c>
      <c r="L254" t="str">
        <f t="shared" si="8"/>
        <v>231</v>
      </c>
      <c r="M254" t="str">
        <f t="shared" si="9"/>
        <v>231016</v>
      </c>
    </row>
    <row r="255" spans="1:13" x14ac:dyDescent="0.25">
      <c r="A255">
        <v>2140040002</v>
      </c>
      <c r="B255" t="s">
        <v>1519</v>
      </c>
      <c r="C255">
        <v>2310160005</v>
      </c>
      <c r="D255" t="s">
        <v>2360</v>
      </c>
      <c r="E255">
        <v>2410290575</v>
      </c>
      <c r="F255" t="s">
        <v>3422</v>
      </c>
      <c r="G255" t="s">
        <v>71</v>
      </c>
      <c r="H255">
        <v>64.588200000000001</v>
      </c>
      <c r="I255">
        <v>3</v>
      </c>
      <c r="J255">
        <v>120000</v>
      </c>
      <c r="K255">
        <f>+VLOOKUP(E255,Costos!$A$1:$I$7161,9,FALSE)</f>
        <v>4.782578</v>
      </c>
      <c r="L255" t="str">
        <f t="shared" si="8"/>
        <v>241</v>
      </c>
      <c r="M255" t="str">
        <f t="shared" si="9"/>
        <v>241029</v>
      </c>
    </row>
    <row r="256" spans="1:13" x14ac:dyDescent="0.25">
      <c r="A256">
        <v>2140040002</v>
      </c>
      <c r="B256" t="s">
        <v>1519</v>
      </c>
      <c r="C256">
        <v>2310250021</v>
      </c>
      <c r="D256" t="s">
        <v>2633</v>
      </c>
      <c r="E256">
        <v>2310170002</v>
      </c>
      <c r="F256" t="s">
        <v>2512</v>
      </c>
      <c r="G256" t="s">
        <v>4871</v>
      </c>
      <c r="H256">
        <v>20000</v>
      </c>
      <c r="I256">
        <v>2</v>
      </c>
      <c r="J256">
        <v>120000</v>
      </c>
      <c r="K256">
        <f>+VLOOKUP(E256,Costos!$A$1:$I$7161,9,FALSE)</f>
        <v>4.6299E-2</v>
      </c>
      <c r="L256" t="str">
        <f t="shared" si="8"/>
        <v>231</v>
      </c>
      <c r="M256" t="str">
        <f t="shared" si="9"/>
        <v>231017</v>
      </c>
    </row>
    <row r="257" spans="1:13" x14ac:dyDescent="0.25">
      <c r="A257">
        <v>2140040002</v>
      </c>
      <c r="B257" t="s">
        <v>1519</v>
      </c>
      <c r="C257">
        <v>2310170002</v>
      </c>
      <c r="D257" t="s">
        <v>2512</v>
      </c>
      <c r="E257">
        <v>2410290575</v>
      </c>
      <c r="F257" t="s">
        <v>3422</v>
      </c>
      <c r="G257" t="s">
        <v>71</v>
      </c>
      <c r="H257">
        <v>99.632300000000001</v>
      </c>
      <c r="I257">
        <v>3</v>
      </c>
      <c r="J257">
        <v>120000</v>
      </c>
      <c r="K257">
        <f>+VLOOKUP(E257,Costos!$A$1:$I$7161,9,FALSE)</f>
        <v>4.782578</v>
      </c>
      <c r="L257" t="str">
        <f t="shared" si="8"/>
        <v>241</v>
      </c>
      <c r="M257" t="str">
        <f t="shared" si="9"/>
        <v>241029</v>
      </c>
    </row>
    <row r="258" spans="1:13" x14ac:dyDescent="0.25">
      <c r="A258">
        <v>2140040002</v>
      </c>
      <c r="B258" t="s">
        <v>1519</v>
      </c>
      <c r="C258">
        <v>2310250021</v>
      </c>
      <c r="D258" t="s">
        <v>2633</v>
      </c>
      <c r="E258">
        <v>2310250009</v>
      </c>
      <c r="F258" t="s">
        <v>2628</v>
      </c>
      <c r="G258" t="s">
        <v>4871</v>
      </c>
      <c r="H258">
        <v>578.52440000000001</v>
      </c>
      <c r="I258">
        <v>2</v>
      </c>
      <c r="J258">
        <v>120000</v>
      </c>
      <c r="K258">
        <f>+VLOOKUP(E258,Costos!$A$1:$I$7161,9,FALSE)</f>
        <v>11.024381</v>
      </c>
      <c r="L258" t="str">
        <f t="shared" si="8"/>
        <v>231</v>
      </c>
      <c r="M258" t="str">
        <f t="shared" si="9"/>
        <v>231025</v>
      </c>
    </row>
    <row r="259" spans="1:13" x14ac:dyDescent="0.25">
      <c r="A259">
        <v>2140040002</v>
      </c>
      <c r="B259" t="s">
        <v>1519</v>
      </c>
      <c r="C259">
        <v>2310250009</v>
      </c>
      <c r="D259" t="s">
        <v>2628</v>
      </c>
      <c r="E259">
        <v>2430550009</v>
      </c>
      <c r="F259" t="s">
        <v>3639</v>
      </c>
      <c r="G259" t="s">
        <v>89</v>
      </c>
      <c r="H259">
        <v>192.8442</v>
      </c>
      <c r="I259">
        <v>3</v>
      </c>
      <c r="J259">
        <v>120000</v>
      </c>
      <c r="K259">
        <f>+VLOOKUP(E259,Costos!$A$1:$I$7161,9,FALSE)</f>
        <v>1.6416980000000001</v>
      </c>
      <c r="L259" t="str">
        <f t="shared" si="8"/>
        <v>243</v>
      </c>
      <c r="M259" t="str">
        <f t="shared" si="9"/>
        <v>243055</v>
      </c>
    </row>
    <row r="260" spans="1:13" x14ac:dyDescent="0.25">
      <c r="A260">
        <v>2140040002</v>
      </c>
      <c r="B260" t="s">
        <v>1519</v>
      </c>
      <c r="C260">
        <v>2310250009</v>
      </c>
      <c r="D260" t="s">
        <v>2628</v>
      </c>
      <c r="E260">
        <v>2430330004</v>
      </c>
      <c r="F260" t="s">
        <v>3611</v>
      </c>
      <c r="G260" t="s">
        <v>89</v>
      </c>
      <c r="H260">
        <v>75.209199999999996</v>
      </c>
      <c r="I260">
        <v>3</v>
      </c>
      <c r="J260">
        <v>120000</v>
      </c>
      <c r="K260">
        <f>+VLOOKUP(E260,Costos!$A$1:$I$7161,9,FALSE)</f>
        <v>14.394951000000001</v>
      </c>
      <c r="L260" t="str">
        <f t="shared" si="8"/>
        <v>243</v>
      </c>
      <c r="M260" t="str">
        <f t="shared" si="9"/>
        <v>243033</v>
      </c>
    </row>
    <row r="261" spans="1:13" x14ac:dyDescent="0.25">
      <c r="A261">
        <v>2140040002</v>
      </c>
      <c r="B261" t="s">
        <v>1519</v>
      </c>
      <c r="C261">
        <v>2310250009</v>
      </c>
      <c r="D261" t="s">
        <v>2628</v>
      </c>
      <c r="E261">
        <v>2410120051</v>
      </c>
      <c r="F261" t="s">
        <v>3321</v>
      </c>
      <c r="G261" t="s">
        <v>89</v>
      </c>
      <c r="H261">
        <v>53.409199999999998</v>
      </c>
      <c r="I261">
        <v>3</v>
      </c>
      <c r="J261">
        <v>120000</v>
      </c>
      <c r="K261">
        <f>+VLOOKUP(E261,Costos!$A$1:$I$7161,9,FALSE)</f>
        <v>31.756435</v>
      </c>
      <c r="L261" t="str">
        <f t="shared" si="8"/>
        <v>241</v>
      </c>
      <c r="M261" t="str">
        <f t="shared" si="9"/>
        <v>241012</v>
      </c>
    </row>
    <row r="262" spans="1:13" x14ac:dyDescent="0.25">
      <c r="A262">
        <v>2140040002</v>
      </c>
      <c r="B262" t="s">
        <v>1519</v>
      </c>
      <c r="C262">
        <v>2310250009</v>
      </c>
      <c r="D262" t="s">
        <v>2628</v>
      </c>
      <c r="E262">
        <v>2430520005</v>
      </c>
      <c r="F262" t="s">
        <v>3631</v>
      </c>
      <c r="G262" t="s">
        <v>89</v>
      </c>
      <c r="H262">
        <v>2.3146</v>
      </c>
      <c r="I262">
        <v>3</v>
      </c>
      <c r="J262">
        <v>120000</v>
      </c>
      <c r="K262">
        <f>+VLOOKUP(E262,Costos!$A$1:$I$7161,9,FALSE)</f>
        <v>10.514614</v>
      </c>
      <c r="L262" t="str">
        <f t="shared" si="8"/>
        <v>243</v>
      </c>
      <c r="M262" t="str">
        <f t="shared" si="9"/>
        <v>243052</v>
      </c>
    </row>
    <row r="263" spans="1:13" x14ac:dyDescent="0.25">
      <c r="A263">
        <v>2140040002</v>
      </c>
      <c r="B263" t="s">
        <v>1519</v>
      </c>
      <c r="C263">
        <v>2310250009</v>
      </c>
      <c r="D263" t="s">
        <v>2628</v>
      </c>
      <c r="E263">
        <v>2410090307</v>
      </c>
      <c r="F263" t="s">
        <v>3263</v>
      </c>
      <c r="G263" t="s">
        <v>89</v>
      </c>
      <c r="H263">
        <v>9.0637000000000008</v>
      </c>
      <c r="I263">
        <v>3</v>
      </c>
      <c r="J263">
        <v>120000</v>
      </c>
      <c r="K263">
        <f>+VLOOKUP(E263,Costos!$A$1:$I$7161,9,FALSE)</f>
        <v>40.108662000000002</v>
      </c>
      <c r="L263" t="str">
        <f t="shared" si="8"/>
        <v>241</v>
      </c>
      <c r="M263" t="str">
        <f t="shared" si="9"/>
        <v>241009</v>
      </c>
    </row>
    <row r="264" spans="1:13" x14ac:dyDescent="0.25">
      <c r="A264">
        <v>2140040002</v>
      </c>
      <c r="B264" t="s">
        <v>1519</v>
      </c>
      <c r="C264">
        <v>2310250009</v>
      </c>
      <c r="D264" t="s">
        <v>2628</v>
      </c>
      <c r="E264">
        <v>2430530004</v>
      </c>
      <c r="F264" t="s">
        <v>3633</v>
      </c>
      <c r="G264" t="s">
        <v>89</v>
      </c>
      <c r="H264">
        <v>96.4221</v>
      </c>
      <c r="I264">
        <v>3</v>
      </c>
      <c r="J264">
        <v>120000</v>
      </c>
      <c r="K264">
        <f>+VLOOKUP(E264,Costos!$A$1:$I$7161,9,FALSE)</f>
        <v>0.49230200000000002</v>
      </c>
      <c r="L264" t="str">
        <f t="shared" si="8"/>
        <v>243</v>
      </c>
      <c r="M264" t="str">
        <f t="shared" si="9"/>
        <v>243053</v>
      </c>
    </row>
    <row r="265" spans="1:13" x14ac:dyDescent="0.25">
      <c r="A265">
        <v>2140040002</v>
      </c>
      <c r="B265" t="s">
        <v>1519</v>
      </c>
      <c r="C265">
        <v>2310250009</v>
      </c>
      <c r="D265" t="s">
        <v>2628</v>
      </c>
      <c r="E265">
        <v>2410120053</v>
      </c>
      <c r="F265" t="s">
        <v>3322</v>
      </c>
      <c r="G265" t="s">
        <v>3209</v>
      </c>
      <c r="H265">
        <v>168.81460000000001</v>
      </c>
      <c r="I265">
        <v>3</v>
      </c>
      <c r="J265">
        <v>120000</v>
      </c>
      <c r="K265">
        <f>+VLOOKUP(E265,Costos!$A$1:$I$7161,9,FALSE)</f>
        <v>7.6890970000000003</v>
      </c>
      <c r="L265" t="str">
        <f t="shared" si="8"/>
        <v>241</v>
      </c>
      <c r="M265" t="str">
        <f t="shared" si="9"/>
        <v>241012</v>
      </c>
    </row>
    <row r="266" spans="1:13" x14ac:dyDescent="0.25">
      <c r="A266">
        <v>2140040002</v>
      </c>
      <c r="B266" t="s">
        <v>1519</v>
      </c>
      <c r="C266">
        <v>2310250021</v>
      </c>
      <c r="D266" t="s">
        <v>2633</v>
      </c>
      <c r="E266">
        <v>2500070520</v>
      </c>
      <c r="F266" t="s">
        <v>3876</v>
      </c>
      <c r="G266" t="s">
        <v>4871</v>
      </c>
      <c r="H266">
        <v>20000</v>
      </c>
      <c r="I266">
        <v>2</v>
      </c>
      <c r="J266">
        <v>120000</v>
      </c>
      <c r="K266">
        <f>+VLOOKUP(E266,Costos!$A$1:$I$7161,9,FALSE)</f>
        <v>1.2921999999999999E-2</v>
      </c>
      <c r="L266" t="str">
        <f t="shared" si="8"/>
        <v>250</v>
      </c>
      <c r="M266" t="str">
        <f t="shared" si="9"/>
        <v>250007</v>
      </c>
    </row>
    <row r="267" spans="1:13" x14ac:dyDescent="0.25">
      <c r="A267">
        <v>2140040002</v>
      </c>
      <c r="B267" t="s">
        <v>1519</v>
      </c>
      <c r="C267">
        <v>2140040002</v>
      </c>
      <c r="D267" t="s">
        <v>1519</v>
      </c>
      <c r="E267">
        <v>2310250022</v>
      </c>
      <c r="F267" t="s">
        <v>2634</v>
      </c>
      <c r="G267" t="s">
        <v>4871</v>
      </c>
      <c r="H267">
        <v>20000</v>
      </c>
      <c r="I267">
        <v>1</v>
      </c>
      <c r="J267">
        <v>120000</v>
      </c>
      <c r="K267">
        <f>+VLOOKUP(E267,Costos!$A$1:$I$7161,9,FALSE)</f>
        <v>0.6</v>
      </c>
      <c r="L267" t="str">
        <f t="shared" si="8"/>
        <v>231</v>
      </c>
      <c r="M267" t="str">
        <f t="shared" si="9"/>
        <v>231025</v>
      </c>
    </row>
    <row r="268" spans="1:13" x14ac:dyDescent="0.25">
      <c r="A268">
        <v>2140040002</v>
      </c>
      <c r="B268" t="s">
        <v>1519</v>
      </c>
      <c r="C268">
        <v>2310250022</v>
      </c>
      <c r="D268" t="s">
        <v>2634</v>
      </c>
      <c r="E268">
        <v>2310160005</v>
      </c>
      <c r="F268" t="s">
        <v>2360</v>
      </c>
      <c r="G268" t="s">
        <v>4871</v>
      </c>
      <c r="H268">
        <v>20000</v>
      </c>
      <c r="I268">
        <v>2</v>
      </c>
      <c r="J268">
        <v>120000</v>
      </c>
      <c r="K268">
        <f>+VLOOKUP(E268,Costos!$A$1:$I$7161,9,FALSE)</f>
        <v>3.9544000000000003E-2</v>
      </c>
      <c r="L268" t="str">
        <f t="shared" si="8"/>
        <v>231</v>
      </c>
      <c r="M268" t="str">
        <f t="shared" si="9"/>
        <v>231016</v>
      </c>
    </row>
    <row r="269" spans="1:13" x14ac:dyDescent="0.25">
      <c r="A269">
        <v>2140040002</v>
      </c>
      <c r="B269" t="s">
        <v>1519</v>
      </c>
      <c r="C269">
        <v>2310160005</v>
      </c>
      <c r="D269" t="s">
        <v>2360</v>
      </c>
      <c r="E269">
        <v>2410290575</v>
      </c>
      <c r="F269" t="s">
        <v>3422</v>
      </c>
      <c r="G269" t="s">
        <v>71</v>
      </c>
      <c r="H269">
        <v>64.588200000000001</v>
      </c>
      <c r="I269">
        <v>3</v>
      </c>
      <c r="J269">
        <v>120000</v>
      </c>
      <c r="K269">
        <f>+VLOOKUP(E269,Costos!$A$1:$I$7161,9,FALSE)</f>
        <v>4.782578</v>
      </c>
      <c r="L269" t="str">
        <f t="shared" si="8"/>
        <v>241</v>
      </c>
      <c r="M269" t="str">
        <f t="shared" si="9"/>
        <v>241029</v>
      </c>
    </row>
    <row r="270" spans="1:13" x14ac:dyDescent="0.25">
      <c r="A270">
        <v>2140040002</v>
      </c>
      <c r="B270" t="s">
        <v>1519</v>
      </c>
      <c r="C270">
        <v>2310250022</v>
      </c>
      <c r="D270" t="s">
        <v>2634</v>
      </c>
      <c r="E270">
        <v>2310170002</v>
      </c>
      <c r="F270" t="s">
        <v>2512</v>
      </c>
      <c r="G270" t="s">
        <v>4871</v>
      </c>
      <c r="H270">
        <v>20000</v>
      </c>
      <c r="I270">
        <v>2</v>
      </c>
      <c r="J270">
        <v>120000</v>
      </c>
      <c r="K270">
        <f>+VLOOKUP(E270,Costos!$A$1:$I$7161,9,FALSE)</f>
        <v>4.6299E-2</v>
      </c>
      <c r="L270" t="str">
        <f t="shared" si="8"/>
        <v>231</v>
      </c>
      <c r="M270" t="str">
        <f t="shared" si="9"/>
        <v>231017</v>
      </c>
    </row>
    <row r="271" spans="1:13" x14ac:dyDescent="0.25">
      <c r="A271">
        <v>2140040002</v>
      </c>
      <c r="B271" t="s">
        <v>1519</v>
      </c>
      <c r="C271">
        <v>2310170002</v>
      </c>
      <c r="D271" t="s">
        <v>2512</v>
      </c>
      <c r="E271">
        <v>2410290575</v>
      </c>
      <c r="F271" t="s">
        <v>3422</v>
      </c>
      <c r="G271" t="s">
        <v>71</v>
      </c>
      <c r="H271">
        <v>99.632300000000001</v>
      </c>
      <c r="I271">
        <v>3</v>
      </c>
      <c r="J271">
        <v>120000</v>
      </c>
      <c r="K271">
        <f>+VLOOKUP(E271,Costos!$A$1:$I$7161,9,FALSE)</f>
        <v>4.782578</v>
      </c>
      <c r="L271" t="str">
        <f t="shared" si="8"/>
        <v>241</v>
      </c>
      <c r="M271" t="str">
        <f t="shared" si="9"/>
        <v>241029</v>
      </c>
    </row>
    <row r="272" spans="1:13" x14ac:dyDescent="0.25">
      <c r="A272">
        <v>2140040002</v>
      </c>
      <c r="B272" t="s">
        <v>1519</v>
      </c>
      <c r="C272">
        <v>2310250022</v>
      </c>
      <c r="D272" t="s">
        <v>2634</v>
      </c>
      <c r="E272">
        <v>2310250007</v>
      </c>
      <c r="F272" t="s">
        <v>2627</v>
      </c>
      <c r="G272" t="s">
        <v>4871</v>
      </c>
      <c r="H272">
        <v>579.16769999999997</v>
      </c>
      <c r="I272">
        <v>2</v>
      </c>
      <c r="J272">
        <v>120000</v>
      </c>
      <c r="K272">
        <f>+VLOOKUP(E272,Costos!$A$1:$I$7161,9,FALSE)</f>
        <v>11.715456</v>
      </c>
      <c r="L272" t="str">
        <f t="shared" si="8"/>
        <v>231</v>
      </c>
      <c r="M272" t="str">
        <f t="shared" si="9"/>
        <v>231025</v>
      </c>
    </row>
    <row r="273" spans="1:13" x14ac:dyDescent="0.25">
      <c r="A273">
        <v>2140040002</v>
      </c>
      <c r="B273" t="s">
        <v>1519</v>
      </c>
      <c r="C273">
        <v>2310250007</v>
      </c>
      <c r="D273" t="s">
        <v>2627</v>
      </c>
      <c r="E273">
        <v>2430550009</v>
      </c>
      <c r="F273" t="s">
        <v>3639</v>
      </c>
      <c r="G273" t="s">
        <v>89</v>
      </c>
      <c r="H273">
        <v>193.05340000000001</v>
      </c>
      <c r="I273">
        <v>3</v>
      </c>
      <c r="J273">
        <v>120000</v>
      </c>
      <c r="K273">
        <f>+VLOOKUP(E273,Costos!$A$1:$I$7161,9,FALSE)</f>
        <v>1.6416980000000001</v>
      </c>
      <c r="L273" t="str">
        <f t="shared" si="8"/>
        <v>243</v>
      </c>
      <c r="M273" t="str">
        <f t="shared" si="9"/>
        <v>243055</v>
      </c>
    </row>
    <row r="274" spans="1:13" x14ac:dyDescent="0.25">
      <c r="A274">
        <v>2140040002</v>
      </c>
      <c r="B274" t="s">
        <v>1519</v>
      </c>
      <c r="C274">
        <v>2310250007</v>
      </c>
      <c r="D274" t="s">
        <v>2627</v>
      </c>
      <c r="E274">
        <v>2430330004</v>
      </c>
      <c r="F274" t="s">
        <v>3611</v>
      </c>
      <c r="G274" t="s">
        <v>89</v>
      </c>
      <c r="H274">
        <v>75.290800000000004</v>
      </c>
      <c r="I274">
        <v>3</v>
      </c>
      <c r="J274">
        <v>120000</v>
      </c>
      <c r="K274">
        <f>+VLOOKUP(E274,Costos!$A$1:$I$7161,9,FALSE)</f>
        <v>14.394951000000001</v>
      </c>
      <c r="L274" t="str">
        <f t="shared" si="8"/>
        <v>243</v>
      </c>
      <c r="M274" t="str">
        <f t="shared" si="9"/>
        <v>243033</v>
      </c>
    </row>
    <row r="275" spans="1:13" x14ac:dyDescent="0.25">
      <c r="A275">
        <v>2140040002</v>
      </c>
      <c r="B275" t="s">
        <v>1519</v>
      </c>
      <c r="C275">
        <v>2310250007</v>
      </c>
      <c r="D275" t="s">
        <v>2627</v>
      </c>
      <c r="E275">
        <v>2410120051</v>
      </c>
      <c r="F275" t="s">
        <v>3321</v>
      </c>
      <c r="G275" t="s">
        <v>89</v>
      </c>
      <c r="H275">
        <v>53.483199999999997</v>
      </c>
      <c r="I275">
        <v>3</v>
      </c>
      <c r="J275">
        <v>120000</v>
      </c>
      <c r="K275">
        <f>+VLOOKUP(E275,Costos!$A$1:$I$7161,9,FALSE)</f>
        <v>31.756435</v>
      </c>
      <c r="L275" t="str">
        <f t="shared" si="8"/>
        <v>241</v>
      </c>
      <c r="M275" t="str">
        <f t="shared" si="9"/>
        <v>241012</v>
      </c>
    </row>
    <row r="276" spans="1:13" x14ac:dyDescent="0.25">
      <c r="A276">
        <v>2140040002</v>
      </c>
      <c r="B276" t="s">
        <v>1519</v>
      </c>
      <c r="C276">
        <v>2310250007</v>
      </c>
      <c r="D276" t="s">
        <v>2627</v>
      </c>
      <c r="E276">
        <v>2430520005</v>
      </c>
      <c r="F276" t="s">
        <v>3631</v>
      </c>
      <c r="G276" t="s">
        <v>89</v>
      </c>
      <c r="H276">
        <v>1.9305000000000001</v>
      </c>
      <c r="I276">
        <v>3</v>
      </c>
      <c r="J276">
        <v>120000</v>
      </c>
      <c r="K276">
        <f>+VLOOKUP(E276,Costos!$A$1:$I$7161,9,FALSE)</f>
        <v>10.514614</v>
      </c>
      <c r="L276" t="str">
        <f t="shared" si="8"/>
        <v>243</v>
      </c>
      <c r="M276" t="str">
        <f t="shared" si="9"/>
        <v>243052</v>
      </c>
    </row>
    <row r="277" spans="1:13" x14ac:dyDescent="0.25">
      <c r="A277">
        <v>2140040002</v>
      </c>
      <c r="B277" t="s">
        <v>1519</v>
      </c>
      <c r="C277">
        <v>2310250007</v>
      </c>
      <c r="D277" t="s">
        <v>2627</v>
      </c>
      <c r="E277">
        <v>2410090106</v>
      </c>
      <c r="F277" t="s">
        <v>3228</v>
      </c>
      <c r="G277" t="s">
        <v>89</v>
      </c>
      <c r="H277">
        <v>8.6874000000000002</v>
      </c>
      <c r="I277">
        <v>3</v>
      </c>
      <c r="J277">
        <v>120000</v>
      </c>
      <c r="K277">
        <f>+VLOOKUP(E277,Costos!$A$1:$I$7161,9,FALSE)</f>
        <v>75.070250999999999</v>
      </c>
      <c r="L277" t="str">
        <f t="shared" si="8"/>
        <v>241</v>
      </c>
      <c r="M277" t="str">
        <f t="shared" si="9"/>
        <v>241009</v>
      </c>
    </row>
    <row r="278" spans="1:13" x14ac:dyDescent="0.25">
      <c r="A278">
        <v>2140040002</v>
      </c>
      <c r="B278" t="s">
        <v>1519</v>
      </c>
      <c r="C278">
        <v>2310250007</v>
      </c>
      <c r="D278" t="s">
        <v>2627</v>
      </c>
      <c r="E278">
        <v>2430530004</v>
      </c>
      <c r="F278" t="s">
        <v>3633</v>
      </c>
      <c r="G278" t="s">
        <v>89</v>
      </c>
      <c r="H278">
        <v>96.526700000000005</v>
      </c>
      <c r="I278">
        <v>3</v>
      </c>
      <c r="J278">
        <v>120000</v>
      </c>
      <c r="K278">
        <f>+VLOOKUP(E278,Costos!$A$1:$I$7161,9,FALSE)</f>
        <v>0.49230200000000002</v>
      </c>
      <c r="L278" t="str">
        <f t="shared" si="8"/>
        <v>243</v>
      </c>
      <c r="M278" t="str">
        <f t="shared" si="9"/>
        <v>243053</v>
      </c>
    </row>
    <row r="279" spans="1:13" x14ac:dyDescent="0.25">
      <c r="A279">
        <v>2140040002</v>
      </c>
      <c r="B279" t="s">
        <v>1519</v>
      </c>
      <c r="C279">
        <v>2310250007</v>
      </c>
      <c r="D279" t="s">
        <v>2627</v>
      </c>
      <c r="E279">
        <v>2410120053</v>
      </c>
      <c r="F279" t="s">
        <v>3322</v>
      </c>
      <c r="G279" t="s">
        <v>3209</v>
      </c>
      <c r="H279">
        <v>169.87119999999999</v>
      </c>
      <c r="I279">
        <v>3</v>
      </c>
      <c r="J279">
        <v>120000</v>
      </c>
      <c r="K279">
        <f>+VLOOKUP(E279,Costos!$A$1:$I$7161,9,FALSE)</f>
        <v>7.6890970000000003</v>
      </c>
      <c r="L279" t="str">
        <f t="shared" si="8"/>
        <v>241</v>
      </c>
      <c r="M279" t="str">
        <f t="shared" si="9"/>
        <v>241012</v>
      </c>
    </row>
    <row r="280" spans="1:13" x14ac:dyDescent="0.25">
      <c r="A280">
        <v>2140040002</v>
      </c>
      <c r="B280" t="s">
        <v>1519</v>
      </c>
      <c r="C280">
        <v>2310250022</v>
      </c>
      <c r="D280" t="s">
        <v>2634</v>
      </c>
      <c r="E280">
        <v>2500070520</v>
      </c>
      <c r="F280" t="s">
        <v>3876</v>
      </c>
      <c r="G280" t="s">
        <v>4871</v>
      </c>
      <c r="H280">
        <v>20000</v>
      </c>
      <c r="I280">
        <v>2</v>
      </c>
      <c r="J280">
        <v>120000</v>
      </c>
      <c r="K280">
        <f>+VLOOKUP(E280,Costos!$A$1:$I$7161,9,FALSE)</f>
        <v>1.2921999999999999E-2</v>
      </c>
      <c r="L280" t="str">
        <f t="shared" si="8"/>
        <v>250</v>
      </c>
      <c r="M280" t="str">
        <f t="shared" si="9"/>
        <v>250007</v>
      </c>
    </row>
    <row r="281" spans="1:13" x14ac:dyDescent="0.25">
      <c r="A281">
        <v>2140040002</v>
      </c>
      <c r="B281" t="s">
        <v>1519</v>
      </c>
      <c r="C281">
        <v>2140040002</v>
      </c>
      <c r="D281" t="s">
        <v>1519</v>
      </c>
      <c r="E281">
        <v>2310250030</v>
      </c>
      <c r="F281" t="s">
        <v>2636</v>
      </c>
      <c r="G281" t="s">
        <v>4871</v>
      </c>
      <c r="H281">
        <v>20000</v>
      </c>
      <c r="I281">
        <v>1</v>
      </c>
      <c r="J281">
        <v>120000</v>
      </c>
      <c r="K281">
        <f>+VLOOKUP(E281,Costos!$A$1:$I$7161,9,FALSE)</f>
        <v>0.63143400000000005</v>
      </c>
      <c r="L281" t="str">
        <f t="shared" si="8"/>
        <v>231</v>
      </c>
      <c r="M281" t="str">
        <f t="shared" si="9"/>
        <v>231025</v>
      </c>
    </row>
    <row r="282" spans="1:13" x14ac:dyDescent="0.25">
      <c r="A282">
        <v>2140040002</v>
      </c>
      <c r="B282" t="s">
        <v>1519</v>
      </c>
      <c r="C282">
        <v>2310250030</v>
      </c>
      <c r="D282" t="s">
        <v>2636</v>
      </c>
      <c r="E282">
        <v>2310160005</v>
      </c>
      <c r="F282" t="s">
        <v>2360</v>
      </c>
      <c r="G282" t="s">
        <v>4871</v>
      </c>
      <c r="H282">
        <v>20000</v>
      </c>
      <c r="I282">
        <v>2</v>
      </c>
      <c r="J282">
        <v>120000</v>
      </c>
      <c r="K282">
        <f>+VLOOKUP(E282,Costos!$A$1:$I$7161,9,FALSE)</f>
        <v>3.9544000000000003E-2</v>
      </c>
      <c r="L282" t="str">
        <f t="shared" si="8"/>
        <v>231</v>
      </c>
      <c r="M282" t="str">
        <f t="shared" si="9"/>
        <v>231016</v>
      </c>
    </row>
    <row r="283" spans="1:13" x14ac:dyDescent="0.25">
      <c r="A283">
        <v>2140040002</v>
      </c>
      <c r="B283" t="s">
        <v>1519</v>
      </c>
      <c r="C283">
        <v>2310160005</v>
      </c>
      <c r="D283" t="s">
        <v>2360</v>
      </c>
      <c r="E283">
        <v>2410290575</v>
      </c>
      <c r="F283" t="s">
        <v>3422</v>
      </c>
      <c r="G283" t="s">
        <v>71</v>
      </c>
      <c r="H283">
        <v>64.588200000000001</v>
      </c>
      <c r="I283">
        <v>3</v>
      </c>
      <c r="J283">
        <v>120000</v>
      </c>
      <c r="K283">
        <f>+VLOOKUP(E283,Costos!$A$1:$I$7161,9,FALSE)</f>
        <v>4.782578</v>
      </c>
      <c r="L283" t="str">
        <f t="shared" si="8"/>
        <v>241</v>
      </c>
      <c r="M283" t="str">
        <f t="shared" si="9"/>
        <v>241029</v>
      </c>
    </row>
    <row r="284" spans="1:13" x14ac:dyDescent="0.25">
      <c r="A284">
        <v>2140040002</v>
      </c>
      <c r="B284" t="s">
        <v>1519</v>
      </c>
      <c r="C284">
        <v>2310250030</v>
      </c>
      <c r="D284" t="s">
        <v>2636</v>
      </c>
      <c r="E284">
        <v>2310170002</v>
      </c>
      <c r="F284" t="s">
        <v>2512</v>
      </c>
      <c r="G284" t="s">
        <v>4871</v>
      </c>
      <c r="H284">
        <v>20000</v>
      </c>
      <c r="I284">
        <v>2</v>
      </c>
      <c r="J284">
        <v>120000</v>
      </c>
      <c r="K284">
        <f>+VLOOKUP(E284,Costos!$A$1:$I$7161,9,FALSE)</f>
        <v>4.6299E-2</v>
      </c>
      <c r="L284" t="str">
        <f t="shared" si="8"/>
        <v>231</v>
      </c>
      <c r="M284" t="str">
        <f t="shared" si="9"/>
        <v>231017</v>
      </c>
    </row>
    <row r="285" spans="1:13" x14ac:dyDescent="0.25">
      <c r="A285">
        <v>2140040002</v>
      </c>
      <c r="B285" t="s">
        <v>1519</v>
      </c>
      <c r="C285">
        <v>2310170002</v>
      </c>
      <c r="D285" t="s">
        <v>2512</v>
      </c>
      <c r="E285">
        <v>2410290575</v>
      </c>
      <c r="F285" t="s">
        <v>3422</v>
      </c>
      <c r="G285" t="s">
        <v>71</v>
      </c>
      <c r="H285">
        <v>99.632300000000001</v>
      </c>
      <c r="I285">
        <v>3</v>
      </c>
      <c r="J285">
        <v>120000</v>
      </c>
      <c r="K285">
        <f>+VLOOKUP(E285,Costos!$A$1:$I$7161,9,FALSE)</f>
        <v>4.782578</v>
      </c>
      <c r="L285" t="str">
        <f t="shared" si="8"/>
        <v>241</v>
      </c>
      <c r="M285" t="str">
        <f t="shared" si="9"/>
        <v>241029</v>
      </c>
    </row>
    <row r="286" spans="1:13" x14ac:dyDescent="0.25">
      <c r="A286">
        <v>2140040002</v>
      </c>
      <c r="B286" t="s">
        <v>1519</v>
      </c>
      <c r="C286">
        <v>2310250030</v>
      </c>
      <c r="D286" t="s">
        <v>2636</v>
      </c>
      <c r="E286">
        <v>2310250015</v>
      </c>
      <c r="F286" t="s">
        <v>2631</v>
      </c>
      <c r="G286" t="s">
        <v>4871</v>
      </c>
      <c r="H286">
        <v>575.04819999999995</v>
      </c>
      <c r="I286">
        <v>2</v>
      </c>
      <c r="J286">
        <v>120000</v>
      </c>
      <c r="K286">
        <f>+VLOOKUP(E286,Costos!$A$1:$I$7161,9,FALSE)</f>
        <v>11.634518</v>
      </c>
      <c r="L286" t="str">
        <f t="shared" si="8"/>
        <v>231</v>
      </c>
      <c r="M286" t="str">
        <f t="shared" si="9"/>
        <v>231025</v>
      </c>
    </row>
    <row r="287" spans="1:13" x14ac:dyDescent="0.25">
      <c r="A287">
        <v>2140040002</v>
      </c>
      <c r="B287" t="s">
        <v>1519</v>
      </c>
      <c r="C287">
        <v>2310250015</v>
      </c>
      <c r="D287" t="s">
        <v>2631</v>
      </c>
      <c r="E287">
        <v>2430550009</v>
      </c>
      <c r="F287" t="s">
        <v>3639</v>
      </c>
      <c r="G287" t="s">
        <v>89</v>
      </c>
      <c r="H287">
        <v>191.68029999999999</v>
      </c>
      <c r="I287">
        <v>3</v>
      </c>
      <c r="J287">
        <v>120000</v>
      </c>
      <c r="K287">
        <f>+VLOOKUP(E287,Costos!$A$1:$I$7161,9,FALSE)</f>
        <v>1.6416980000000001</v>
      </c>
      <c r="L287" t="str">
        <f t="shared" si="8"/>
        <v>243</v>
      </c>
      <c r="M287" t="str">
        <f t="shared" si="9"/>
        <v>243055</v>
      </c>
    </row>
    <row r="288" spans="1:13" x14ac:dyDescent="0.25">
      <c r="A288">
        <v>2140040002</v>
      </c>
      <c r="B288" t="s">
        <v>1519</v>
      </c>
      <c r="C288">
        <v>2310250015</v>
      </c>
      <c r="D288" t="s">
        <v>2631</v>
      </c>
      <c r="E288">
        <v>2430330004</v>
      </c>
      <c r="F288" t="s">
        <v>3611</v>
      </c>
      <c r="G288" t="s">
        <v>89</v>
      </c>
      <c r="H288">
        <v>74.755300000000005</v>
      </c>
      <c r="I288">
        <v>3</v>
      </c>
      <c r="J288">
        <v>120000</v>
      </c>
      <c r="K288">
        <f>+VLOOKUP(E288,Costos!$A$1:$I$7161,9,FALSE)</f>
        <v>14.394951000000001</v>
      </c>
      <c r="L288" t="str">
        <f t="shared" si="8"/>
        <v>243</v>
      </c>
      <c r="M288" t="str">
        <f t="shared" si="9"/>
        <v>243033</v>
      </c>
    </row>
    <row r="289" spans="1:13" x14ac:dyDescent="0.25">
      <c r="A289">
        <v>2140040002</v>
      </c>
      <c r="B289" t="s">
        <v>1519</v>
      </c>
      <c r="C289">
        <v>2310250015</v>
      </c>
      <c r="D289" t="s">
        <v>2631</v>
      </c>
      <c r="E289">
        <v>2410120051</v>
      </c>
      <c r="F289" t="s">
        <v>3321</v>
      </c>
      <c r="G289" t="s">
        <v>89</v>
      </c>
      <c r="H289">
        <v>53.102800000000002</v>
      </c>
      <c r="I289">
        <v>3</v>
      </c>
      <c r="J289">
        <v>120000</v>
      </c>
      <c r="K289">
        <f>+VLOOKUP(E289,Costos!$A$1:$I$7161,9,FALSE)</f>
        <v>31.756435</v>
      </c>
      <c r="L289" t="str">
        <f t="shared" si="8"/>
        <v>241</v>
      </c>
      <c r="M289" t="str">
        <f t="shared" si="9"/>
        <v>241012</v>
      </c>
    </row>
    <row r="290" spans="1:13" x14ac:dyDescent="0.25">
      <c r="A290">
        <v>2140040002</v>
      </c>
      <c r="B290" t="s">
        <v>1519</v>
      </c>
      <c r="C290">
        <v>2310250015</v>
      </c>
      <c r="D290" t="s">
        <v>2631</v>
      </c>
      <c r="E290">
        <v>2430520005</v>
      </c>
      <c r="F290" t="s">
        <v>3631</v>
      </c>
      <c r="G290" t="s">
        <v>89</v>
      </c>
      <c r="H290">
        <v>3.4502000000000002</v>
      </c>
      <c r="I290">
        <v>3</v>
      </c>
      <c r="J290">
        <v>120000</v>
      </c>
      <c r="K290">
        <f>+VLOOKUP(E290,Costos!$A$1:$I$7161,9,FALSE)</f>
        <v>10.514614</v>
      </c>
      <c r="L290" t="str">
        <f t="shared" si="8"/>
        <v>243</v>
      </c>
      <c r="M290" t="str">
        <f t="shared" si="9"/>
        <v>243052</v>
      </c>
    </row>
    <row r="291" spans="1:13" x14ac:dyDescent="0.25">
      <c r="A291">
        <v>2140040002</v>
      </c>
      <c r="B291" t="s">
        <v>1519</v>
      </c>
      <c r="C291">
        <v>2310250015</v>
      </c>
      <c r="D291" t="s">
        <v>2631</v>
      </c>
      <c r="E291">
        <v>2410090307</v>
      </c>
      <c r="F291" t="s">
        <v>3263</v>
      </c>
      <c r="G291" t="s">
        <v>89</v>
      </c>
      <c r="H291">
        <v>0.30669999999999997</v>
      </c>
      <c r="I291">
        <v>3</v>
      </c>
      <c r="J291">
        <v>120000</v>
      </c>
      <c r="K291">
        <f>+VLOOKUP(E291,Costos!$A$1:$I$7161,9,FALSE)</f>
        <v>40.108662000000002</v>
      </c>
      <c r="L291" t="str">
        <f t="shared" si="8"/>
        <v>241</v>
      </c>
      <c r="M291" t="str">
        <f t="shared" si="9"/>
        <v>241009</v>
      </c>
    </row>
    <row r="292" spans="1:13" x14ac:dyDescent="0.25">
      <c r="A292">
        <v>2140040002</v>
      </c>
      <c r="B292" t="s">
        <v>1519</v>
      </c>
      <c r="C292">
        <v>2310250015</v>
      </c>
      <c r="D292" t="s">
        <v>2631</v>
      </c>
      <c r="E292">
        <v>2410090079</v>
      </c>
      <c r="F292" t="s">
        <v>3224</v>
      </c>
      <c r="G292" t="s">
        <v>89</v>
      </c>
      <c r="H292">
        <v>11.5008</v>
      </c>
      <c r="I292">
        <v>3</v>
      </c>
      <c r="J292">
        <v>120000</v>
      </c>
      <c r="K292">
        <f>+VLOOKUP(E292,Costos!$A$1:$I$7161,9,FALSE)</f>
        <v>66.496672000000004</v>
      </c>
      <c r="L292" t="str">
        <f t="shared" si="8"/>
        <v>241</v>
      </c>
      <c r="M292" t="str">
        <f t="shared" si="9"/>
        <v>241009</v>
      </c>
    </row>
    <row r="293" spans="1:13" x14ac:dyDescent="0.25">
      <c r="A293">
        <v>2140040002</v>
      </c>
      <c r="B293" t="s">
        <v>1519</v>
      </c>
      <c r="C293">
        <v>2310250015</v>
      </c>
      <c r="D293" t="s">
        <v>2631</v>
      </c>
      <c r="E293">
        <v>2430530004</v>
      </c>
      <c r="F293" t="s">
        <v>3633</v>
      </c>
      <c r="G293" t="s">
        <v>89</v>
      </c>
      <c r="H293">
        <v>95.840100000000007</v>
      </c>
      <c r="I293">
        <v>3</v>
      </c>
      <c r="J293">
        <v>120000</v>
      </c>
      <c r="K293">
        <f>+VLOOKUP(E293,Costos!$A$1:$I$7161,9,FALSE)</f>
        <v>0.49230200000000002</v>
      </c>
      <c r="L293" t="str">
        <f t="shared" si="8"/>
        <v>243</v>
      </c>
      <c r="M293" t="str">
        <f t="shared" si="9"/>
        <v>243053</v>
      </c>
    </row>
    <row r="294" spans="1:13" x14ac:dyDescent="0.25">
      <c r="A294">
        <v>2140040002</v>
      </c>
      <c r="B294" t="s">
        <v>1519</v>
      </c>
      <c r="C294">
        <v>2310250015</v>
      </c>
      <c r="D294" t="s">
        <v>2631</v>
      </c>
      <c r="E294">
        <v>2410120053</v>
      </c>
      <c r="F294" t="s">
        <v>3322</v>
      </c>
      <c r="G294" t="s">
        <v>3209</v>
      </c>
      <c r="H294">
        <v>163.32990000000001</v>
      </c>
      <c r="I294">
        <v>3</v>
      </c>
      <c r="J294">
        <v>120000</v>
      </c>
      <c r="K294">
        <f>+VLOOKUP(E294,Costos!$A$1:$I$7161,9,FALSE)</f>
        <v>7.6890970000000003</v>
      </c>
      <c r="L294" t="str">
        <f t="shared" si="8"/>
        <v>241</v>
      </c>
      <c r="M294" t="str">
        <f t="shared" si="9"/>
        <v>241012</v>
      </c>
    </row>
    <row r="295" spans="1:13" x14ac:dyDescent="0.25">
      <c r="A295">
        <v>2140040002</v>
      </c>
      <c r="B295" t="s">
        <v>1519</v>
      </c>
      <c r="C295">
        <v>2310250030</v>
      </c>
      <c r="D295" t="s">
        <v>2636</v>
      </c>
      <c r="E295">
        <v>2500070520</v>
      </c>
      <c r="F295" t="s">
        <v>3876</v>
      </c>
      <c r="G295" t="s">
        <v>4871</v>
      </c>
      <c r="H295">
        <v>20000</v>
      </c>
      <c r="I295">
        <v>2</v>
      </c>
      <c r="J295">
        <v>120000</v>
      </c>
      <c r="K295">
        <f>+VLOOKUP(E295,Costos!$A$1:$I$7161,9,FALSE)</f>
        <v>1.2921999999999999E-2</v>
      </c>
      <c r="L295" t="str">
        <f t="shared" si="8"/>
        <v>250</v>
      </c>
      <c r="M295" t="str">
        <f t="shared" si="9"/>
        <v>250007</v>
      </c>
    </row>
    <row r="296" spans="1:13" x14ac:dyDescent="0.25">
      <c r="A296">
        <v>2140040002</v>
      </c>
      <c r="B296" t="s">
        <v>1519</v>
      </c>
      <c r="C296">
        <v>2140040002</v>
      </c>
      <c r="D296" t="s">
        <v>1519</v>
      </c>
      <c r="E296">
        <v>2310250031</v>
      </c>
      <c r="F296" t="s">
        <v>2637</v>
      </c>
      <c r="G296" t="s">
        <v>4871</v>
      </c>
      <c r="H296">
        <v>20000</v>
      </c>
      <c r="I296">
        <v>1</v>
      </c>
      <c r="J296">
        <v>120000</v>
      </c>
      <c r="K296">
        <f>+VLOOKUP(E296,Costos!$A$1:$I$7161,9,FALSE)</f>
        <v>0.65843499999999999</v>
      </c>
      <c r="L296" t="str">
        <f t="shared" si="8"/>
        <v>231</v>
      </c>
      <c r="M296" t="str">
        <f t="shared" si="9"/>
        <v>231025</v>
      </c>
    </row>
    <row r="297" spans="1:13" x14ac:dyDescent="0.25">
      <c r="A297">
        <v>2140040002</v>
      </c>
      <c r="B297" t="s">
        <v>1519</v>
      </c>
      <c r="C297">
        <v>2310250031</v>
      </c>
      <c r="D297" t="s">
        <v>2637</v>
      </c>
      <c r="E297">
        <v>2310160005</v>
      </c>
      <c r="F297" t="s">
        <v>2360</v>
      </c>
      <c r="G297" t="s">
        <v>4871</v>
      </c>
      <c r="H297">
        <v>20000</v>
      </c>
      <c r="I297">
        <v>2</v>
      </c>
      <c r="J297">
        <v>120000</v>
      </c>
      <c r="K297">
        <f>+VLOOKUP(E297,Costos!$A$1:$I$7161,9,FALSE)</f>
        <v>3.9544000000000003E-2</v>
      </c>
      <c r="L297" t="str">
        <f t="shared" si="8"/>
        <v>231</v>
      </c>
      <c r="M297" t="str">
        <f t="shared" si="9"/>
        <v>231016</v>
      </c>
    </row>
    <row r="298" spans="1:13" x14ac:dyDescent="0.25">
      <c r="A298">
        <v>2140040002</v>
      </c>
      <c r="B298" t="s">
        <v>1519</v>
      </c>
      <c r="C298">
        <v>2310160005</v>
      </c>
      <c r="D298" t="s">
        <v>2360</v>
      </c>
      <c r="E298">
        <v>2410290575</v>
      </c>
      <c r="F298" t="s">
        <v>3422</v>
      </c>
      <c r="G298" t="s">
        <v>71</v>
      </c>
      <c r="H298">
        <v>64.588200000000001</v>
      </c>
      <c r="I298">
        <v>3</v>
      </c>
      <c r="J298">
        <v>120000</v>
      </c>
      <c r="K298">
        <f>+VLOOKUP(E298,Costos!$A$1:$I$7161,9,FALSE)</f>
        <v>4.782578</v>
      </c>
      <c r="L298" t="str">
        <f t="shared" si="8"/>
        <v>241</v>
      </c>
      <c r="M298" t="str">
        <f t="shared" si="9"/>
        <v>241029</v>
      </c>
    </row>
    <row r="299" spans="1:13" x14ac:dyDescent="0.25">
      <c r="A299">
        <v>2140040002</v>
      </c>
      <c r="B299" t="s">
        <v>1519</v>
      </c>
      <c r="C299">
        <v>2310250031</v>
      </c>
      <c r="D299" t="s">
        <v>2637</v>
      </c>
      <c r="E299">
        <v>2310170002</v>
      </c>
      <c r="F299" t="s">
        <v>2512</v>
      </c>
      <c r="G299" t="s">
        <v>4871</v>
      </c>
      <c r="H299">
        <v>20000</v>
      </c>
      <c r="I299">
        <v>2</v>
      </c>
      <c r="J299">
        <v>120000</v>
      </c>
      <c r="K299">
        <f>+VLOOKUP(E299,Costos!$A$1:$I$7161,9,FALSE)</f>
        <v>4.6299E-2</v>
      </c>
      <c r="L299" t="str">
        <f t="shared" si="8"/>
        <v>231</v>
      </c>
      <c r="M299" t="str">
        <f t="shared" si="9"/>
        <v>231017</v>
      </c>
    </row>
    <row r="300" spans="1:13" x14ac:dyDescent="0.25">
      <c r="A300">
        <v>2140040002</v>
      </c>
      <c r="B300" t="s">
        <v>1519</v>
      </c>
      <c r="C300">
        <v>2310170002</v>
      </c>
      <c r="D300" t="s">
        <v>2512</v>
      </c>
      <c r="E300">
        <v>2410290575</v>
      </c>
      <c r="F300" t="s">
        <v>3422</v>
      </c>
      <c r="G300" t="s">
        <v>71</v>
      </c>
      <c r="H300">
        <v>99.632300000000001</v>
      </c>
      <c r="I300">
        <v>3</v>
      </c>
      <c r="J300">
        <v>120000</v>
      </c>
      <c r="K300">
        <f>+VLOOKUP(E300,Costos!$A$1:$I$7161,9,FALSE)</f>
        <v>4.782578</v>
      </c>
      <c r="L300" t="str">
        <f t="shared" si="8"/>
        <v>241</v>
      </c>
      <c r="M300" t="str">
        <f t="shared" si="9"/>
        <v>241029</v>
      </c>
    </row>
    <row r="301" spans="1:13" x14ac:dyDescent="0.25">
      <c r="A301">
        <v>2140040002</v>
      </c>
      <c r="B301" t="s">
        <v>1519</v>
      </c>
      <c r="C301">
        <v>2310250031</v>
      </c>
      <c r="D301" t="s">
        <v>2637</v>
      </c>
      <c r="E301">
        <v>2310250029</v>
      </c>
      <c r="F301" t="s">
        <v>2635</v>
      </c>
      <c r="G301" t="s">
        <v>4871</v>
      </c>
      <c r="H301">
        <v>599.62860000000001</v>
      </c>
      <c r="I301">
        <v>2</v>
      </c>
      <c r="J301">
        <v>120000</v>
      </c>
      <c r="K301">
        <f>+VLOOKUP(E301,Costos!$A$1:$I$7161,9,FALSE)</f>
        <v>10.510802</v>
      </c>
      <c r="L301" t="str">
        <f t="shared" si="8"/>
        <v>231</v>
      </c>
      <c r="M301" t="str">
        <f t="shared" si="9"/>
        <v>231025</v>
      </c>
    </row>
    <row r="302" spans="1:13" x14ac:dyDescent="0.25">
      <c r="A302">
        <v>2140040002</v>
      </c>
      <c r="B302" t="s">
        <v>1519</v>
      </c>
      <c r="C302">
        <v>2310250029</v>
      </c>
      <c r="D302" t="s">
        <v>2635</v>
      </c>
      <c r="E302">
        <v>2430550010</v>
      </c>
      <c r="F302" t="s">
        <v>3640</v>
      </c>
      <c r="G302" t="s">
        <v>89</v>
      </c>
      <c r="H302">
        <v>199.8603</v>
      </c>
      <c r="I302">
        <v>3</v>
      </c>
      <c r="J302">
        <v>120000</v>
      </c>
      <c r="K302">
        <f>+VLOOKUP(E302,Costos!$A$1:$I$7161,9,FALSE)</f>
        <v>0.98659300000000005</v>
      </c>
      <c r="L302" t="str">
        <f t="shared" si="8"/>
        <v>243</v>
      </c>
      <c r="M302" t="str">
        <f t="shared" si="9"/>
        <v>243055</v>
      </c>
    </row>
    <row r="303" spans="1:13" x14ac:dyDescent="0.25">
      <c r="A303">
        <v>2140040002</v>
      </c>
      <c r="B303" t="s">
        <v>1519</v>
      </c>
      <c r="C303">
        <v>2310250029</v>
      </c>
      <c r="D303" t="s">
        <v>2635</v>
      </c>
      <c r="E303">
        <v>2430330004</v>
      </c>
      <c r="F303" t="s">
        <v>3611</v>
      </c>
      <c r="G303" t="s">
        <v>89</v>
      </c>
      <c r="H303">
        <v>77.945499999999996</v>
      </c>
      <c r="I303">
        <v>3</v>
      </c>
      <c r="J303">
        <v>120000</v>
      </c>
      <c r="K303">
        <f>+VLOOKUP(E303,Costos!$A$1:$I$7161,9,FALSE)</f>
        <v>14.394951000000001</v>
      </c>
      <c r="L303" t="str">
        <f t="shared" ref="L303:L325" si="10">+LEFT(E303,3)</f>
        <v>243</v>
      </c>
      <c r="M303" t="str">
        <f t="shared" ref="M303:M325" si="11">+LEFT(E303,6)</f>
        <v>243033</v>
      </c>
    </row>
    <row r="304" spans="1:13" x14ac:dyDescent="0.25">
      <c r="A304">
        <v>2140040002</v>
      </c>
      <c r="B304" t="s">
        <v>1519</v>
      </c>
      <c r="C304">
        <v>2310250029</v>
      </c>
      <c r="D304" t="s">
        <v>2635</v>
      </c>
      <c r="E304">
        <v>2410120051</v>
      </c>
      <c r="F304" t="s">
        <v>3321</v>
      </c>
      <c r="G304" t="s">
        <v>89</v>
      </c>
      <c r="H304">
        <v>55.369</v>
      </c>
      <c r="I304">
        <v>3</v>
      </c>
      <c r="J304">
        <v>120000</v>
      </c>
      <c r="K304">
        <f>+VLOOKUP(E304,Costos!$A$1:$I$7161,9,FALSE)</f>
        <v>31.756435</v>
      </c>
      <c r="L304" t="str">
        <f t="shared" si="10"/>
        <v>241</v>
      </c>
      <c r="M304" t="str">
        <f t="shared" si="11"/>
        <v>241012</v>
      </c>
    </row>
    <row r="305" spans="1:13" x14ac:dyDescent="0.25">
      <c r="A305">
        <v>2140040002</v>
      </c>
      <c r="B305" t="s">
        <v>1519</v>
      </c>
      <c r="C305">
        <v>2310250029</v>
      </c>
      <c r="D305" t="s">
        <v>2635</v>
      </c>
      <c r="E305">
        <v>2430520005</v>
      </c>
      <c r="F305" t="s">
        <v>3631</v>
      </c>
      <c r="G305" t="s">
        <v>89</v>
      </c>
      <c r="H305">
        <v>17.148</v>
      </c>
      <c r="I305">
        <v>3</v>
      </c>
      <c r="J305">
        <v>120000</v>
      </c>
      <c r="K305">
        <f>+VLOOKUP(E305,Costos!$A$1:$I$7161,9,FALSE)</f>
        <v>10.514614</v>
      </c>
      <c r="L305" t="str">
        <f t="shared" si="10"/>
        <v>243</v>
      </c>
      <c r="M305" t="str">
        <f t="shared" si="11"/>
        <v>243052</v>
      </c>
    </row>
    <row r="306" spans="1:13" x14ac:dyDescent="0.25">
      <c r="A306">
        <v>2140040002</v>
      </c>
      <c r="B306" t="s">
        <v>1519</v>
      </c>
      <c r="C306">
        <v>2310250029</v>
      </c>
      <c r="D306" t="s">
        <v>2635</v>
      </c>
      <c r="E306">
        <v>2430740002</v>
      </c>
      <c r="F306" t="s">
        <v>3677</v>
      </c>
      <c r="G306" t="s">
        <v>89</v>
      </c>
      <c r="H306">
        <v>0.47970000000000002</v>
      </c>
      <c r="I306">
        <v>3</v>
      </c>
      <c r="J306">
        <v>120000</v>
      </c>
      <c r="K306">
        <f>+VLOOKUP(E306,Costos!$A$1:$I$7161,9,FALSE)</f>
        <v>42.227438999999997</v>
      </c>
      <c r="L306" t="str">
        <f t="shared" si="10"/>
        <v>243</v>
      </c>
      <c r="M306" t="str">
        <f t="shared" si="11"/>
        <v>243074</v>
      </c>
    </row>
    <row r="307" spans="1:13" x14ac:dyDescent="0.25">
      <c r="A307">
        <v>2140040002</v>
      </c>
      <c r="B307" t="s">
        <v>1519</v>
      </c>
      <c r="C307">
        <v>2310250029</v>
      </c>
      <c r="D307" t="s">
        <v>2635</v>
      </c>
      <c r="E307">
        <v>2430530004</v>
      </c>
      <c r="F307" t="s">
        <v>3633</v>
      </c>
      <c r="G307" t="s">
        <v>89</v>
      </c>
      <c r="H307">
        <v>99.930199999999999</v>
      </c>
      <c r="I307">
        <v>3</v>
      </c>
      <c r="J307">
        <v>120000</v>
      </c>
      <c r="K307">
        <f>+VLOOKUP(E307,Costos!$A$1:$I$7161,9,FALSE)</f>
        <v>0.49230200000000002</v>
      </c>
      <c r="L307" t="str">
        <f t="shared" si="10"/>
        <v>243</v>
      </c>
      <c r="M307" t="str">
        <f t="shared" si="11"/>
        <v>243053</v>
      </c>
    </row>
    <row r="308" spans="1:13" x14ac:dyDescent="0.25">
      <c r="A308">
        <v>2140040002</v>
      </c>
      <c r="B308" t="s">
        <v>1519</v>
      </c>
      <c r="C308">
        <v>2310250029</v>
      </c>
      <c r="D308" t="s">
        <v>2635</v>
      </c>
      <c r="E308">
        <v>2410120053</v>
      </c>
      <c r="F308" t="s">
        <v>3322</v>
      </c>
      <c r="G308" t="s">
        <v>3209</v>
      </c>
      <c r="H308">
        <v>168.4956</v>
      </c>
      <c r="I308">
        <v>3</v>
      </c>
      <c r="J308">
        <v>120000</v>
      </c>
      <c r="K308">
        <f>+VLOOKUP(E308,Costos!$A$1:$I$7161,9,FALSE)</f>
        <v>7.6890970000000003</v>
      </c>
      <c r="L308" t="str">
        <f t="shared" si="10"/>
        <v>241</v>
      </c>
      <c r="M308" t="str">
        <f t="shared" si="11"/>
        <v>241012</v>
      </c>
    </row>
    <row r="309" spans="1:13" x14ac:dyDescent="0.25">
      <c r="A309">
        <v>2140040002</v>
      </c>
      <c r="B309" t="s">
        <v>1519</v>
      </c>
      <c r="C309">
        <v>2310250031</v>
      </c>
      <c r="D309" t="s">
        <v>2637</v>
      </c>
      <c r="E309">
        <v>2500070520</v>
      </c>
      <c r="F309" t="s">
        <v>3876</v>
      </c>
      <c r="G309" t="s">
        <v>4871</v>
      </c>
      <c r="H309">
        <v>20000</v>
      </c>
      <c r="I309">
        <v>2</v>
      </c>
      <c r="J309">
        <v>120000</v>
      </c>
      <c r="K309">
        <f>+VLOOKUP(E309,Costos!$A$1:$I$7161,9,FALSE)</f>
        <v>1.2921999999999999E-2</v>
      </c>
      <c r="L309" t="str">
        <f t="shared" si="10"/>
        <v>250</v>
      </c>
      <c r="M309" t="str">
        <f t="shared" si="11"/>
        <v>250007</v>
      </c>
    </row>
    <row r="310" spans="1:13" x14ac:dyDescent="0.25">
      <c r="A310">
        <v>2140040002</v>
      </c>
      <c r="B310" t="s">
        <v>1519</v>
      </c>
      <c r="C310">
        <v>2140040002</v>
      </c>
      <c r="D310" t="s">
        <v>1519</v>
      </c>
      <c r="E310">
        <v>2310250032</v>
      </c>
      <c r="F310" t="s">
        <v>2638</v>
      </c>
      <c r="G310" t="s">
        <v>4871</v>
      </c>
      <c r="H310">
        <v>20000</v>
      </c>
      <c r="I310">
        <v>1</v>
      </c>
      <c r="J310">
        <v>120000</v>
      </c>
      <c r="K310">
        <f>+VLOOKUP(E310,Costos!$A$1:$I$7161,9,FALSE)</f>
        <v>0.57317099999999999</v>
      </c>
      <c r="L310" t="str">
        <f t="shared" si="10"/>
        <v>231</v>
      </c>
      <c r="M310" t="str">
        <f t="shared" si="11"/>
        <v>231025</v>
      </c>
    </row>
    <row r="311" spans="1:13" x14ac:dyDescent="0.25">
      <c r="A311">
        <v>2140040002</v>
      </c>
      <c r="B311" t="s">
        <v>1519</v>
      </c>
      <c r="C311">
        <v>2310250032</v>
      </c>
      <c r="D311" t="s">
        <v>2638</v>
      </c>
      <c r="E311">
        <v>2310160005</v>
      </c>
      <c r="F311" t="s">
        <v>2360</v>
      </c>
      <c r="G311" t="s">
        <v>4871</v>
      </c>
      <c r="H311">
        <v>20000</v>
      </c>
      <c r="I311">
        <v>2</v>
      </c>
      <c r="J311">
        <v>120000</v>
      </c>
      <c r="K311">
        <f>+VLOOKUP(E311,Costos!$A$1:$I$7161,9,FALSE)</f>
        <v>3.9544000000000003E-2</v>
      </c>
      <c r="L311" t="str">
        <f t="shared" si="10"/>
        <v>231</v>
      </c>
      <c r="M311" t="str">
        <f t="shared" si="11"/>
        <v>231016</v>
      </c>
    </row>
    <row r="312" spans="1:13" x14ac:dyDescent="0.25">
      <c r="A312">
        <v>2140040002</v>
      </c>
      <c r="B312" t="s">
        <v>1519</v>
      </c>
      <c r="C312">
        <v>2310160005</v>
      </c>
      <c r="D312" t="s">
        <v>2360</v>
      </c>
      <c r="E312">
        <v>2410290575</v>
      </c>
      <c r="F312" t="s">
        <v>3422</v>
      </c>
      <c r="G312" t="s">
        <v>71</v>
      </c>
      <c r="H312">
        <v>64.588200000000001</v>
      </c>
      <c r="I312">
        <v>3</v>
      </c>
      <c r="J312">
        <v>120000</v>
      </c>
      <c r="K312">
        <f>+VLOOKUP(E312,Costos!$A$1:$I$7161,9,FALSE)</f>
        <v>4.782578</v>
      </c>
      <c r="L312" t="str">
        <f t="shared" si="10"/>
        <v>241</v>
      </c>
      <c r="M312" t="str">
        <f t="shared" si="11"/>
        <v>241029</v>
      </c>
    </row>
    <row r="313" spans="1:13" x14ac:dyDescent="0.25">
      <c r="A313">
        <v>2140040002</v>
      </c>
      <c r="B313" t="s">
        <v>1519</v>
      </c>
      <c r="C313">
        <v>2310250032</v>
      </c>
      <c r="D313" t="s">
        <v>2638</v>
      </c>
      <c r="E313">
        <v>2310170002</v>
      </c>
      <c r="F313" t="s">
        <v>2512</v>
      </c>
      <c r="G313" t="s">
        <v>4871</v>
      </c>
      <c r="H313">
        <v>20000</v>
      </c>
      <c r="I313">
        <v>2</v>
      </c>
      <c r="J313">
        <v>120000</v>
      </c>
      <c r="K313">
        <f>+VLOOKUP(E313,Costos!$A$1:$I$7161,9,FALSE)</f>
        <v>4.6299E-2</v>
      </c>
      <c r="L313" t="str">
        <f t="shared" si="10"/>
        <v>231</v>
      </c>
      <c r="M313" t="str">
        <f t="shared" si="11"/>
        <v>231017</v>
      </c>
    </row>
    <row r="314" spans="1:13" x14ac:dyDescent="0.25">
      <c r="A314">
        <v>2140040002</v>
      </c>
      <c r="B314" t="s">
        <v>1519</v>
      </c>
      <c r="C314">
        <v>2310170002</v>
      </c>
      <c r="D314" t="s">
        <v>2512</v>
      </c>
      <c r="E314">
        <v>2410290575</v>
      </c>
      <c r="F314" t="s">
        <v>3422</v>
      </c>
      <c r="G314" t="s">
        <v>71</v>
      </c>
      <c r="H314">
        <v>99.632300000000001</v>
      </c>
      <c r="I314">
        <v>3</v>
      </c>
      <c r="J314">
        <v>120000</v>
      </c>
      <c r="K314">
        <f>+VLOOKUP(E314,Costos!$A$1:$I$7161,9,FALSE)</f>
        <v>4.782578</v>
      </c>
      <c r="L314" t="str">
        <f t="shared" si="10"/>
        <v>241</v>
      </c>
      <c r="M314" t="str">
        <f t="shared" si="11"/>
        <v>241029</v>
      </c>
    </row>
    <row r="315" spans="1:13" x14ac:dyDescent="0.25">
      <c r="A315">
        <v>2140040002</v>
      </c>
      <c r="B315" t="s">
        <v>1519</v>
      </c>
      <c r="C315">
        <v>2310250032</v>
      </c>
      <c r="D315" t="s">
        <v>2638</v>
      </c>
      <c r="E315">
        <v>2310250014</v>
      </c>
      <c r="F315" t="s">
        <v>2630</v>
      </c>
      <c r="G315" t="s">
        <v>4871</v>
      </c>
      <c r="H315">
        <v>577.12180000000001</v>
      </c>
      <c r="I315">
        <v>2</v>
      </c>
      <c r="J315">
        <v>120000</v>
      </c>
      <c r="K315">
        <f>+VLOOKUP(E315,Costos!$A$1:$I$7161,9,FALSE)</f>
        <v>11.310485</v>
      </c>
      <c r="L315" t="str">
        <f t="shared" si="10"/>
        <v>231</v>
      </c>
      <c r="M315" t="str">
        <f t="shared" si="11"/>
        <v>231025</v>
      </c>
    </row>
    <row r="316" spans="1:13" x14ac:dyDescent="0.25">
      <c r="A316">
        <v>2140040002</v>
      </c>
      <c r="B316" t="s">
        <v>1519</v>
      </c>
      <c r="C316">
        <v>2310250014</v>
      </c>
      <c r="D316" t="s">
        <v>2630</v>
      </c>
      <c r="E316">
        <v>2430550009</v>
      </c>
      <c r="F316" t="s">
        <v>3639</v>
      </c>
      <c r="G316" t="s">
        <v>89</v>
      </c>
      <c r="H316">
        <v>192.37389999999999</v>
      </c>
      <c r="I316">
        <v>3</v>
      </c>
      <c r="J316">
        <v>120000</v>
      </c>
      <c r="K316">
        <f>+VLOOKUP(E316,Costos!$A$1:$I$7161,9,FALSE)</f>
        <v>1.6416980000000001</v>
      </c>
      <c r="L316" t="str">
        <f t="shared" si="10"/>
        <v>243</v>
      </c>
      <c r="M316" t="str">
        <f t="shared" si="11"/>
        <v>243055</v>
      </c>
    </row>
    <row r="317" spans="1:13" x14ac:dyDescent="0.25">
      <c r="A317">
        <v>2140040002</v>
      </c>
      <c r="B317" t="s">
        <v>1519</v>
      </c>
      <c r="C317">
        <v>2310250014</v>
      </c>
      <c r="D317" t="s">
        <v>2630</v>
      </c>
      <c r="E317">
        <v>2430330004</v>
      </c>
      <c r="F317" t="s">
        <v>3611</v>
      </c>
      <c r="G317" t="s">
        <v>89</v>
      </c>
      <c r="H317">
        <v>75.025800000000004</v>
      </c>
      <c r="I317">
        <v>3</v>
      </c>
      <c r="J317">
        <v>120000</v>
      </c>
      <c r="K317">
        <f>+VLOOKUP(E317,Costos!$A$1:$I$7161,9,FALSE)</f>
        <v>14.394951000000001</v>
      </c>
      <c r="L317" t="str">
        <f t="shared" si="10"/>
        <v>243</v>
      </c>
      <c r="M317" t="str">
        <f t="shared" si="11"/>
        <v>243033</v>
      </c>
    </row>
    <row r="318" spans="1:13" x14ac:dyDescent="0.25">
      <c r="A318">
        <v>2140040002</v>
      </c>
      <c r="B318" t="s">
        <v>1519</v>
      </c>
      <c r="C318">
        <v>2310250014</v>
      </c>
      <c r="D318" t="s">
        <v>2630</v>
      </c>
      <c r="E318">
        <v>2410120051</v>
      </c>
      <c r="F318" t="s">
        <v>3321</v>
      </c>
      <c r="G318" t="s">
        <v>89</v>
      </c>
      <c r="H318">
        <v>53.287599999999998</v>
      </c>
      <c r="I318">
        <v>3</v>
      </c>
      <c r="J318">
        <v>120000</v>
      </c>
      <c r="K318">
        <f>+VLOOKUP(E318,Costos!$A$1:$I$7161,9,FALSE)</f>
        <v>31.756435</v>
      </c>
      <c r="L318" t="str">
        <f t="shared" si="10"/>
        <v>241</v>
      </c>
      <c r="M318" t="str">
        <f t="shared" si="11"/>
        <v>241012</v>
      </c>
    </row>
    <row r="319" spans="1:13" x14ac:dyDescent="0.25">
      <c r="A319">
        <v>2140040002</v>
      </c>
      <c r="B319" t="s">
        <v>1519</v>
      </c>
      <c r="C319">
        <v>2310250014</v>
      </c>
      <c r="D319" t="s">
        <v>2630</v>
      </c>
      <c r="E319">
        <v>2410090306</v>
      </c>
      <c r="F319" t="s">
        <v>3262</v>
      </c>
      <c r="G319" t="s">
        <v>89</v>
      </c>
      <c r="H319">
        <v>4.617</v>
      </c>
      <c r="I319">
        <v>3</v>
      </c>
      <c r="J319">
        <v>120000</v>
      </c>
      <c r="K319">
        <f>+VLOOKUP(E319,Costos!$A$1:$I$7161,9,FALSE)</f>
        <v>43.042068999999998</v>
      </c>
      <c r="L319" t="str">
        <f t="shared" si="10"/>
        <v>241</v>
      </c>
      <c r="M319" t="str">
        <f t="shared" si="11"/>
        <v>241009</v>
      </c>
    </row>
    <row r="320" spans="1:13" x14ac:dyDescent="0.25">
      <c r="A320">
        <v>2140040002</v>
      </c>
      <c r="B320" t="s">
        <v>1519</v>
      </c>
      <c r="C320">
        <v>2310250014</v>
      </c>
      <c r="D320" t="s">
        <v>2630</v>
      </c>
      <c r="E320">
        <v>2410090274</v>
      </c>
      <c r="F320" t="s">
        <v>3253</v>
      </c>
      <c r="G320" t="s">
        <v>89</v>
      </c>
      <c r="H320">
        <v>5.9635999999999996</v>
      </c>
      <c r="I320">
        <v>3</v>
      </c>
      <c r="J320">
        <v>120000</v>
      </c>
      <c r="K320">
        <f>+VLOOKUP(E320,Costos!$A$1:$I$7161,9,FALSE)</f>
        <v>74.759406999999996</v>
      </c>
      <c r="L320" t="str">
        <f t="shared" si="10"/>
        <v>241</v>
      </c>
      <c r="M320" t="str">
        <f t="shared" si="11"/>
        <v>241009</v>
      </c>
    </row>
    <row r="321" spans="1:13" x14ac:dyDescent="0.25">
      <c r="A321">
        <v>2140040002</v>
      </c>
      <c r="B321" t="s">
        <v>1519</v>
      </c>
      <c r="C321">
        <v>2310250014</v>
      </c>
      <c r="D321" t="s">
        <v>2630</v>
      </c>
      <c r="E321">
        <v>2430530004</v>
      </c>
      <c r="F321" t="s">
        <v>3633</v>
      </c>
      <c r="G321" t="s">
        <v>89</v>
      </c>
      <c r="H321">
        <v>105.8057</v>
      </c>
      <c r="I321">
        <v>3</v>
      </c>
      <c r="J321">
        <v>120000</v>
      </c>
      <c r="K321">
        <f>+VLOOKUP(E321,Costos!$A$1:$I$7161,9,FALSE)</f>
        <v>0.49230200000000002</v>
      </c>
      <c r="L321" t="str">
        <f t="shared" si="10"/>
        <v>243</v>
      </c>
      <c r="M321" t="str">
        <f t="shared" si="11"/>
        <v>243053</v>
      </c>
    </row>
    <row r="322" spans="1:13" x14ac:dyDescent="0.25">
      <c r="A322">
        <v>2140040002</v>
      </c>
      <c r="B322" t="s">
        <v>1519</v>
      </c>
      <c r="C322">
        <v>2310250014</v>
      </c>
      <c r="D322" t="s">
        <v>2630</v>
      </c>
      <c r="E322">
        <v>2410120053</v>
      </c>
      <c r="F322" t="s">
        <v>3322</v>
      </c>
      <c r="G322" t="s">
        <v>3209</v>
      </c>
      <c r="H322">
        <v>158.39449999999999</v>
      </c>
      <c r="I322">
        <v>3</v>
      </c>
      <c r="J322">
        <v>120000</v>
      </c>
      <c r="K322">
        <f>+VLOOKUP(E322,Costos!$A$1:$I$7161,9,FALSE)</f>
        <v>7.6890970000000003</v>
      </c>
      <c r="L322" t="str">
        <f t="shared" si="10"/>
        <v>241</v>
      </c>
      <c r="M322" t="str">
        <f t="shared" si="11"/>
        <v>241012</v>
      </c>
    </row>
    <row r="323" spans="1:13" x14ac:dyDescent="0.25">
      <c r="A323">
        <v>2140040002</v>
      </c>
      <c r="B323" t="s">
        <v>1519</v>
      </c>
      <c r="C323">
        <v>2310250032</v>
      </c>
      <c r="D323" t="s">
        <v>2638</v>
      </c>
      <c r="E323">
        <v>2500070520</v>
      </c>
      <c r="F323" t="s">
        <v>3876</v>
      </c>
      <c r="G323" t="s">
        <v>4871</v>
      </c>
      <c r="H323">
        <v>20000</v>
      </c>
      <c r="I323">
        <v>2</v>
      </c>
      <c r="J323">
        <v>120000</v>
      </c>
      <c r="K323">
        <f>+VLOOKUP(E323,Costos!$A$1:$I$7161,9,FALSE)</f>
        <v>1.2921999999999999E-2</v>
      </c>
      <c r="L323" t="str">
        <f t="shared" si="10"/>
        <v>250</v>
      </c>
      <c r="M323" t="str">
        <f t="shared" si="11"/>
        <v>250007</v>
      </c>
    </row>
    <row r="324" spans="1:13" x14ac:dyDescent="0.25">
      <c r="A324">
        <v>2140040002</v>
      </c>
      <c r="B324" t="s">
        <v>1519</v>
      </c>
      <c r="C324">
        <v>2140040002</v>
      </c>
      <c r="D324" t="s">
        <v>1519</v>
      </c>
      <c r="E324">
        <v>2500030284</v>
      </c>
      <c r="F324" t="s">
        <v>3791</v>
      </c>
      <c r="G324" t="s">
        <v>4871</v>
      </c>
      <c r="H324">
        <v>836</v>
      </c>
      <c r="I324">
        <v>1</v>
      </c>
      <c r="J324">
        <v>120000</v>
      </c>
      <c r="K324">
        <f>+VLOOKUP(E324,Costos!$A$1:$I$7161,9,FALSE)</f>
        <v>1.409816</v>
      </c>
      <c r="L324" t="str">
        <f t="shared" si="10"/>
        <v>250</v>
      </c>
      <c r="M324" t="str">
        <f t="shared" si="11"/>
        <v>250003</v>
      </c>
    </row>
    <row r="325" spans="1:13" x14ac:dyDescent="0.25">
      <c r="A325">
        <v>2140040002</v>
      </c>
      <c r="B325" t="s">
        <v>1519</v>
      </c>
      <c r="C325">
        <v>2140040002</v>
      </c>
      <c r="D325" t="s">
        <v>1519</v>
      </c>
      <c r="E325">
        <v>2500110024</v>
      </c>
      <c r="F325" t="s">
        <v>4034</v>
      </c>
      <c r="G325" t="s">
        <v>4871</v>
      </c>
      <c r="H325">
        <v>35</v>
      </c>
      <c r="I325">
        <v>1</v>
      </c>
      <c r="J325">
        <v>120000</v>
      </c>
      <c r="K325">
        <f>+VLOOKUP(E325,Costos!$A$1:$I$7161,9,FALSE)</f>
        <v>13.836330999999999</v>
      </c>
      <c r="L325" t="str">
        <f t="shared" si="10"/>
        <v>250</v>
      </c>
      <c r="M325" t="str">
        <f t="shared" si="11"/>
        <v>250011</v>
      </c>
    </row>
    <row r="326" spans="1:13" x14ac:dyDescent="0.25">
      <c r="A326">
        <v>2110020322</v>
      </c>
      <c r="B326" t="s">
        <v>1122</v>
      </c>
      <c r="C326">
        <v>2110020322</v>
      </c>
      <c r="D326" t="s">
        <v>1122</v>
      </c>
      <c r="E326">
        <v>2310210149</v>
      </c>
      <c r="F326" t="s">
        <v>2564</v>
      </c>
      <c r="G326" t="s">
        <v>20</v>
      </c>
      <c r="H326">
        <v>8000</v>
      </c>
      <c r="I326">
        <v>1</v>
      </c>
      <c r="J326">
        <v>8000</v>
      </c>
      <c r="K326">
        <f>+VLOOKUP(E326,Costos!$A$1:$I$7161,9,FALSE)</f>
        <v>0.23416300000000001</v>
      </c>
      <c r="L326" t="str">
        <f t="shared" ref="L326:L389" si="12">+LEFT(E326,3)</f>
        <v>231</v>
      </c>
      <c r="M326" t="str">
        <f t="shared" ref="M326:M389" si="13">+LEFT(E326,6)</f>
        <v>231021</v>
      </c>
    </row>
    <row r="327" spans="1:13" x14ac:dyDescent="0.25">
      <c r="A327">
        <v>2110020322</v>
      </c>
      <c r="B327" t="s">
        <v>1122</v>
      </c>
      <c r="C327">
        <v>2310210149</v>
      </c>
      <c r="D327" t="s">
        <v>2564</v>
      </c>
      <c r="E327">
        <v>2310090491</v>
      </c>
      <c r="F327" t="s">
        <v>2313</v>
      </c>
      <c r="G327" t="s">
        <v>71</v>
      </c>
      <c r="H327">
        <v>8000</v>
      </c>
      <c r="I327">
        <v>2</v>
      </c>
      <c r="J327">
        <v>8000</v>
      </c>
      <c r="K327">
        <f>+VLOOKUP(E327,Costos!$A$1:$I$7161,9,FALSE)</f>
        <v>4.7865999999999999E-2</v>
      </c>
      <c r="L327" t="str">
        <f t="shared" si="12"/>
        <v>231</v>
      </c>
      <c r="M327" t="str">
        <f t="shared" si="13"/>
        <v>231009</v>
      </c>
    </row>
    <row r="328" spans="1:13" x14ac:dyDescent="0.25">
      <c r="A328">
        <v>2110020322</v>
      </c>
      <c r="B328" t="s">
        <v>1122</v>
      </c>
      <c r="C328">
        <v>2310090491</v>
      </c>
      <c r="D328" t="s">
        <v>2313</v>
      </c>
      <c r="E328">
        <v>2410200005</v>
      </c>
      <c r="F328" t="s">
        <v>3363</v>
      </c>
      <c r="G328" t="s">
        <v>89</v>
      </c>
      <c r="H328">
        <v>4.0000000000000002E-4</v>
      </c>
      <c r="I328">
        <v>3</v>
      </c>
      <c r="J328">
        <v>8000</v>
      </c>
      <c r="K328">
        <f>+VLOOKUP(E328,Costos!$A$1:$I$7161,9,FALSE)</f>
        <v>26.802222</v>
      </c>
      <c r="L328" t="str">
        <f t="shared" si="12"/>
        <v>241</v>
      </c>
      <c r="M328" t="str">
        <f t="shared" si="13"/>
        <v>241020</v>
      </c>
    </row>
    <row r="329" spans="1:13" x14ac:dyDescent="0.25">
      <c r="A329">
        <v>2110020322</v>
      </c>
      <c r="B329" t="s">
        <v>1122</v>
      </c>
      <c r="C329">
        <v>2310090491</v>
      </c>
      <c r="D329" t="s">
        <v>2313</v>
      </c>
      <c r="E329">
        <v>2410110108</v>
      </c>
      <c r="F329" t="s">
        <v>3313</v>
      </c>
      <c r="G329" t="s">
        <v>89</v>
      </c>
      <c r="H329">
        <v>4.0000000000000001E-3</v>
      </c>
      <c r="I329">
        <v>3</v>
      </c>
      <c r="J329">
        <v>8000</v>
      </c>
      <c r="K329">
        <f>+VLOOKUP(E329,Costos!$A$1:$I$7161,9,FALSE)</f>
        <v>89.025000000000006</v>
      </c>
      <c r="L329" t="str">
        <f t="shared" si="12"/>
        <v>241</v>
      </c>
      <c r="M329" t="str">
        <f t="shared" si="13"/>
        <v>241011</v>
      </c>
    </row>
    <row r="330" spans="1:13" x14ac:dyDescent="0.25">
      <c r="A330">
        <v>2110020322</v>
      </c>
      <c r="B330" t="s">
        <v>1122</v>
      </c>
      <c r="C330">
        <v>2310090491</v>
      </c>
      <c r="D330" t="s">
        <v>2313</v>
      </c>
      <c r="E330">
        <v>2310090457</v>
      </c>
      <c r="F330" t="s">
        <v>2298</v>
      </c>
      <c r="G330" t="s">
        <v>89</v>
      </c>
      <c r="H330">
        <v>8000</v>
      </c>
      <c r="I330">
        <v>3</v>
      </c>
      <c r="J330">
        <v>8000</v>
      </c>
      <c r="K330">
        <f>+VLOOKUP(E330,Costos!$A$1:$I$7161,9,FALSE)</f>
        <v>3.7539999999999997E-2</v>
      </c>
      <c r="L330" t="str">
        <f t="shared" si="12"/>
        <v>231</v>
      </c>
      <c r="M330" t="str">
        <f t="shared" si="13"/>
        <v>231009</v>
      </c>
    </row>
    <row r="331" spans="1:13" x14ac:dyDescent="0.25">
      <c r="A331">
        <v>2110020322</v>
      </c>
      <c r="B331" t="s">
        <v>1122</v>
      </c>
      <c r="C331">
        <v>2310090457</v>
      </c>
      <c r="D331" t="s">
        <v>2298</v>
      </c>
      <c r="E331">
        <v>2410090295</v>
      </c>
      <c r="F331" t="s">
        <v>88</v>
      </c>
      <c r="G331" t="s">
        <v>89</v>
      </c>
      <c r="H331">
        <v>0.8</v>
      </c>
      <c r="I331">
        <v>4</v>
      </c>
      <c r="J331">
        <v>8000</v>
      </c>
      <c r="K331">
        <f>+VLOOKUP(E331,Costos!$A$1:$I$7161,9,FALSE)</f>
        <v>18.454999999999998</v>
      </c>
      <c r="L331" t="str">
        <f t="shared" si="12"/>
        <v>241</v>
      </c>
      <c r="M331" t="str">
        <f t="shared" si="13"/>
        <v>241009</v>
      </c>
    </row>
    <row r="332" spans="1:13" x14ac:dyDescent="0.25">
      <c r="A332">
        <v>2110020322</v>
      </c>
      <c r="B332" t="s">
        <v>1122</v>
      </c>
      <c r="C332">
        <v>2310090457</v>
      </c>
      <c r="D332" t="s">
        <v>2298</v>
      </c>
      <c r="E332">
        <v>2410290142</v>
      </c>
      <c r="F332" t="s">
        <v>3394</v>
      </c>
      <c r="G332" t="s">
        <v>89</v>
      </c>
      <c r="H332">
        <v>40</v>
      </c>
      <c r="I332">
        <v>4</v>
      </c>
      <c r="J332">
        <v>8000</v>
      </c>
      <c r="K332">
        <f>+VLOOKUP(E332,Costos!$A$1:$I$7161,9,FALSE)</f>
        <v>4.9846349999999999</v>
      </c>
      <c r="L332" t="str">
        <f t="shared" si="12"/>
        <v>241</v>
      </c>
      <c r="M332" t="str">
        <f t="shared" si="13"/>
        <v>241029</v>
      </c>
    </row>
    <row r="333" spans="1:13" x14ac:dyDescent="0.25">
      <c r="A333">
        <v>2110020322</v>
      </c>
      <c r="B333" t="s">
        <v>1122</v>
      </c>
      <c r="C333">
        <v>2310210149</v>
      </c>
      <c r="D333" t="s">
        <v>2564</v>
      </c>
      <c r="E333">
        <v>2310160238</v>
      </c>
      <c r="F333" t="s">
        <v>2380</v>
      </c>
      <c r="G333" t="s">
        <v>71</v>
      </c>
      <c r="H333">
        <v>8000</v>
      </c>
      <c r="I333">
        <v>2</v>
      </c>
      <c r="J333">
        <v>8000</v>
      </c>
      <c r="K333">
        <f>+VLOOKUP(E333,Costos!$A$1:$I$7161,9,FALSE)</f>
        <v>2.3052E-2</v>
      </c>
      <c r="L333" t="str">
        <f t="shared" si="12"/>
        <v>231</v>
      </c>
      <c r="M333" t="str">
        <f t="shared" si="13"/>
        <v>231016</v>
      </c>
    </row>
    <row r="334" spans="1:13" x14ac:dyDescent="0.25">
      <c r="A334">
        <v>2110020322</v>
      </c>
      <c r="B334" t="s">
        <v>1122</v>
      </c>
      <c r="C334">
        <v>2310160238</v>
      </c>
      <c r="D334" t="s">
        <v>2380</v>
      </c>
      <c r="E334">
        <v>2410090295</v>
      </c>
      <c r="F334" t="s">
        <v>88</v>
      </c>
      <c r="G334" t="s">
        <v>89</v>
      </c>
      <c r="H334">
        <v>0.32800000000000001</v>
      </c>
      <c r="I334">
        <v>3</v>
      </c>
      <c r="J334">
        <v>8000</v>
      </c>
      <c r="K334">
        <f>+VLOOKUP(E334,Costos!$A$1:$I$7161,9,FALSE)</f>
        <v>18.454999999999998</v>
      </c>
      <c r="L334" t="str">
        <f t="shared" si="12"/>
        <v>241</v>
      </c>
      <c r="M334" t="str">
        <f t="shared" si="13"/>
        <v>241009</v>
      </c>
    </row>
    <row r="335" spans="1:13" x14ac:dyDescent="0.25">
      <c r="A335">
        <v>2110020322</v>
      </c>
      <c r="B335" t="s">
        <v>1122</v>
      </c>
      <c r="C335">
        <v>2310160238</v>
      </c>
      <c r="D335" t="s">
        <v>2380</v>
      </c>
      <c r="E335">
        <v>2410290215</v>
      </c>
      <c r="F335" t="s">
        <v>3400</v>
      </c>
      <c r="G335" t="s">
        <v>89</v>
      </c>
      <c r="H335">
        <v>16.64</v>
      </c>
      <c r="I335">
        <v>3</v>
      </c>
      <c r="J335">
        <v>8000</v>
      </c>
      <c r="K335">
        <f>+VLOOKUP(E335,Costos!$A$1:$I$7161,9,FALSE)</f>
        <v>6.2778530000000003</v>
      </c>
      <c r="L335" t="str">
        <f t="shared" si="12"/>
        <v>241</v>
      </c>
      <c r="M335" t="str">
        <f t="shared" si="13"/>
        <v>241029</v>
      </c>
    </row>
    <row r="336" spans="1:13" x14ac:dyDescent="0.25">
      <c r="A336">
        <v>2110020322</v>
      </c>
      <c r="B336" t="s">
        <v>1122</v>
      </c>
      <c r="C336">
        <v>2310210149</v>
      </c>
      <c r="D336" t="s">
        <v>2564</v>
      </c>
      <c r="E336">
        <v>2310160248</v>
      </c>
      <c r="F336" t="s">
        <v>2390</v>
      </c>
      <c r="G336" t="s">
        <v>71</v>
      </c>
      <c r="H336">
        <v>8000</v>
      </c>
      <c r="I336">
        <v>2</v>
      </c>
      <c r="J336">
        <v>8000</v>
      </c>
      <c r="K336">
        <f>+VLOOKUP(E336,Costos!$A$1:$I$7161,9,FALSE)</f>
        <v>1.0225E-2</v>
      </c>
      <c r="L336" t="str">
        <f t="shared" si="12"/>
        <v>231</v>
      </c>
      <c r="M336" t="str">
        <f t="shared" si="13"/>
        <v>231016</v>
      </c>
    </row>
    <row r="337" spans="1:13" x14ac:dyDescent="0.25">
      <c r="A337">
        <v>2110020322</v>
      </c>
      <c r="B337" t="s">
        <v>1122</v>
      </c>
      <c r="C337">
        <v>2310160248</v>
      </c>
      <c r="D337" t="s">
        <v>2390</v>
      </c>
      <c r="E337">
        <v>2410090295</v>
      </c>
      <c r="F337" t="s">
        <v>88</v>
      </c>
      <c r="G337" t="s">
        <v>89</v>
      </c>
      <c r="H337">
        <v>0.2044</v>
      </c>
      <c r="I337">
        <v>3</v>
      </c>
      <c r="J337">
        <v>8000</v>
      </c>
      <c r="K337">
        <f>+VLOOKUP(E337,Costos!$A$1:$I$7161,9,FALSE)</f>
        <v>18.454999999999998</v>
      </c>
      <c r="L337" t="str">
        <f t="shared" si="12"/>
        <v>241</v>
      </c>
      <c r="M337" t="str">
        <f t="shared" si="13"/>
        <v>241009</v>
      </c>
    </row>
    <row r="338" spans="1:13" x14ac:dyDescent="0.25">
      <c r="A338">
        <v>2110020322</v>
      </c>
      <c r="B338" t="s">
        <v>1122</v>
      </c>
      <c r="C338">
        <v>2310160248</v>
      </c>
      <c r="D338" t="s">
        <v>2390</v>
      </c>
      <c r="E338">
        <v>2410290626</v>
      </c>
      <c r="F338" t="s">
        <v>92</v>
      </c>
      <c r="G338" t="s">
        <v>89</v>
      </c>
      <c r="H338">
        <v>10.222200000000001</v>
      </c>
      <c r="I338">
        <v>3</v>
      </c>
      <c r="J338">
        <v>8000</v>
      </c>
      <c r="K338">
        <f>+VLOOKUP(E338,Costos!$A$1:$I$7161,9,FALSE)</f>
        <v>4.362679</v>
      </c>
      <c r="L338" t="str">
        <f t="shared" si="12"/>
        <v>241</v>
      </c>
      <c r="M338" t="str">
        <f t="shared" si="13"/>
        <v>241029</v>
      </c>
    </row>
    <row r="339" spans="1:13" x14ac:dyDescent="0.25">
      <c r="A339">
        <v>2110020322</v>
      </c>
      <c r="B339" t="s">
        <v>1122</v>
      </c>
      <c r="C339">
        <v>2310210149</v>
      </c>
      <c r="D339" t="s">
        <v>2564</v>
      </c>
      <c r="E339">
        <v>2410170037</v>
      </c>
      <c r="F339" t="s">
        <v>3336</v>
      </c>
      <c r="G339" t="s">
        <v>71</v>
      </c>
      <c r="H339">
        <v>8000</v>
      </c>
      <c r="I339">
        <v>2</v>
      </c>
      <c r="J339">
        <v>8000</v>
      </c>
      <c r="K339">
        <f>+VLOOKUP(E339,Costos!$A$1:$I$7161,9,FALSE)</f>
        <v>4.2382999999999997E-2</v>
      </c>
      <c r="L339" t="str">
        <f t="shared" si="12"/>
        <v>241</v>
      </c>
      <c r="M339" t="str">
        <f t="shared" si="13"/>
        <v>241017</v>
      </c>
    </row>
    <row r="340" spans="1:13" x14ac:dyDescent="0.25">
      <c r="A340">
        <v>2110020322</v>
      </c>
      <c r="B340" t="s">
        <v>1122</v>
      </c>
      <c r="C340">
        <v>2310210149</v>
      </c>
      <c r="D340" t="s">
        <v>2564</v>
      </c>
      <c r="E340">
        <v>2410170233</v>
      </c>
      <c r="F340" t="s">
        <v>3351</v>
      </c>
      <c r="G340" t="s">
        <v>71</v>
      </c>
      <c r="H340">
        <v>8000</v>
      </c>
      <c r="I340">
        <v>2</v>
      </c>
      <c r="J340">
        <v>8000</v>
      </c>
      <c r="K340">
        <f>+VLOOKUP(E340,Costos!$A$1:$I$7161,9,FALSE)</f>
        <v>2.9669999999999998E-2</v>
      </c>
      <c r="L340" t="str">
        <f t="shared" si="12"/>
        <v>241</v>
      </c>
      <c r="M340" t="str">
        <f t="shared" si="13"/>
        <v>241017</v>
      </c>
    </row>
    <row r="341" spans="1:13" x14ac:dyDescent="0.25">
      <c r="A341">
        <v>2110020322</v>
      </c>
      <c r="B341" t="s">
        <v>1122</v>
      </c>
      <c r="C341">
        <v>2310210149</v>
      </c>
      <c r="D341" t="s">
        <v>2564</v>
      </c>
      <c r="E341">
        <v>2310180036</v>
      </c>
      <c r="F341" t="s">
        <v>42</v>
      </c>
      <c r="G341" t="s">
        <v>71</v>
      </c>
      <c r="H341">
        <v>25.333300000000001</v>
      </c>
      <c r="I341">
        <v>2</v>
      </c>
      <c r="J341">
        <v>8000</v>
      </c>
      <c r="K341">
        <f>+VLOOKUP(E341,Costos!$A$1:$I$7161,9,FALSE)</f>
        <v>13.235526999999999</v>
      </c>
      <c r="L341" t="str">
        <f t="shared" si="12"/>
        <v>231</v>
      </c>
      <c r="M341" t="str">
        <f t="shared" si="13"/>
        <v>231018</v>
      </c>
    </row>
    <row r="342" spans="1:13" x14ac:dyDescent="0.25">
      <c r="A342">
        <v>2110020322</v>
      </c>
      <c r="B342" t="s">
        <v>1122</v>
      </c>
      <c r="C342">
        <v>2310180036</v>
      </c>
      <c r="D342" t="s">
        <v>42</v>
      </c>
      <c r="E342">
        <v>2430450001</v>
      </c>
      <c r="F342" t="s">
        <v>93</v>
      </c>
      <c r="G342" t="s">
        <v>89</v>
      </c>
      <c r="H342">
        <v>2.5333000000000001</v>
      </c>
      <c r="I342">
        <v>3</v>
      </c>
      <c r="J342">
        <v>8000</v>
      </c>
      <c r="K342">
        <f>+VLOOKUP(E342,Costos!$A$1:$I$7161,9,FALSE)</f>
        <v>5.0953559999999998</v>
      </c>
      <c r="L342" t="str">
        <f t="shared" si="12"/>
        <v>243</v>
      </c>
      <c r="M342" t="str">
        <f t="shared" si="13"/>
        <v>243045</v>
      </c>
    </row>
    <row r="343" spans="1:13" x14ac:dyDescent="0.25">
      <c r="A343">
        <v>2110020322</v>
      </c>
      <c r="B343" t="s">
        <v>1122</v>
      </c>
      <c r="C343">
        <v>2310180036</v>
      </c>
      <c r="D343" t="s">
        <v>42</v>
      </c>
      <c r="E343">
        <v>2310180048</v>
      </c>
      <c r="F343" t="s">
        <v>94</v>
      </c>
      <c r="G343" t="s">
        <v>89</v>
      </c>
      <c r="H343">
        <v>3.1667000000000001</v>
      </c>
      <c r="I343">
        <v>3</v>
      </c>
      <c r="J343">
        <v>8000</v>
      </c>
      <c r="K343">
        <f>+VLOOKUP(E343,Costos!$A$1:$I$7161,9,FALSE)</f>
        <v>2.7850670000000002</v>
      </c>
      <c r="L343" t="str">
        <f t="shared" si="12"/>
        <v>231</v>
      </c>
      <c r="M343" t="str">
        <f t="shared" si="13"/>
        <v>231018</v>
      </c>
    </row>
    <row r="344" spans="1:13" x14ac:dyDescent="0.25">
      <c r="A344">
        <v>2110020322</v>
      </c>
      <c r="B344" t="s">
        <v>1122</v>
      </c>
      <c r="C344">
        <v>2310180048</v>
      </c>
      <c r="D344" t="s">
        <v>94</v>
      </c>
      <c r="E344">
        <v>2410210019</v>
      </c>
      <c r="F344" t="s">
        <v>113</v>
      </c>
      <c r="G344" t="s">
        <v>89</v>
      </c>
      <c r="H344">
        <v>6.3299999999999995E-2</v>
      </c>
      <c r="I344">
        <v>4</v>
      </c>
      <c r="J344">
        <v>8000</v>
      </c>
      <c r="K344">
        <f>+VLOOKUP(E344,Costos!$A$1:$I$7161,9,FALSE)</f>
        <v>7.5043049999999996</v>
      </c>
      <c r="L344" t="str">
        <f t="shared" si="12"/>
        <v>241</v>
      </c>
      <c r="M344" t="str">
        <f t="shared" si="13"/>
        <v>241021</v>
      </c>
    </row>
    <row r="345" spans="1:13" x14ac:dyDescent="0.25">
      <c r="A345">
        <v>2110020322</v>
      </c>
      <c r="B345" t="s">
        <v>1122</v>
      </c>
      <c r="C345">
        <v>2310180048</v>
      </c>
      <c r="D345" t="s">
        <v>94</v>
      </c>
      <c r="E345">
        <v>2430930001</v>
      </c>
      <c r="F345" t="s">
        <v>114</v>
      </c>
      <c r="G345" t="s">
        <v>89</v>
      </c>
      <c r="H345">
        <v>1.615</v>
      </c>
      <c r="I345">
        <v>4</v>
      </c>
      <c r="J345">
        <v>8000</v>
      </c>
      <c r="K345">
        <f>+VLOOKUP(E345,Costos!$A$1:$I$7161,9,FALSE)</f>
        <v>4.7685019999999998</v>
      </c>
      <c r="L345" t="str">
        <f t="shared" si="12"/>
        <v>243</v>
      </c>
      <c r="M345" t="str">
        <f t="shared" si="13"/>
        <v>243093</v>
      </c>
    </row>
    <row r="346" spans="1:13" x14ac:dyDescent="0.25">
      <c r="A346">
        <v>2110020322</v>
      </c>
      <c r="B346" t="s">
        <v>1122</v>
      </c>
      <c r="C346">
        <v>2310180048</v>
      </c>
      <c r="D346" t="s">
        <v>94</v>
      </c>
      <c r="E346">
        <v>2430880022</v>
      </c>
      <c r="F346" t="s">
        <v>115</v>
      </c>
      <c r="G346" t="s">
        <v>89</v>
      </c>
      <c r="H346">
        <v>9.4999999999999998E-3</v>
      </c>
      <c r="I346">
        <v>4</v>
      </c>
      <c r="J346">
        <v>8000</v>
      </c>
      <c r="K346">
        <f>+VLOOKUP(E346,Costos!$A$1:$I$7161,9,FALSE)</f>
        <v>5.3984490000000003</v>
      </c>
      <c r="L346" t="str">
        <f t="shared" si="12"/>
        <v>243</v>
      </c>
      <c r="M346" t="str">
        <f t="shared" si="13"/>
        <v>243088</v>
      </c>
    </row>
    <row r="347" spans="1:13" x14ac:dyDescent="0.25">
      <c r="A347">
        <v>2110020322</v>
      </c>
      <c r="B347" t="s">
        <v>1122</v>
      </c>
      <c r="C347">
        <v>2310180036</v>
      </c>
      <c r="D347" t="s">
        <v>42</v>
      </c>
      <c r="E347">
        <v>2410210003</v>
      </c>
      <c r="F347" t="s">
        <v>95</v>
      </c>
      <c r="G347" t="s">
        <v>89</v>
      </c>
      <c r="H347">
        <v>5.0667</v>
      </c>
      <c r="I347">
        <v>3</v>
      </c>
      <c r="J347">
        <v>8000</v>
      </c>
      <c r="K347">
        <f>+VLOOKUP(E347,Costos!$A$1:$I$7161,9,FALSE)</f>
        <v>5.0519999999999996</v>
      </c>
      <c r="L347" t="str">
        <f t="shared" si="12"/>
        <v>241</v>
      </c>
      <c r="M347" t="str">
        <f t="shared" si="13"/>
        <v>241021</v>
      </c>
    </row>
    <row r="348" spans="1:13" x14ac:dyDescent="0.25">
      <c r="A348">
        <v>2110020322</v>
      </c>
      <c r="B348" t="s">
        <v>1122</v>
      </c>
      <c r="C348">
        <v>2310180036</v>
      </c>
      <c r="D348" t="s">
        <v>42</v>
      </c>
      <c r="E348">
        <v>2410090267</v>
      </c>
      <c r="F348" t="s">
        <v>96</v>
      </c>
      <c r="G348" t="s">
        <v>89</v>
      </c>
      <c r="H348">
        <v>5.1000000000000004E-3</v>
      </c>
      <c r="I348">
        <v>3</v>
      </c>
      <c r="J348">
        <v>8000</v>
      </c>
      <c r="K348">
        <f>+VLOOKUP(E348,Costos!$A$1:$I$7161,9,FALSE)</f>
        <v>125.553377</v>
      </c>
      <c r="L348" t="str">
        <f t="shared" si="12"/>
        <v>241</v>
      </c>
      <c r="M348" t="str">
        <f t="shared" si="13"/>
        <v>241009</v>
      </c>
    </row>
    <row r="349" spans="1:13" x14ac:dyDescent="0.25">
      <c r="A349">
        <v>2110020322</v>
      </c>
      <c r="B349" t="s">
        <v>1122</v>
      </c>
      <c r="C349">
        <v>2310180036</v>
      </c>
      <c r="D349" t="s">
        <v>42</v>
      </c>
      <c r="E349">
        <v>2410090268</v>
      </c>
      <c r="F349" t="s">
        <v>97</v>
      </c>
      <c r="G349" t="s">
        <v>89</v>
      </c>
      <c r="H349">
        <v>0.83599999999999997</v>
      </c>
      <c r="I349">
        <v>3</v>
      </c>
      <c r="J349">
        <v>8000</v>
      </c>
      <c r="K349">
        <f>+VLOOKUP(E349,Costos!$A$1:$I$7161,9,FALSE)</f>
        <v>138.307931</v>
      </c>
      <c r="L349" t="str">
        <f t="shared" si="12"/>
        <v>241</v>
      </c>
      <c r="M349" t="str">
        <f t="shared" si="13"/>
        <v>241009</v>
      </c>
    </row>
    <row r="350" spans="1:13" x14ac:dyDescent="0.25">
      <c r="A350">
        <v>2110020322</v>
      </c>
      <c r="B350" t="s">
        <v>1122</v>
      </c>
      <c r="C350">
        <v>2310180036</v>
      </c>
      <c r="D350" t="s">
        <v>42</v>
      </c>
      <c r="E350">
        <v>2410090269</v>
      </c>
      <c r="F350" t="s">
        <v>98</v>
      </c>
      <c r="G350" t="s">
        <v>89</v>
      </c>
      <c r="H350">
        <v>0.45090000000000002</v>
      </c>
      <c r="I350">
        <v>3</v>
      </c>
      <c r="J350">
        <v>8000</v>
      </c>
      <c r="K350">
        <f>+VLOOKUP(E350,Costos!$A$1:$I$7161,9,FALSE)</f>
        <v>323.08498100000003</v>
      </c>
      <c r="L350" t="str">
        <f t="shared" si="12"/>
        <v>241</v>
      </c>
      <c r="M350" t="str">
        <f t="shared" si="13"/>
        <v>241009</v>
      </c>
    </row>
    <row r="351" spans="1:13" x14ac:dyDescent="0.25">
      <c r="A351">
        <v>2110020322</v>
      </c>
      <c r="B351" t="s">
        <v>1122</v>
      </c>
      <c r="C351">
        <v>2110020322</v>
      </c>
      <c r="D351" t="s">
        <v>1122</v>
      </c>
      <c r="E351">
        <v>2310210150</v>
      </c>
      <c r="F351" t="s">
        <v>2565</v>
      </c>
      <c r="G351" t="s">
        <v>20</v>
      </c>
      <c r="H351">
        <v>8000</v>
      </c>
      <c r="I351">
        <v>1</v>
      </c>
      <c r="J351">
        <v>8000</v>
      </c>
      <c r="K351">
        <f>+VLOOKUP(E351,Costos!$A$1:$I$7161,9,FALSE)</f>
        <v>0.257913</v>
      </c>
      <c r="L351" t="str">
        <f t="shared" si="12"/>
        <v>231</v>
      </c>
      <c r="M351" t="str">
        <f t="shared" si="13"/>
        <v>231021</v>
      </c>
    </row>
    <row r="352" spans="1:13" x14ac:dyDescent="0.25">
      <c r="A352">
        <v>2110020322</v>
      </c>
      <c r="B352" t="s">
        <v>1122</v>
      </c>
      <c r="C352">
        <v>2310210150</v>
      </c>
      <c r="D352" t="s">
        <v>2565</v>
      </c>
      <c r="E352">
        <v>2310090492</v>
      </c>
      <c r="F352" t="s">
        <v>2314</v>
      </c>
      <c r="G352" t="s">
        <v>71</v>
      </c>
      <c r="H352">
        <v>8000</v>
      </c>
      <c r="I352">
        <v>2</v>
      </c>
      <c r="J352">
        <v>8000</v>
      </c>
      <c r="K352">
        <f>+VLOOKUP(E352,Costos!$A$1:$I$7161,9,FALSE)</f>
        <v>5.0191E-2</v>
      </c>
      <c r="L352" t="str">
        <f t="shared" si="12"/>
        <v>231</v>
      </c>
      <c r="M352" t="str">
        <f t="shared" si="13"/>
        <v>231009</v>
      </c>
    </row>
    <row r="353" spans="1:13" x14ac:dyDescent="0.25">
      <c r="A353">
        <v>2110020322</v>
      </c>
      <c r="B353" t="s">
        <v>1122</v>
      </c>
      <c r="C353">
        <v>2310090492</v>
      </c>
      <c r="D353" t="s">
        <v>2314</v>
      </c>
      <c r="E353">
        <v>2410200005</v>
      </c>
      <c r="F353" t="s">
        <v>3363</v>
      </c>
      <c r="G353" t="s">
        <v>89</v>
      </c>
      <c r="H353">
        <v>4.0000000000000002E-4</v>
      </c>
      <c r="I353">
        <v>3</v>
      </c>
      <c r="J353">
        <v>8000</v>
      </c>
      <c r="K353">
        <f>+VLOOKUP(E353,Costos!$A$1:$I$7161,9,FALSE)</f>
        <v>26.802222</v>
      </c>
      <c r="L353" t="str">
        <f t="shared" si="12"/>
        <v>241</v>
      </c>
      <c r="M353" t="str">
        <f t="shared" si="13"/>
        <v>241020</v>
      </c>
    </row>
    <row r="354" spans="1:13" x14ac:dyDescent="0.25">
      <c r="A354">
        <v>2110020322</v>
      </c>
      <c r="B354" t="s">
        <v>1122</v>
      </c>
      <c r="C354">
        <v>2310090492</v>
      </c>
      <c r="D354" t="s">
        <v>2314</v>
      </c>
      <c r="E354">
        <v>2410110108</v>
      </c>
      <c r="F354" t="s">
        <v>3313</v>
      </c>
      <c r="G354" t="s">
        <v>89</v>
      </c>
      <c r="H354">
        <v>4.0000000000000001E-3</v>
      </c>
      <c r="I354">
        <v>3</v>
      </c>
      <c r="J354">
        <v>8000</v>
      </c>
      <c r="K354">
        <f>+VLOOKUP(E354,Costos!$A$1:$I$7161,9,FALSE)</f>
        <v>89.025000000000006</v>
      </c>
      <c r="L354" t="str">
        <f t="shared" si="12"/>
        <v>241</v>
      </c>
      <c r="M354" t="str">
        <f t="shared" si="13"/>
        <v>241011</v>
      </c>
    </row>
    <row r="355" spans="1:13" x14ac:dyDescent="0.25">
      <c r="A355">
        <v>2110020322</v>
      </c>
      <c r="B355" t="s">
        <v>1122</v>
      </c>
      <c r="C355">
        <v>2310090492</v>
      </c>
      <c r="D355" t="s">
        <v>2314</v>
      </c>
      <c r="E355">
        <v>2310090458</v>
      </c>
      <c r="F355" t="s">
        <v>2299</v>
      </c>
      <c r="G355" t="s">
        <v>89</v>
      </c>
      <c r="H355">
        <v>8000</v>
      </c>
      <c r="I355">
        <v>3</v>
      </c>
      <c r="J355">
        <v>8000</v>
      </c>
      <c r="K355">
        <f>+VLOOKUP(E355,Costos!$A$1:$I$7161,9,FALSE)</f>
        <v>4.0030000000000003E-2</v>
      </c>
      <c r="L355" t="str">
        <f t="shared" si="12"/>
        <v>231</v>
      </c>
      <c r="M355" t="str">
        <f t="shared" si="13"/>
        <v>231009</v>
      </c>
    </row>
    <row r="356" spans="1:13" x14ac:dyDescent="0.25">
      <c r="A356">
        <v>2110020322</v>
      </c>
      <c r="B356" t="s">
        <v>1122</v>
      </c>
      <c r="C356">
        <v>2310090458</v>
      </c>
      <c r="D356" t="s">
        <v>2299</v>
      </c>
      <c r="E356">
        <v>2410090310</v>
      </c>
      <c r="F356" t="s">
        <v>99</v>
      </c>
      <c r="G356" t="s">
        <v>89</v>
      </c>
      <c r="H356">
        <v>0.48</v>
      </c>
      <c r="I356">
        <v>4</v>
      </c>
      <c r="J356">
        <v>8000</v>
      </c>
      <c r="K356">
        <f>+VLOOKUP(E356,Costos!$A$1:$I$7161,9,FALSE)</f>
        <v>8.8844879999999993</v>
      </c>
      <c r="L356" t="str">
        <f t="shared" si="12"/>
        <v>241</v>
      </c>
      <c r="M356" t="str">
        <f t="shared" si="13"/>
        <v>241009</v>
      </c>
    </row>
    <row r="357" spans="1:13" x14ac:dyDescent="0.25">
      <c r="A357">
        <v>2110020322</v>
      </c>
      <c r="B357" t="s">
        <v>1122</v>
      </c>
      <c r="C357">
        <v>2310090458</v>
      </c>
      <c r="D357" t="s">
        <v>2299</v>
      </c>
      <c r="E357">
        <v>2410290142</v>
      </c>
      <c r="F357" t="s">
        <v>3394</v>
      </c>
      <c r="G357" t="s">
        <v>89</v>
      </c>
      <c r="H357">
        <v>40</v>
      </c>
      <c r="I357">
        <v>4</v>
      </c>
      <c r="J357">
        <v>8000</v>
      </c>
      <c r="K357">
        <f>+VLOOKUP(E357,Costos!$A$1:$I$7161,9,FALSE)</f>
        <v>4.9846349999999999</v>
      </c>
      <c r="L357" t="str">
        <f t="shared" si="12"/>
        <v>241</v>
      </c>
      <c r="M357" t="str">
        <f t="shared" si="13"/>
        <v>241029</v>
      </c>
    </row>
    <row r="358" spans="1:13" x14ac:dyDescent="0.25">
      <c r="A358">
        <v>2110020322</v>
      </c>
      <c r="B358" t="s">
        <v>1122</v>
      </c>
      <c r="C358">
        <v>2310210150</v>
      </c>
      <c r="D358" t="s">
        <v>2565</v>
      </c>
      <c r="E358">
        <v>2310160239</v>
      </c>
      <c r="F358" t="s">
        <v>2381</v>
      </c>
      <c r="G358" t="s">
        <v>71</v>
      </c>
      <c r="H358">
        <v>8000</v>
      </c>
      <c r="I358">
        <v>2</v>
      </c>
      <c r="J358">
        <v>8000</v>
      </c>
      <c r="K358">
        <f>+VLOOKUP(E358,Costos!$A$1:$I$7161,9,FALSE)</f>
        <v>2.836E-2</v>
      </c>
      <c r="L358" t="str">
        <f t="shared" si="12"/>
        <v>231</v>
      </c>
      <c r="M358" t="str">
        <f t="shared" si="13"/>
        <v>231016</v>
      </c>
    </row>
    <row r="359" spans="1:13" x14ac:dyDescent="0.25">
      <c r="A359">
        <v>2110020322</v>
      </c>
      <c r="B359" t="s">
        <v>1122</v>
      </c>
      <c r="C359">
        <v>2310160239</v>
      </c>
      <c r="D359" t="s">
        <v>2381</v>
      </c>
      <c r="E359">
        <v>2410090310</v>
      </c>
      <c r="F359" t="s">
        <v>99</v>
      </c>
      <c r="G359" t="s">
        <v>89</v>
      </c>
      <c r="H359">
        <v>0.1968</v>
      </c>
      <c r="I359">
        <v>3</v>
      </c>
      <c r="J359">
        <v>8000</v>
      </c>
      <c r="K359">
        <f>+VLOOKUP(E359,Costos!$A$1:$I$7161,9,FALSE)</f>
        <v>8.8844879999999993</v>
      </c>
      <c r="L359" t="str">
        <f t="shared" si="12"/>
        <v>241</v>
      </c>
      <c r="M359" t="str">
        <f t="shared" si="13"/>
        <v>241009</v>
      </c>
    </row>
    <row r="360" spans="1:13" x14ac:dyDescent="0.25">
      <c r="A360">
        <v>2110020322</v>
      </c>
      <c r="B360" t="s">
        <v>1122</v>
      </c>
      <c r="C360">
        <v>2310160239</v>
      </c>
      <c r="D360" t="s">
        <v>2381</v>
      </c>
      <c r="E360">
        <v>2410290215</v>
      </c>
      <c r="F360" t="s">
        <v>3400</v>
      </c>
      <c r="G360" t="s">
        <v>89</v>
      </c>
      <c r="H360">
        <v>16.64</v>
      </c>
      <c r="I360">
        <v>3</v>
      </c>
      <c r="J360">
        <v>8000</v>
      </c>
      <c r="K360">
        <f>+VLOOKUP(E360,Costos!$A$1:$I$7161,9,FALSE)</f>
        <v>6.2778530000000003</v>
      </c>
      <c r="L360" t="str">
        <f t="shared" si="12"/>
        <v>241</v>
      </c>
      <c r="M360" t="str">
        <f t="shared" si="13"/>
        <v>241029</v>
      </c>
    </row>
    <row r="361" spans="1:13" x14ac:dyDescent="0.25">
      <c r="A361">
        <v>2110020322</v>
      </c>
      <c r="B361" t="s">
        <v>1122</v>
      </c>
      <c r="C361">
        <v>2310210150</v>
      </c>
      <c r="D361" t="s">
        <v>2565</v>
      </c>
      <c r="E361">
        <v>2310160249</v>
      </c>
      <c r="F361" t="s">
        <v>2391</v>
      </c>
      <c r="G361" t="s">
        <v>71</v>
      </c>
      <c r="H361">
        <v>8000</v>
      </c>
      <c r="I361">
        <v>2</v>
      </c>
      <c r="J361">
        <v>8000</v>
      </c>
      <c r="K361">
        <f>+VLOOKUP(E361,Costos!$A$1:$I$7161,9,FALSE)</f>
        <v>1.1369000000000001E-2</v>
      </c>
      <c r="L361" t="str">
        <f t="shared" si="12"/>
        <v>231</v>
      </c>
      <c r="M361" t="str">
        <f t="shared" si="13"/>
        <v>231016</v>
      </c>
    </row>
    <row r="362" spans="1:13" x14ac:dyDescent="0.25">
      <c r="A362">
        <v>2110020322</v>
      </c>
      <c r="B362" t="s">
        <v>1122</v>
      </c>
      <c r="C362">
        <v>2310160249</v>
      </c>
      <c r="D362" t="s">
        <v>2391</v>
      </c>
      <c r="E362">
        <v>2410090310</v>
      </c>
      <c r="F362" t="s">
        <v>99</v>
      </c>
      <c r="G362" t="s">
        <v>89</v>
      </c>
      <c r="H362">
        <v>0.1227</v>
      </c>
      <c r="I362">
        <v>3</v>
      </c>
      <c r="J362">
        <v>8000</v>
      </c>
      <c r="K362">
        <f>+VLOOKUP(E362,Costos!$A$1:$I$7161,9,FALSE)</f>
        <v>8.8844879999999993</v>
      </c>
      <c r="L362" t="str">
        <f t="shared" si="12"/>
        <v>241</v>
      </c>
      <c r="M362" t="str">
        <f t="shared" si="13"/>
        <v>241009</v>
      </c>
    </row>
    <row r="363" spans="1:13" x14ac:dyDescent="0.25">
      <c r="A363">
        <v>2110020322</v>
      </c>
      <c r="B363" t="s">
        <v>1122</v>
      </c>
      <c r="C363">
        <v>2310160249</v>
      </c>
      <c r="D363" t="s">
        <v>2391</v>
      </c>
      <c r="E363">
        <v>2410290626</v>
      </c>
      <c r="F363" t="s">
        <v>92</v>
      </c>
      <c r="G363" t="s">
        <v>89</v>
      </c>
      <c r="H363">
        <v>10.222200000000001</v>
      </c>
      <c r="I363">
        <v>3</v>
      </c>
      <c r="J363">
        <v>8000</v>
      </c>
      <c r="K363">
        <f>+VLOOKUP(E363,Costos!$A$1:$I$7161,9,FALSE)</f>
        <v>4.362679</v>
      </c>
      <c r="L363" t="str">
        <f t="shared" si="12"/>
        <v>241</v>
      </c>
      <c r="M363" t="str">
        <f t="shared" si="13"/>
        <v>241029</v>
      </c>
    </row>
    <row r="364" spans="1:13" x14ac:dyDescent="0.25">
      <c r="A364">
        <v>2110020322</v>
      </c>
      <c r="B364" t="s">
        <v>1122</v>
      </c>
      <c r="C364">
        <v>2310210150</v>
      </c>
      <c r="D364" t="s">
        <v>2565</v>
      </c>
      <c r="E364">
        <v>2410170037</v>
      </c>
      <c r="F364" t="s">
        <v>3336</v>
      </c>
      <c r="G364" t="s">
        <v>71</v>
      </c>
      <c r="H364">
        <v>8000</v>
      </c>
      <c r="I364">
        <v>2</v>
      </c>
      <c r="J364">
        <v>8000</v>
      </c>
      <c r="K364">
        <f>+VLOOKUP(E364,Costos!$A$1:$I$7161,9,FALSE)</f>
        <v>4.2382999999999997E-2</v>
      </c>
      <c r="L364" t="str">
        <f t="shared" si="12"/>
        <v>241</v>
      </c>
      <c r="M364" t="str">
        <f t="shared" si="13"/>
        <v>241017</v>
      </c>
    </row>
    <row r="365" spans="1:13" x14ac:dyDescent="0.25">
      <c r="A365">
        <v>2110020322</v>
      </c>
      <c r="B365" t="s">
        <v>1122</v>
      </c>
      <c r="C365">
        <v>2310210150</v>
      </c>
      <c r="D365" t="s">
        <v>2565</v>
      </c>
      <c r="E365">
        <v>2410170233</v>
      </c>
      <c r="F365" t="s">
        <v>3351</v>
      </c>
      <c r="G365" t="s">
        <v>71</v>
      </c>
      <c r="H365">
        <v>8000</v>
      </c>
      <c r="I365">
        <v>2</v>
      </c>
      <c r="J365">
        <v>8000</v>
      </c>
      <c r="K365">
        <f>+VLOOKUP(E365,Costos!$A$1:$I$7161,9,FALSE)</f>
        <v>2.9669999999999998E-2</v>
      </c>
      <c r="L365" t="str">
        <f t="shared" si="12"/>
        <v>241</v>
      </c>
      <c r="M365" t="str">
        <f t="shared" si="13"/>
        <v>241017</v>
      </c>
    </row>
    <row r="366" spans="1:13" x14ac:dyDescent="0.25">
      <c r="A366">
        <v>2110020322</v>
      </c>
      <c r="B366" t="s">
        <v>1122</v>
      </c>
      <c r="C366">
        <v>2310210150</v>
      </c>
      <c r="D366" t="s">
        <v>2565</v>
      </c>
      <c r="E366">
        <v>2310180042</v>
      </c>
      <c r="F366" t="s">
        <v>46</v>
      </c>
      <c r="G366" t="s">
        <v>71</v>
      </c>
      <c r="H366">
        <v>25.333300000000001</v>
      </c>
      <c r="I366">
        <v>2</v>
      </c>
      <c r="J366">
        <v>8000</v>
      </c>
      <c r="K366">
        <f>+VLOOKUP(E366,Costos!$A$1:$I$7161,9,FALSE)</f>
        <v>14.462350000000001</v>
      </c>
      <c r="L366" t="str">
        <f t="shared" si="12"/>
        <v>231</v>
      </c>
      <c r="M366" t="str">
        <f t="shared" si="13"/>
        <v>231018</v>
      </c>
    </row>
    <row r="367" spans="1:13" x14ac:dyDescent="0.25">
      <c r="A367">
        <v>2110020322</v>
      </c>
      <c r="B367" t="s">
        <v>1122</v>
      </c>
      <c r="C367">
        <v>2310180042</v>
      </c>
      <c r="D367" t="s">
        <v>46</v>
      </c>
      <c r="E367">
        <v>2430450001</v>
      </c>
      <c r="F367" t="s">
        <v>93</v>
      </c>
      <c r="G367" t="s">
        <v>89</v>
      </c>
      <c r="H367">
        <v>2.5333000000000001</v>
      </c>
      <c r="I367">
        <v>3</v>
      </c>
      <c r="J367">
        <v>8000</v>
      </c>
      <c r="K367">
        <f>+VLOOKUP(E367,Costos!$A$1:$I$7161,9,FALSE)</f>
        <v>5.0953559999999998</v>
      </c>
      <c r="L367" t="str">
        <f t="shared" si="12"/>
        <v>243</v>
      </c>
      <c r="M367" t="str">
        <f t="shared" si="13"/>
        <v>243045</v>
      </c>
    </row>
    <row r="368" spans="1:13" x14ac:dyDescent="0.25">
      <c r="A368">
        <v>2110020322</v>
      </c>
      <c r="B368" t="s">
        <v>1122</v>
      </c>
      <c r="C368">
        <v>2310180042</v>
      </c>
      <c r="D368" t="s">
        <v>46</v>
      </c>
      <c r="E368">
        <v>2310180048</v>
      </c>
      <c r="F368" t="s">
        <v>94</v>
      </c>
      <c r="G368" t="s">
        <v>89</v>
      </c>
      <c r="H368">
        <v>3.1665999999999999</v>
      </c>
      <c r="I368">
        <v>3</v>
      </c>
      <c r="J368">
        <v>8000</v>
      </c>
      <c r="K368">
        <f>+VLOOKUP(E368,Costos!$A$1:$I$7161,9,FALSE)</f>
        <v>2.7850670000000002</v>
      </c>
      <c r="L368" t="str">
        <f t="shared" si="12"/>
        <v>231</v>
      </c>
      <c r="M368" t="str">
        <f t="shared" si="13"/>
        <v>231018</v>
      </c>
    </row>
    <row r="369" spans="1:13" x14ac:dyDescent="0.25">
      <c r="A369">
        <v>2110020322</v>
      </c>
      <c r="B369" t="s">
        <v>1122</v>
      </c>
      <c r="C369">
        <v>2310180048</v>
      </c>
      <c r="D369" t="s">
        <v>94</v>
      </c>
      <c r="E369">
        <v>2410210019</v>
      </c>
      <c r="F369" t="s">
        <v>113</v>
      </c>
      <c r="G369" t="s">
        <v>89</v>
      </c>
      <c r="H369">
        <v>6.3299999999999995E-2</v>
      </c>
      <c r="I369">
        <v>4</v>
      </c>
      <c r="J369">
        <v>8000</v>
      </c>
      <c r="K369">
        <f>+VLOOKUP(E369,Costos!$A$1:$I$7161,9,FALSE)</f>
        <v>7.5043049999999996</v>
      </c>
      <c r="L369" t="str">
        <f t="shared" si="12"/>
        <v>241</v>
      </c>
      <c r="M369" t="str">
        <f t="shared" si="13"/>
        <v>241021</v>
      </c>
    </row>
    <row r="370" spans="1:13" x14ac:dyDescent="0.25">
      <c r="A370">
        <v>2110020322</v>
      </c>
      <c r="B370" t="s">
        <v>1122</v>
      </c>
      <c r="C370">
        <v>2310180048</v>
      </c>
      <c r="D370" t="s">
        <v>94</v>
      </c>
      <c r="E370">
        <v>2430930001</v>
      </c>
      <c r="F370" t="s">
        <v>114</v>
      </c>
      <c r="G370" t="s">
        <v>89</v>
      </c>
      <c r="H370">
        <v>1.615</v>
      </c>
      <c r="I370">
        <v>4</v>
      </c>
      <c r="J370">
        <v>8000</v>
      </c>
      <c r="K370">
        <f>+VLOOKUP(E370,Costos!$A$1:$I$7161,9,FALSE)</f>
        <v>4.7685019999999998</v>
      </c>
      <c r="L370" t="str">
        <f t="shared" si="12"/>
        <v>243</v>
      </c>
      <c r="M370" t="str">
        <f t="shared" si="13"/>
        <v>243093</v>
      </c>
    </row>
    <row r="371" spans="1:13" x14ac:dyDescent="0.25">
      <c r="A371">
        <v>2110020322</v>
      </c>
      <c r="B371" t="s">
        <v>1122</v>
      </c>
      <c r="C371">
        <v>2310180048</v>
      </c>
      <c r="D371" t="s">
        <v>94</v>
      </c>
      <c r="E371">
        <v>2430880022</v>
      </c>
      <c r="F371" t="s">
        <v>115</v>
      </c>
      <c r="G371" t="s">
        <v>89</v>
      </c>
      <c r="H371">
        <v>9.4999999999999998E-3</v>
      </c>
      <c r="I371">
        <v>4</v>
      </c>
      <c r="J371">
        <v>8000</v>
      </c>
      <c r="K371">
        <f>+VLOOKUP(E371,Costos!$A$1:$I$7161,9,FALSE)</f>
        <v>5.3984490000000003</v>
      </c>
      <c r="L371" t="str">
        <f t="shared" si="12"/>
        <v>243</v>
      </c>
      <c r="M371" t="str">
        <f t="shared" si="13"/>
        <v>243088</v>
      </c>
    </row>
    <row r="372" spans="1:13" x14ac:dyDescent="0.25">
      <c r="A372">
        <v>2110020322</v>
      </c>
      <c r="B372" t="s">
        <v>1122</v>
      </c>
      <c r="C372">
        <v>2310180042</v>
      </c>
      <c r="D372" t="s">
        <v>46</v>
      </c>
      <c r="E372">
        <v>2410210003</v>
      </c>
      <c r="F372" t="s">
        <v>95</v>
      </c>
      <c r="G372" t="s">
        <v>89</v>
      </c>
      <c r="H372">
        <v>5.0666000000000002</v>
      </c>
      <c r="I372">
        <v>3</v>
      </c>
      <c r="J372">
        <v>8000</v>
      </c>
      <c r="K372">
        <f>+VLOOKUP(E372,Costos!$A$1:$I$7161,9,FALSE)</f>
        <v>5.0519999999999996</v>
      </c>
      <c r="L372" t="str">
        <f t="shared" si="12"/>
        <v>241</v>
      </c>
      <c r="M372" t="str">
        <f t="shared" si="13"/>
        <v>241021</v>
      </c>
    </row>
    <row r="373" spans="1:13" x14ac:dyDescent="0.25">
      <c r="A373">
        <v>2110020322</v>
      </c>
      <c r="B373" t="s">
        <v>1122</v>
      </c>
      <c r="C373">
        <v>2310180042</v>
      </c>
      <c r="D373" t="s">
        <v>46</v>
      </c>
      <c r="E373">
        <v>2410090267</v>
      </c>
      <c r="F373" t="s">
        <v>96</v>
      </c>
      <c r="G373" t="s">
        <v>89</v>
      </c>
      <c r="H373">
        <v>0.75470000000000004</v>
      </c>
      <c r="I373">
        <v>3</v>
      </c>
      <c r="J373">
        <v>8000</v>
      </c>
      <c r="K373">
        <f>+VLOOKUP(E373,Costos!$A$1:$I$7161,9,FALSE)</f>
        <v>125.553377</v>
      </c>
      <c r="L373" t="str">
        <f t="shared" si="12"/>
        <v>241</v>
      </c>
      <c r="M373" t="str">
        <f t="shared" si="13"/>
        <v>241009</v>
      </c>
    </row>
    <row r="374" spans="1:13" x14ac:dyDescent="0.25">
      <c r="A374">
        <v>2110020322</v>
      </c>
      <c r="B374" t="s">
        <v>1122</v>
      </c>
      <c r="C374">
        <v>2310180042</v>
      </c>
      <c r="D374" t="s">
        <v>46</v>
      </c>
      <c r="E374">
        <v>2410090266</v>
      </c>
      <c r="F374" t="s">
        <v>100</v>
      </c>
      <c r="G374" t="s">
        <v>89</v>
      </c>
      <c r="H374">
        <v>0.57230000000000003</v>
      </c>
      <c r="I374">
        <v>3</v>
      </c>
      <c r="J374">
        <v>8000</v>
      </c>
      <c r="K374">
        <f>+VLOOKUP(E374,Costos!$A$1:$I$7161,9,FALSE)</f>
        <v>163.744855</v>
      </c>
      <c r="L374" t="str">
        <f t="shared" si="12"/>
        <v>241</v>
      </c>
      <c r="M374" t="str">
        <f t="shared" si="13"/>
        <v>241009</v>
      </c>
    </row>
    <row r="375" spans="1:13" x14ac:dyDescent="0.25">
      <c r="A375">
        <v>2110020322</v>
      </c>
      <c r="B375" t="s">
        <v>1122</v>
      </c>
      <c r="C375">
        <v>2310180042</v>
      </c>
      <c r="D375" t="s">
        <v>46</v>
      </c>
      <c r="E375">
        <v>2410090268</v>
      </c>
      <c r="F375" t="s">
        <v>97</v>
      </c>
      <c r="G375" t="s">
        <v>89</v>
      </c>
      <c r="H375">
        <v>0.65839999999999999</v>
      </c>
      <c r="I375">
        <v>3</v>
      </c>
      <c r="J375">
        <v>8000</v>
      </c>
      <c r="K375">
        <f>+VLOOKUP(E375,Costos!$A$1:$I$7161,9,FALSE)</f>
        <v>138.307931</v>
      </c>
      <c r="L375" t="str">
        <f t="shared" si="12"/>
        <v>241</v>
      </c>
      <c r="M375" t="str">
        <f t="shared" si="13"/>
        <v>241009</v>
      </c>
    </row>
    <row r="376" spans="1:13" x14ac:dyDescent="0.25">
      <c r="A376">
        <v>2110020322</v>
      </c>
      <c r="B376" t="s">
        <v>1122</v>
      </c>
      <c r="C376">
        <v>2310180042</v>
      </c>
      <c r="D376" t="s">
        <v>46</v>
      </c>
      <c r="E376">
        <v>2410090269</v>
      </c>
      <c r="F376" t="s">
        <v>98</v>
      </c>
      <c r="G376" t="s">
        <v>89</v>
      </c>
      <c r="H376">
        <v>5.2699999999999997E-2</v>
      </c>
      <c r="I376">
        <v>3</v>
      </c>
      <c r="J376">
        <v>8000</v>
      </c>
      <c r="K376">
        <f>+VLOOKUP(E376,Costos!$A$1:$I$7161,9,FALSE)</f>
        <v>323.08498100000003</v>
      </c>
      <c r="L376" t="str">
        <f t="shared" si="12"/>
        <v>241</v>
      </c>
      <c r="M376" t="str">
        <f t="shared" si="13"/>
        <v>241009</v>
      </c>
    </row>
    <row r="377" spans="1:13" x14ac:dyDescent="0.25">
      <c r="A377">
        <v>2110020322</v>
      </c>
      <c r="B377" t="s">
        <v>1122</v>
      </c>
      <c r="C377">
        <v>2110020322</v>
      </c>
      <c r="D377" t="s">
        <v>1122</v>
      </c>
      <c r="E377">
        <v>2310210151</v>
      </c>
      <c r="F377" t="s">
        <v>2566</v>
      </c>
      <c r="G377" t="s">
        <v>20</v>
      </c>
      <c r="H377">
        <v>8000</v>
      </c>
      <c r="I377">
        <v>1</v>
      </c>
      <c r="J377">
        <v>8000</v>
      </c>
      <c r="K377">
        <f>+VLOOKUP(E377,Costos!$A$1:$I$7161,9,FALSE)</f>
        <v>0.23669799999999999</v>
      </c>
      <c r="L377" t="str">
        <f t="shared" si="12"/>
        <v>231</v>
      </c>
      <c r="M377" t="str">
        <f t="shared" si="13"/>
        <v>231021</v>
      </c>
    </row>
    <row r="378" spans="1:13" x14ac:dyDescent="0.25">
      <c r="A378">
        <v>2110020322</v>
      </c>
      <c r="B378" t="s">
        <v>1122</v>
      </c>
      <c r="C378">
        <v>2310210151</v>
      </c>
      <c r="D378" t="s">
        <v>2566</v>
      </c>
      <c r="E378">
        <v>2310090493</v>
      </c>
      <c r="F378" t="s">
        <v>2315</v>
      </c>
      <c r="G378" t="s">
        <v>71</v>
      </c>
      <c r="H378">
        <v>8000</v>
      </c>
      <c r="I378">
        <v>2</v>
      </c>
      <c r="J378">
        <v>8000</v>
      </c>
      <c r="K378">
        <f>+VLOOKUP(E378,Costos!$A$1:$I$7161,9,FALSE)</f>
        <v>5.1312000000000003E-2</v>
      </c>
      <c r="L378" t="str">
        <f t="shared" si="12"/>
        <v>231</v>
      </c>
      <c r="M378" t="str">
        <f t="shared" si="13"/>
        <v>231009</v>
      </c>
    </row>
    <row r="379" spans="1:13" x14ac:dyDescent="0.25">
      <c r="A379">
        <v>2110020322</v>
      </c>
      <c r="B379" t="s">
        <v>1122</v>
      </c>
      <c r="C379">
        <v>2310090493</v>
      </c>
      <c r="D379" t="s">
        <v>2315</v>
      </c>
      <c r="E379">
        <v>2410110108</v>
      </c>
      <c r="F379" t="s">
        <v>3313</v>
      </c>
      <c r="G379" t="s">
        <v>89</v>
      </c>
      <c r="H379">
        <v>4.0000000000000001E-3</v>
      </c>
      <c r="I379">
        <v>3</v>
      </c>
      <c r="J379">
        <v>8000</v>
      </c>
      <c r="K379">
        <f>+VLOOKUP(E379,Costos!$A$1:$I$7161,9,FALSE)</f>
        <v>89.025000000000006</v>
      </c>
      <c r="L379" t="str">
        <f t="shared" si="12"/>
        <v>241</v>
      </c>
      <c r="M379" t="str">
        <f t="shared" si="13"/>
        <v>241011</v>
      </c>
    </row>
    <row r="380" spans="1:13" x14ac:dyDescent="0.25">
      <c r="A380">
        <v>2110020322</v>
      </c>
      <c r="B380" t="s">
        <v>1122</v>
      </c>
      <c r="C380">
        <v>2310090493</v>
      </c>
      <c r="D380" t="s">
        <v>2315</v>
      </c>
      <c r="E380">
        <v>2410200005</v>
      </c>
      <c r="F380" t="s">
        <v>3363</v>
      </c>
      <c r="G380" t="s">
        <v>89</v>
      </c>
      <c r="H380">
        <v>4.0000000000000002E-4</v>
      </c>
      <c r="I380">
        <v>3</v>
      </c>
      <c r="J380">
        <v>8000</v>
      </c>
      <c r="K380">
        <f>+VLOOKUP(E380,Costos!$A$1:$I$7161,9,FALSE)</f>
        <v>26.802222</v>
      </c>
      <c r="L380" t="str">
        <f t="shared" si="12"/>
        <v>241</v>
      </c>
      <c r="M380" t="str">
        <f t="shared" si="13"/>
        <v>241020</v>
      </c>
    </row>
    <row r="381" spans="1:13" x14ac:dyDescent="0.25">
      <c r="A381">
        <v>2110020322</v>
      </c>
      <c r="B381" t="s">
        <v>1122</v>
      </c>
      <c r="C381">
        <v>2310090493</v>
      </c>
      <c r="D381" t="s">
        <v>2315</v>
      </c>
      <c r="E381">
        <v>2310090459</v>
      </c>
      <c r="F381" t="s">
        <v>4874</v>
      </c>
      <c r="G381" t="s">
        <v>89</v>
      </c>
      <c r="H381">
        <v>8000</v>
      </c>
      <c r="I381">
        <v>3</v>
      </c>
      <c r="J381">
        <v>8000</v>
      </c>
      <c r="K381" t="e">
        <f>+VLOOKUP(E381,Costos!$A$1:$I$7161,9,FALSE)</f>
        <v>#N/A</v>
      </c>
      <c r="L381" t="str">
        <f t="shared" si="12"/>
        <v>231</v>
      </c>
      <c r="M381" t="str">
        <f t="shared" si="13"/>
        <v>231009</v>
      </c>
    </row>
    <row r="382" spans="1:13" x14ac:dyDescent="0.25">
      <c r="A382">
        <v>2110020322</v>
      </c>
      <c r="B382" t="s">
        <v>1122</v>
      </c>
      <c r="C382">
        <v>2310090459</v>
      </c>
      <c r="D382" t="s">
        <v>4874</v>
      </c>
      <c r="E382">
        <v>2410090294</v>
      </c>
      <c r="F382" t="s">
        <v>101</v>
      </c>
      <c r="G382" t="s">
        <v>89</v>
      </c>
      <c r="H382">
        <v>0.8</v>
      </c>
      <c r="I382">
        <v>4</v>
      </c>
      <c r="J382">
        <v>8000</v>
      </c>
      <c r="K382">
        <f>+VLOOKUP(E382,Costos!$A$1:$I$7161,9,FALSE)</f>
        <v>20.024166000000001</v>
      </c>
      <c r="L382" t="str">
        <f t="shared" si="12"/>
        <v>241</v>
      </c>
      <c r="M382" t="str">
        <f t="shared" si="13"/>
        <v>241009</v>
      </c>
    </row>
    <row r="383" spans="1:13" x14ac:dyDescent="0.25">
      <c r="A383">
        <v>2110020322</v>
      </c>
      <c r="B383" t="s">
        <v>1122</v>
      </c>
      <c r="C383">
        <v>2310090459</v>
      </c>
      <c r="D383" t="s">
        <v>4874</v>
      </c>
      <c r="E383">
        <v>2410290142</v>
      </c>
      <c r="F383" t="s">
        <v>3394</v>
      </c>
      <c r="G383" t="s">
        <v>89</v>
      </c>
      <c r="H383">
        <v>40</v>
      </c>
      <c r="I383">
        <v>4</v>
      </c>
      <c r="J383">
        <v>8000</v>
      </c>
      <c r="K383">
        <f>+VLOOKUP(E383,Costos!$A$1:$I$7161,9,FALSE)</f>
        <v>4.9846349999999999</v>
      </c>
      <c r="L383" t="str">
        <f t="shared" si="12"/>
        <v>241</v>
      </c>
      <c r="M383" t="str">
        <f t="shared" si="13"/>
        <v>241029</v>
      </c>
    </row>
    <row r="384" spans="1:13" x14ac:dyDescent="0.25">
      <c r="A384">
        <v>2110020322</v>
      </c>
      <c r="B384" t="s">
        <v>1122</v>
      </c>
      <c r="C384">
        <v>2310210151</v>
      </c>
      <c r="D384" t="s">
        <v>2566</v>
      </c>
      <c r="E384">
        <v>2310160240</v>
      </c>
      <c r="F384" t="s">
        <v>2382</v>
      </c>
      <c r="G384" t="s">
        <v>71</v>
      </c>
      <c r="H384">
        <v>8000</v>
      </c>
      <c r="I384">
        <v>2</v>
      </c>
      <c r="J384">
        <v>8000</v>
      </c>
      <c r="K384">
        <f>+VLOOKUP(E384,Costos!$A$1:$I$7161,9,FALSE)</f>
        <v>2.5503999999999999E-2</v>
      </c>
      <c r="L384" t="str">
        <f t="shared" si="12"/>
        <v>231</v>
      </c>
      <c r="M384" t="str">
        <f t="shared" si="13"/>
        <v>231016</v>
      </c>
    </row>
    <row r="385" spans="1:13" x14ac:dyDescent="0.25">
      <c r="A385">
        <v>2110020322</v>
      </c>
      <c r="B385" t="s">
        <v>1122</v>
      </c>
      <c r="C385">
        <v>2310160240</v>
      </c>
      <c r="D385" t="s">
        <v>2382</v>
      </c>
      <c r="E385">
        <v>2410090294</v>
      </c>
      <c r="F385" t="s">
        <v>101</v>
      </c>
      <c r="G385" t="s">
        <v>89</v>
      </c>
      <c r="H385">
        <v>0.32800000000000001</v>
      </c>
      <c r="I385">
        <v>3</v>
      </c>
      <c r="J385">
        <v>8000</v>
      </c>
      <c r="K385">
        <f>+VLOOKUP(E385,Costos!$A$1:$I$7161,9,FALSE)</f>
        <v>20.024166000000001</v>
      </c>
      <c r="L385" t="str">
        <f t="shared" si="12"/>
        <v>241</v>
      </c>
      <c r="M385" t="str">
        <f t="shared" si="13"/>
        <v>241009</v>
      </c>
    </row>
    <row r="386" spans="1:13" x14ac:dyDescent="0.25">
      <c r="A386">
        <v>2110020322</v>
      </c>
      <c r="B386" t="s">
        <v>1122</v>
      </c>
      <c r="C386">
        <v>2310160240</v>
      </c>
      <c r="D386" t="s">
        <v>2382</v>
      </c>
      <c r="E386">
        <v>2410290215</v>
      </c>
      <c r="F386" t="s">
        <v>3400</v>
      </c>
      <c r="G386" t="s">
        <v>89</v>
      </c>
      <c r="H386">
        <v>16.64</v>
      </c>
      <c r="I386">
        <v>3</v>
      </c>
      <c r="J386">
        <v>8000</v>
      </c>
      <c r="K386">
        <f>+VLOOKUP(E386,Costos!$A$1:$I$7161,9,FALSE)</f>
        <v>6.2778530000000003</v>
      </c>
      <c r="L386" t="str">
        <f t="shared" si="12"/>
        <v>241</v>
      </c>
      <c r="M386" t="str">
        <f t="shared" si="13"/>
        <v>241029</v>
      </c>
    </row>
    <row r="387" spans="1:13" x14ac:dyDescent="0.25">
      <c r="A387">
        <v>2110020322</v>
      </c>
      <c r="B387" t="s">
        <v>1122</v>
      </c>
      <c r="C387">
        <v>2310210151</v>
      </c>
      <c r="D387" t="s">
        <v>2566</v>
      </c>
      <c r="E387">
        <v>2310160250</v>
      </c>
      <c r="F387" t="s">
        <v>2392</v>
      </c>
      <c r="G387" t="s">
        <v>71</v>
      </c>
      <c r="H387">
        <v>8000</v>
      </c>
      <c r="I387">
        <v>2</v>
      </c>
      <c r="J387">
        <v>8000</v>
      </c>
      <c r="K387">
        <f>+VLOOKUP(E387,Costos!$A$1:$I$7161,9,FALSE)</f>
        <v>1.2363000000000001E-2</v>
      </c>
      <c r="L387" t="str">
        <f t="shared" si="12"/>
        <v>231</v>
      </c>
      <c r="M387" t="str">
        <f t="shared" si="13"/>
        <v>231016</v>
      </c>
    </row>
    <row r="388" spans="1:13" x14ac:dyDescent="0.25">
      <c r="A388">
        <v>2110020322</v>
      </c>
      <c r="B388" t="s">
        <v>1122</v>
      </c>
      <c r="C388">
        <v>2310160250</v>
      </c>
      <c r="D388" t="s">
        <v>2392</v>
      </c>
      <c r="E388">
        <v>2410090294</v>
      </c>
      <c r="F388" t="s">
        <v>101</v>
      </c>
      <c r="G388" t="s">
        <v>89</v>
      </c>
      <c r="H388">
        <v>0.2044</v>
      </c>
      <c r="I388">
        <v>3</v>
      </c>
      <c r="J388">
        <v>8000</v>
      </c>
      <c r="K388">
        <f>+VLOOKUP(E388,Costos!$A$1:$I$7161,9,FALSE)</f>
        <v>20.024166000000001</v>
      </c>
      <c r="L388" t="str">
        <f t="shared" si="12"/>
        <v>241</v>
      </c>
      <c r="M388" t="str">
        <f t="shared" si="13"/>
        <v>241009</v>
      </c>
    </row>
    <row r="389" spans="1:13" x14ac:dyDescent="0.25">
      <c r="A389">
        <v>2110020322</v>
      </c>
      <c r="B389" t="s">
        <v>1122</v>
      </c>
      <c r="C389">
        <v>2310160250</v>
      </c>
      <c r="D389" t="s">
        <v>2392</v>
      </c>
      <c r="E389">
        <v>2410290626</v>
      </c>
      <c r="F389" t="s">
        <v>92</v>
      </c>
      <c r="G389" t="s">
        <v>89</v>
      </c>
      <c r="H389">
        <v>10.222200000000001</v>
      </c>
      <c r="I389">
        <v>3</v>
      </c>
      <c r="J389">
        <v>8000</v>
      </c>
      <c r="K389">
        <f>+VLOOKUP(E389,Costos!$A$1:$I$7161,9,FALSE)</f>
        <v>4.362679</v>
      </c>
      <c r="L389" t="str">
        <f t="shared" si="12"/>
        <v>241</v>
      </c>
      <c r="M389" t="str">
        <f t="shared" si="13"/>
        <v>241029</v>
      </c>
    </row>
    <row r="390" spans="1:13" x14ac:dyDescent="0.25">
      <c r="A390">
        <v>2110020322</v>
      </c>
      <c r="B390" t="s">
        <v>1122</v>
      </c>
      <c r="C390">
        <v>2310210151</v>
      </c>
      <c r="D390" t="s">
        <v>2566</v>
      </c>
      <c r="E390">
        <v>2410170037</v>
      </c>
      <c r="F390" t="s">
        <v>3336</v>
      </c>
      <c r="G390" t="s">
        <v>71</v>
      </c>
      <c r="H390">
        <v>8000</v>
      </c>
      <c r="I390">
        <v>2</v>
      </c>
      <c r="J390">
        <v>8000</v>
      </c>
      <c r="K390">
        <f>+VLOOKUP(E390,Costos!$A$1:$I$7161,9,FALSE)</f>
        <v>4.2382999999999997E-2</v>
      </c>
      <c r="L390" t="str">
        <f t="shared" ref="L390:L453" si="14">+LEFT(E390,3)</f>
        <v>241</v>
      </c>
      <c r="M390" t="str">
        <f t="shared" ref="M390:M453" si="15">+LEFT(E390,6)</f>
        <v>241017</v>
      </c>
    </row>
    <row r="391" spans="1:13" x14ac:dyDescent="0.25">
      <c r="A391">
        <v>2110020322</v>
      </c>
      <c r="B391" t="s">
        <v>1122</v>
      </c>
      <c r="C391">
        <v>2310210151</v>
      </c>
      <c r="D391" t="s">
        <v>2566</v>
      </c>
      <c r="E391">
        <v>2410170233</v>
      </c>
      <c r="F391" t="s">
        <v>3351</v>
      </c>
      <c r="G391" t="s">
        <v>71</v>
      </c>
      <c r="H391">
        <v>8000</v>
      </c>
      <c r="I391">
        <v>2</v>
      </c>
      <c r="J391">
        <v>8000</v>
      </c>
      <c r="K391">
        <f>+VLOOKUP(E391,Costos!$A$1:$I$7161,9,FALSE)</f>
        <v>2.9669999999999998E-2</v>
      </c>
      <c r="L391" t="str">
        <f t="shared" si="14"/>
        <v>241</v>
      </c>
      <c r="M391" t="str">
        <f t="shared" si="15"/>
        <v>241017</v>
      </c>
    </row>
    <row r="392" spans="1:13" x14ac:dyDescent="0.25">
      <c r="A392">
        <v>2110020322</v>
      </c>
      <c r="B392" t="s">
        <v>1122</v>
      </c>
      <c r="C392">
        <v>2310210151</v>
      </c>
      <c r="D392" t="s">
        <v>2566</v>
      </c>
      <c r="E392">
        <v>2310180041</v>
      </c>
      <c r="F392" t="s">
        <v>50</v>
      </c>
      <c r="G392" t="s">
        <v>71</v>
      </c>
      <c r="H392">
        <v>25.333300000000001</v>
      </c>
      <c r="I392">
        <v>2</v>
      </c>
      <c r="J392">
        <v>8000</v>
      </c>
      <c r="K392">
        <f>+VLOOKUP(E392,Costos!$A$1:$I$7161,9,FALSE)</f>
        <v>8.5194200000000002</v>
      </c>
      <c r="L392" t="str">
        <f t="shared" si="14"/>
        <v>231</v>
      </c>
      <c r="M392" t="str">
        <f t="shared" si="15"/>
        <v>231018</v>
      </c>
    </row>
    <row r="393" spans="1:13" x14ac:dyDescent="0.25">
      <c r="A393">
        <v>2110020322</v>
      </c>
      <c r="B393" t="s">
        <v>1122</v>
      </c>
      <c r="C393">
        <v>2310180041</v>
      </c>
      <c r="D393" t="s">
        <v>50</v>
      </c>
      <c r="E393">
        <v>2430450001</v>
      </c>
      <c r="F393" t="s">
        <v>93</v>
      </c>
      <c r="G393" t="s">
        <v>89</v>
      </c>
      <c r="H393">
        <v>2.5333000000000001</v>
      </c>
      <c r="I393">
        <v>3</v>
      </c>
      <c r="J393">
        <v>8000</v>
      </c>
      <c r="K393">
        <f>+VLOOKUP(E393,Costos!$A$1:$I$7161,9,FALSE)</f>
        <v>5.0953559999999998</v>
      </c>
      <c r="L393" t="str">
        <f t="shared" si="14"/>
        <v>243</v>
      </c>
      <c r="M393" t="str">
        <f t="shared" si="15"/>
        <v>243045</v>
      </c>
    </row>
    <row r="394" spans="1:13" x14ac:dyDescent="0.25">
      <c r="A394">
        <v>2110020322</v>
      </c>
      <c r="B394" t="s">
        <v>1122</v>
      </c>
      <c r="C394">
        <v>2310180041</v>
      </c>
      <c r="D394" t="s">
        <v>50</v>
      </c>
      <c r="E394">
        <v>2310180048</v>
      </c>
      <c r="F394" t="s">
        <v>94</v>
      </c>
      <c r="G394" t="s">
        <v>89</v>
      </c>
      <c r="H394">
        <v>3.1667000000000001</v>
      </c>
      <c r="I394">
        <v>3</v>
      </c>
      <c r="J394">
        <v>8000</v>
      </c>
      <c r="K394">
        <f>+VLOOKUP(E394,Costos!$A$1:$I$7161,9,FALSE)</f>
        <v>2.7850670000000002</v>
      </c>
      <c r="L394" t="str">
        <f t="shared" si="14"/>
        <v>231</v>
      </c>
      <c r="M394" t="str">
        <f t="shared" si="15"/>
        <v>231018</v>
      </c>
    </row>
    <row r="395" spans="1:13" x14ac:dyDescent="0.25">
      <c r="A395">
        <v>2110020322</v>
      </c>
      <c r="B395" t="s">
        <v>1122</v>
      </c>
      <c r="C395">
        <v>2310180048</v>
      </c>
      <c r="D395" t="s">
        <v>94</v>
      </c>
      <c r="E395">
        <v>2410210019</v>
      </c>
      <c r="F395" t="s">
        <v>113</v>
      </c>
      <c r="G395" t="s">
        <v>89</v>
      </c>
      <c r="H395">
        <v>6.3299999999999995E-2</v>
      </c>
      <c r="I395">
        <v>4</v>
      </c>
      <c r="J395">
        <v>8000</v>
      </c>
      <c r="K395">
        <f>+VLOOKUP(E395,Costos!$A$1:$I$7161,9,FALSE)</f>
        <v>7.5043049999999996</v>
      </c>
      <c r="L395" t="str">
        <f t="shared" si="14"/>
        <v>241</v>
      </c>
      <c r="M395" t="str">
        <f t="shared" si="15"/>
        <v>241021</v>
      </c>
    </row>
    <row r="396" spans="1:13" x14ac:dyDescent="0.25">
      <c r="A396">
        <v>2110020322</v>
      </c>
      <c r="B396" t="s">
        <v>1122</v>
      </c>
      <c r="C396">
        <v>2310180048</v>
      </c>
      <c r="D396" t="s">
        <v>94</v>
      </c>
      <c r="E396">
        <v>2430930001</v>
      </c>
      <c r="F396" t="s">
        <v>114</v>
      </c>
      <c r="G396" t="s">
        <v>89</v>
      </c>
      <c r="H396">
        <v>1.615</v>
      </c>
      <c r="I396">
        <v>4</v>
      </c>
      <c r="J396">
        <v>8000</v>
      </c>
      <c r="K396">
        <f>+VLOOKUP(E396,Costos!$A$1:$I$7161,9,FALSE)</f>
        <v>4.7685019999999998</v>
      </c>
      <c r="L396" t="str">
        <f t="shared" si="14"/>
        <v>243</v>
      </c>
      <c r="M396" t="str">
        <f t="shared" si="15"/>
        <v>243093</v>
      </c>
    </row>
    <row r="397" spans="1:13" x14ac:dyDescent="0.25">
      <c r="A397">
        <v>2110020322</v>
      </c>
      <c r="B397" t="s">
        <v>1122</v>
      </c>
      <c r="C397">
        <v>2310180048</v>
      </c>
      <c r="D397" t="s">
        <v>94</v>
      </c>
      <c r="E397">
        <v>2430880022</v>
      </c>
      <c r="F397" t="s">
        <v>115</v>
      </c>
      <c r="G397" t="s">
        <v>89</v>
      </c>
      <c r="H397">
        <v>9.4999999999999998E-3</v>
      </c>
      <c r="I397">
        <v>4</v>
      </c>
      <c r="J397">
        <v>8000</v>
      </c>
      <c r="K397">
        <f>+VLOOKUP(E397,Costos!$A$1:$I$7161,9,FALSE)</f>
        <v>5.3984490000000003</v>
      </c>
      <c r="L397" t="str">
        <f t="shared" si="14"/>
        <v>243</v>
      </c>
      <c r="M397" t="str">
        <f t="shared" si="15"/>
        <v>243088</v>
      </c>
    </row>
    <row r="398" spans="1:13" x14ac:dyDescent="0.25">
      <c r="A398">
        <v>2110020322</v>
      </c>
      <c r="B398" t="s">
        <v>1122</v>
      </c>
      <c r="C398">
        <v>2310180041</v>
      </c>
      <c r="D398" t="s">
        <v>50</v>
      </c>
      <c r="E398">
        <v>2410210003</v>
      </c>
      <c r="F398" t="s">
        <v>95</v>
      </c>
      <c r="G398" t="s">
        <v>89</v>
      </c>
      <c r="H398">
        <v>5.0667</v>
      </c>
      <c r="I398">
        <v>3</v>
      </c>
      <c r="J398">
        <v>8000</v>
      </c>
      <c r="K398">
        <f>+VLOOKUP(E398,Costos!$A$1:$I$7161,9,FALSE)</f>
        <v>5.0519999999999996</v>
      </c>
      <c r="L398" t="str">
        <f t="shared" si="14"/>
        <v>241</v>
      </c>
      <c r="M398" t="str">
        <f t="shared" si="15"/>
        <v>241021</v>
      </c>
    </row>
    <row r="399" spans="1:13" x14ac:dyDescent="0.25">
      <c r="A399">
        <v>2110020322</v>
      </c>
      <c r="B399" t="s">
        <v>1122</v>
      </c>
      <c r="C399">
        <v>2310180041</v>
      </c>
      <c r="D399" t="s">
        <v>50</v>
      </c>
      <c r="E399">
        <v>2410090267</v>
      </c>
      <c r="F399" t="s">
        <v>96</v>
      </c>
      <c r="G399" t="s">
        <v>89</v>
      </c>
      <c r="H399">
        <v>1.0133000000000001</v>
      </c>
      <c r="I399">
        <v>3</v>
      </c>
      <c r="J399">
        <v>8000</v>
      </c>
      <c r="K399">
        <f>+VLOOKUP(E399,Costos!$A$1:$I$7161,9,FALSE)</f>
        <v>125.553377</v>
      </c>
      <c r="L399" t="str">
        <f t="shared" si="14"/>
        <v>241</v>
      </c>
      <c r="M399" t="str">
        <f t="shared" si="15"/>
        <v>241009</v>
      </c>
    </row>
    <row r="400" spans="1:13" x14ac:dyDescent="0.25">
      <c r="A400">
        <v>2110020322</v>
      </c>
      <c r="B400" t="s">
        <v>1122</v>
      </c>
      <c r="C400">
        <v>2310180041</v>
      </c>
      <c r="D400" t="s">
        <v>50</v>
      </c>
      <c r="E400">
        <v>2410090266</v>
      </c>
      <c r="F400" t="s">
        <v>100</v>
      </c>
      <c r="G400" t="s">
        <v>89</v>
      </c>
      <c r="H400">
        <v>8.3599999999999994E-2</v>
      </c>
      <c r="I400">
        <v>3</v>
      </c>
      <c r="J400">
        <v>8000</v>
      </c>
      <c r="K400">
        <f>+VLOOKUP(E400,Costos!$A$1:$I$7161,9,FALSE)</f>
        <v>163.744855</v>
      </c>
      <c r="L400" t="str">
        <f t="shared" si="14"/>
        <v>241</v>
      </c>
      <c r="M400" t="str">
        <f t="shared" si="15"/>
        <v>241009</v>
      </c>
    </row>
    <row r="401" spans="1:13" x14ac:dyDescent="0.25">
      <c r="A401">
        <v>2110020322</v>
      </c>
      <c r="B401" t="s">
        <v>1122</v>
      </c>
      <c r="C401">
        <v>2110020322</v>
      </c>
      <c r="D401" t="s">
        <v>1122</v>
      </c>
      <c r="E401">
        <v>2310210152</v>
      </c>
      <c r="F401" t="s">
        <v>2567</v>
      </c>
      <c r="G401" t="s">
        <v>20</v>
      </c>
      <c r="H401">
        <v>8000</v>
      </c>
      <c r="I401">
        <v>1</v>
      </c>
      <c r="J401">
        <v>8000</v>
      </c>
      <c r="K401">
        <f>+VLOOKUP(E401,Costos!$A$1:$I$7161,9,FALSE)</f>
        <v>0.222938</v>
      </c>
      <c r="L401" t="str">
        <f t="shared" si="14"/>
        <v>231</v>
      </c>
      <c r="M401" t="str">
        <f t="shared" si="15"/>
        <v>231021</v>
      </c>
    </row>
    <row r="402" spans="1:13" x14ac:dyDescent="0.25">
      <c r="A402">
        <v>2110020322</v>
      </c>
      <c r="B402" t="s">
        <v>1122</v>
      </c>
      <c r="C402">
        <v>2310210152</v>
      </c>
      <c r="D402" t="s">
        <v>2567</v>
      </c>
      <c r="E402">
        <v>2310090494</v>
      </c>
      <c r="F402" t="s">
        <v>2316</v>
      </c>
      <c r="G402" t="s">
        <v>71</v>
      </c>
      <c r="H402">
        <v>8000</v>
      </c>
      <c r="I402">
        <v>2</v>
      </c>
      <c r="J402">
        <v>8000</v>
      </c>
      <c r="K402">
        <f>+VLOOKUP(E402,Costos!$A$1:$I$7161,9,FALSE)</f>
        <v>5.2385000000000001E-2</v>
      </c>
      <c r="L402" t="str">
        <f t="shared" si="14"/>
        <v>231</v>
      </c>
      <c r="M402" t="str">
        <f t="shared" si="15"/>
        <v>231009</v>
      </c>
    </row>
    <row r="403" spans="1:13" x14ac:dyDescent="0.25">
      <c r="A403">
        <v>2110020322</v>
      </c>
      <c r="B403" t="s">
        <v>1122</v>
      </c>
      <c r="C403">
        <v>2310090494</v>
      </c>
      <c r="D403" t="s">
        <v>2316</v>
      </c>
      <c r="E403">
        <v>2410110108</v>
      </c>
      <c r="F403" t="s">
        <v>3313</v>
      </c>
      <c r="G403" t="s">
        <v>89</v>
      </c>
      <c r="H403">
        <v>4.0000000000000001E-3</v>
      </c>
      <c r="I403">
        <v>3</v>
      </c>
      <c r="J403">
        <v>8000</v>
      </c>
      <c r="K403">
        <f>+VLOOKUP(E403,Costos!$A$1:$I$7161,9,FALSE)</f>
        <v>89.025000000000006</v>
      </c>
      <c r="L403" t="str">
        <f t="shared" si="14"/>
        <v>241</v>
      </c>
      <c r="M403" t="str">
        <f t="shared" si="15"/>
        <v>241011</v>
      </c>
    </row>
    <row r="404" spans="1:13" x14ac:dyDescent="0.25">
      <c r="A404">
        <v>2110020322</v>
      </c>
      <c r="B404" t="s">
        <v>1122</v>
      </c>
      <c r="C404">
        <v>2310090494</v>
      </c>
      <c r="D404" t="s">
        <v>2316</v>
      </c>
      <c r="E404">
        <v>2410200005</v>
      </c>
      <c r="F404" t="s">
        <v>3363</v>
      </c>
      <c r="G404" t="s">
        <v>89</v>
      </c>
      <c r="H404">
        <v>4.0000000000000002E-4</v>
      </c>
      <c r="I404">
        <v>3</v>
      </c>
      <c r="J404">
        <v>8000</v>
      </c>
      <c r="K404">
        <f>+VLOOKUP(E404,Costos!$A$1:$I$7161,9,FALSE)</f>
        <v>26.802222</v>
      </c>
      <c r="L404" t="str">
        <f t="shared" si="14"/>
        <v>241</v>
      </c>
      <c r="M404" t="str">
        <f t="shared" si="15"/>
        <v>241020</v>
      </c>
    </row>
    <row r="405" spans="1:13" x14ac:dyDescent="0.25">
      <c r="A405">
        <v>2110020322</v>
      </c>
      <c r="B405" t="s">
        <v>1122</v>
      </c>
      <c r="C405">
        <v>2310090494</v>
      </c>
      <c r="D405" t="s">
        <v>2316</v>
      </c>
      <c r="E405">
        <v>2310090460</v>
      </c>
      <c r="F405" t="s">
        <v>2300</v>
      </c>
      <c r="G405" t="s">
        <v>89</v>
      </c>
      <c r="H405">
        <v>8000</v>
      </c>
      <c r="I405">
        <v>3</v>
      </c>
      <c r="J405">
        <v>8000</v>
      </c>
      <c r="K405">
        <f>+VLOOKUP(E405,Costos!$A$1:$I$7161,9,FALSE)</f>
        <v>4.0153000000000001E-2</v>
      </c>
      <c r="L405" t="str">
        <f t="shared" si="14"/>
        <v>231</v>
      </c>
      <c r="M405" t="str">
        <f t="shared" si="15"/>
        <v>231009</v>
      </c>
    </row>
    <row r="406" spans="1:13" x14ac:dyDescent="0.25">
      <c r="A406">
        <v>2110020322</v>
      </c>
      <c r="B406" t="s">
        <v>1122</v>
      </c>
      <c r="C406">
        <v>2310090460</v>
      </c>
      <c r="D406" t="s">
        <v>2300</v>
      </c>
      <c r="E406">
        <v>2410090296</v>
      </c>
      <c r="F406" t="s">
        <v>102</v>
      </c>
      <c r="G406" t="s">
        <v>89</v>
      </c>
      <c r="H406">
        <v>0.8</v>
      </c>
      <c r="I406">
        <v>4</v>
      </c>
      <c r="J406">
        <v>8000</v>
      </c>
      <c r="K406">
        <f>+VLOOKUP(E406,Costos!$A$1:$I$7161,9,FALSE)</f>
        <v>20.628330999999999</v>
      </c>
      <c r="L406" t="str">
        <f t="shared" si="14"/>
        <v>241</v>
      </c>
      <c r="M406" t="str">
        <f t="shared" si="15"/>
        <v>241009</v>
      </c>
    </row>
    <row r="407" spans="1:13" x14ac:dyDescent="0.25">
      <c r="A407">
        <v>2110020322</v>
      </c>
      <c r="B407" t="s">
        <v>1122</v>
      </c>
      <c r="C407">
        <v>2310090460</v>
      </c>
      <c r="D407" t="s">
        <v>2300</v>
      </c>
      <c r="E407">
        <v>2410290142</v>
      </c>
      <c r="F407" t="s">
        <v>3394</v>
      </c>
      <c r="G407" t="s">
        <v>89</v>
      </c>
      <c r="H407">
        <v>40</v>
      </c>
      <c r="I407">
        <v>4</v>
      </c>
      <c r="J407">
        <v>8000</v>
      </c>
      <c r="K407">
        <f>+VLOOKUP(E407,Costos!$A$1:$I$7161,9,FALSE)</f>
        <v>4.9846349999999999</v>
      </c>
      <c r="L407" t="str">
        <f t="shared" si="14"/>
        <v>241</v>
      </c>
      <c r="M407" t="str">
        <f t="shared" si="15"/>
        <v>241029</v>
      </c>
    </row>
    <row r="408" spans="1:13" x14ac:dyDescent="0.25">
      <c r="A408">
        <v>2110020322</v>
      </c>
      <c r="B408" t="s">
        <v>1122</v>
      </c>
      <c r="C408">
        <v>2310210152</v>
      </c>
      <c r="D408" t="s">
        <v>2567</v>
      </c>
      <c r="E408">
        <v>2310160241</v>
      </c>
      <c r="F408" t="s">
        <v>2383</v>
      </c>
      <c r="G408" t="s">
        <v>71</v>
      </c>
      <c r="H408">
        <v>8000</v>
      </c>
      <c r="I408">
        <v>2</v>
      </c>
      <c r="J408">
        <v>8000</v>
      </c>
      <c r="K408">
        <f>+VLOOKUP(E408,Costos!$A$1:$I$7161,9,FALSE)</f>
        <v>2.4420000000000001E-2</v>
      </c>
      <c r="L408" t="str">
        <f t="shared" si="14"/>
        <v>231</v>
      </c>
      <c r="M408" t="str">
        <f t="shared" si="15"/>
        <v>231016</v>
      </c>
    </row>
    <row r="409" spans="1:13" x14ac:dyDescent="0.25">
      <c r="A409">
        <v>2110020322</v>
      </c>
      <c r="B409" t="s">
        <v>1122</v>
      </c>
      <c r="C409">
        <v>2310160241</v>
      </c>
      <c r="D409" t="s">
        <v>2383</v>
      </c>
      <c r="E409">
        <v>2410090296</v>
      </c>
      <c r="F409" t="s">
        <v>102</v>
      </c>
      <c r="G409" t="s">
        <v>89</v>
      </c>
      <c r="H409">
        <v>0.32800000000000001</v>
      </c>
      <c r="I409">
        <v>3</v>
      </c>
      <c r="J409">
        <v>8000</v>
      </c>
      <c r="K409">
        <f>+VLOOKUP(E409,Costos!$A$1:$I$7161,9,FALSE)</f>
        <v>20.628330999999999</v>
      </c>
      <c r="L409" t="str">
        <f t="shared" si="14"/>
        <v>241</v>
      </c>
      <c r="M409" t="str">
        <f t="shared" si="15"/>
        <v>241009</v>
      </c>
    </row>
    <row r="410" spans="1:13" x14ac:dyDescent="0.25">
      <c r="A410">
        <v>2110020322</v>
      </c>
      <c r="B410" t="s">
        <v>1122</v>
      </c>
      <c r="C410">
        <v>2310160241</v>
      </c>
      <c r="D410" t="s">
        <v>2383</v>
      </c>
      <c r="E410">
        <v>2410290215</v>
      </c>
      <c r="F410" t="s">
        <v>3400</v>
      </c>
      <c r="G410" t="s">
        <v>89</v>
      </c>
      <c r="H410">
        <v>16.64</v>
      </c>
      <c r="I410">
        <v>3</v>
      </c>
      <c r="J410">
        <v>8000</v>
      </c>
      <c r="K410">
        <f>+VLOOKUP(E410,Costos!$A$1:$I$7161,9,FALSE)</f>
        <v>6.2778530000000003</v>
      </c>
      <c r="L410" t="str">
        <f t="shared" si="14"/>
        <v>241</v>
      </c>
      <c r="M410" t="str">
        <f t="shared" si="15"/>
        <v>241029</v>
      </c>
    </row>
    <row r="411" spans="1:13" x14ac:dyDescent="0.25">
      <c r="A411">
        <v>2110020322</v>
      </c>
      <c r="B411" t="s">
        <v>1122</v>
      </c>
      <c r="C411">
        <v>2310210152</v>
      </c>
      <c r="D411" t="s">
        <v>2567</v>
      </c>
      <c r="E411">
        <v>2310160251</v>
      </c>
      <c r="F411" t="s">
        <v>2393</v>
      </c>
      <c r="G411" t="s">
        <v>71</v>
      </c>
      <c r="H411">
        <v>8000</v>
      </c>
      <c r="I411">
        <v>2</v>
      </c>
      <c r="J411">
        <v>8000</v>
      </c>
      <c r="K411">
        <f>+VLOOKUP(E411,Costos!$A$1:$I$7161,9,FALSE)</f>
        <v>1.1675E-2</v>
      </c>
      <c r="L411" t="str">
        <f t="shared" si="14"/>
        <v>231</v>
      </c>
      <c r="M411" t="str">
        <f t="shared" si="15"/>
        <v>231016</v>
      </c>
    </row>
    <row r="412" spans="1:13" x14ac:dyDescent="0.25">
      <c r="A412">
        <v>2110020322</v>
      </c>
      <c r="B412" t="s">
        <v>1122</v>
      </c>
      <c r="C412">
        <v>2310160251</v>
      </c>
      <c r="D412" t="s">
        <v>2393</v>
      </c>
      <c r="E412">
        <v>2410090296</v>
      </c>
      <c r="F412" t="s">
        <v>102</v>
      </c>
      <c r="G412" t="s">
        <v>89</v>
      </c>
      <c r="H412">
        <v>0.2044</v>
      </c>
      <c r="I412">
        <v>3</v>
      </c>
      <c r="J412">
        <v>8000</v>
      </c>
      <c r="K412">
        <f>+VLOOKUP(E412,Costos!$A$1:$I$7161,9,FALSE)</f>
        <v>20.628330999999999</v>
      </c>
      <c r="L412" t="str">
        <f t="shared" si="14"/>
        <v>241</v>
      </c>
      <c r="M412" t="str">
        <f t="shared" si="15"/>
        <v>241009</v>
      </c>
    </row>
    <row r="413" spans="1:13" x14ac:dyDescent="0.25">
      <c r="A413">
        <v>2110020322</v>
      </c>
      <c r="B413" t="s">
        <v>1122</v>
      </c>
      <c r="C413">
        <v>2310160251</v>
      </c>
      <c r="D413" t="s">
        <v>2393</v>
      </c>
      <c r="E413">
        <v>2410290626</v>
      </c>
      <c r="F413" t="s">
        <v>92</v>
      </c>
      <c r="G413" t="s">
        <v>89</v>
      </c>
      <c r="H413">
        <v>10.222200000000001</v>
      </c>
      <c r="I413">
        <v>3</v>
      </c>
      <c r="J413">
        <v>8000</v>
      </c>
      <c r="K413">
        <f>+VLOOKUP(E413,Costos!$A$1:$I$7161,9,FALSE)</f>
        <v>4.362679</v>
      </c>
      <c r="L413" t="str">
        <f t="shared" si="14"/>
        <v>241</v>
      </c>
      <c r="M413" t="str">
        <f t="shared" si="15"/>
        <v>241029</v>
      </c>
    </row>
    <row r="414" spans="1:13" x14ac:dyDescent="0.25">
      <c r="A414">
        <v>2110020322</v>
      </c>
      <c r="B414" t="s">
        <v>1122</v>
      </c>
      <c r="C414">
        <v>2310210152</v>
      </c>
      <c r="D414" t="s">
        <v>2567</v>
      </c>
      <c r="E414">
        <v>2410170037</v>
      </c>
      <c r="F414" t="s">
        <v>3336</v>
      </c>
      <c r="G414" t="s">
        <v>71</v>
      </c>
      <c r="H414">
        <v>8000</v>
      </c>
      <c r="I414">
        <v>2</v>
      </c>
      <c r="J414">
        <v>8000</v>
      </c>
      <c r="K414">
        <f>+VLOOKUP(E414,Costos!$A$1:$I$7161,9,FALSE)</f>
        <v>4.2382999999999997E-2</v>
      </c>
      <c r="L414" t="str">
        <f t="shared" si="14"/>
        <v>241</v>
      </c>
      <c r="M414" t="str">
        <f t="shared" si="15"/>
        <v>241017</v>
      </c>
    </row>
    <row r="415" spans="1:13" x14ac:dyDescent="0.25">
      <c r="A415">
        <v>2110020322</v>
      </c>
      <c r="B415" t="s">
        <v>1122</v>
      </c>
      <c r="C415">
        <v>2310210152</v>
      </c>
      <c r="D415" t="s">
        <v>2567</v>
      </c>
      <c r="E415">
        <v>2410170233</v>
      </c>
      <c r="F415" t="s">
        <v>3351</v>
      </c>
      <c r="G415" t="s">
        <v>71</v>
      </c>
      <c r="H415">
        <v>8000</v>
      </c>
      <c r="I415">
        <v>2</v>
      </c>
      <c r="J415">
        <v>8000</v>
      </c>
      <c r="K415">
        <f>+VLOOKUP(E415,Costos!$A$1:$I$7161,9,FALSE)</f>
        <v>2.9669999999999998E-2</v>
      </c>
      <c r="L415" t="str">
        <f t="shared" si="14"/>
        <v>241</v>
      </c>
      <c r="M415" t="str">
        <f t="shared" si="15"/>
        <v>241017</v>
      </c>
    </row>
    <row r="416" spans="1:13" x14ac:dyDescent="0.25">
      <c r="A416">
        <v>2110020322</v>
      </c>
      <c r="B416" t="s">
        <v>1122</v>
      </c>
      <c r="C416">
        <v>2310210152</v>
      </c>
      <c r="D416" t="s">
        <v>2567</v>
      </c>
      <c r="E416">
        <v>2310180044</v>
      </c>
      <c r="F416" t="s">
        <v>54</v>
      </c>
      <c r="G416" t="s">
        <v>71</v>
      </c>
      <c r="H416">
        <v>25.333300000000001</v>
      </c>
      <c r="I416">
        <v>2</v>
      </c>
      <c r="J416">
        <v>8000</v>
      </c>
      <c r="K416">
        <f>+VLOOKUP(E416,Costos!$A$1:$I$7161,9,FALSE)</f>
        <v>6.8388429999999998</v>
      </c>
      <c r="L416" t="str">
        <f t="shared" si="14"/>
        <v>231</v>
      </c>
      <c r="M416" t="str">
        <f t="shared" si="15"/>
        <v>231018</v>
      </c>
    </row>
    <row r="417" spans="1:13" x14ac:dyDescent="0.25">
      <c r="A417">
        <v>2110020322</v>
      </c>
      <c r="B417" t="s">
        <v>1122</v>
      </c>
      <c r="C417">
        <v>2310180044</v>
      </c>
      <c r="D417" t="s">
        <v>54</v>
      </c>
      <c r="E417">
        <v>2430450001</v>
      </c>
      <c r="F417" t="s">
        <v>93</v>
      </c>
      <c r="G417" t="s">
        <v>89</v>
      </c>
      <c r="H417">
        <v>2.5333000000000001</v>
      </c>
      <c r="I417">
        <v>3</v>
      </c>
      <c r="J417">
        <v>8000</v>
      </c>
      <c r="K417">
        <f>+VLOOKUP(E417,Costos!$A$1:$I$7161,9,FALSE)</f>
        <v>5.0953559999999998</v>
      </c>
      <c r="L417" t="str">
        <f t="shared" si="14"/>
        <v>243</v>
      </c>
      <c r="M417" t="str">
        <f t="shared" si="15"/>
        <v>243045</v>
      </c>
    </row>
    <row r="418" spans="1:13" x14ac:dyDescent="0.25">
      <c r="A418">
        <v>2110020322</v>
      </c>
      <c r="B418" t="s">
        <v>1122</v>
      </c>
      <c r="C418">
        <v>2310180044</v>
      </c>
      <c r="D418" t="s">
        <v>54</v>
      </c>
      <c r="E418">
        <v>2310180048</v>
      </c>
      <c r="F418" t="s">
        <v>94</v>
      </c>
      <c r="G418" t="s">
        <v>89</v>
      </c>
      <c r="H418">
        <v>3.1667000000000001</v>
      </c>
      <c r="I418">
        <v>3</v>
      </c>
      <c r="J418">
        <v>8000</v>
      </c>
      <c r="K418">
        <f>+VLOOKUP(E418,Costos!$A$1:$I$7161,9,FALSE)</f>
        <v>2.7850670000000002</v>
      </c>
      <c r="L418" t="str">
        <f t="shared" si="14"/>
        <v>231</v>
      </c>
      <c r="M418" t="str">
        <f t="shared" si="15"/>
        <v>231018</v>
      </c>
    </row>
    <row r="419" spans="1:13" x14ac:dyDescent="0.25">
      <c r="A419">
        <v>2110020322</v>
      </c>
      <c r="B419" t="s">
        <v>1122</v>
      </c>
      <c r="C419">
        <v>2310180048</v>
      </c>
      <c r="D419" t="s">
        <v>94</v>
      </c>
      <c r="E419">
        <v>2410210019</v>
      </c>
      <c r="F419" t="s">
        <v>113</v>
      </c>
      <c r="G419" t="s">
        <v>89</v>
      </c>
      <c r="H419">
        <v>6.3299999999999995E-2</v>
      </c>
      <c r="I419">
        <v>4</v>
      </c>
      <c r="J419">
        <v>8000</v>
      </c>
      <c r="K419">
        <f>+VLOOKUP(E419,Costos!$A$1:$I$7161,9,FALSE)</f>
        <v>7.5043049999999996</v>
      </c>
      <c r="L419" t="str">
        <f t="shared" si="14"/>
        <v>241</v>
      </c>
      <c r="M419" t="str">
        <f t="shared" si="15"/>
        <v>241021</v>
      </c>
    </row>
    <row r="420" spans="1:13" x14ac:dyDescent="0.25">
      <c r="A420">
        <v>2110020322</v>
      </c>
      <c r="B420" t="s">
        <v>1122</v>
      </c>
      <c r="C420">
        <v>2310180048</v>
      </c>
      <c r="D420" t="s">
        <v>94</v>
      </c>
      <c r="E420">
        <v>2430930001</v>
      </c>
      <c r="F420" t="s">
        <v>114</v>
      </c>
      <c r="G420" t="s">
        <v>89</v>
      </c>
      <c r="H420">
        <v>1.615</v>
      </c>
      <c r="I420">
        <v>4</v>
      </c>
      <c r="J420">
        <v>8000</v>
      </c>
      <c r="K420">
        <f>+VLOOKUP(E420,Costos!$A$1:$I$7161,9,FALSE)</f>
        <v>4.7685019999999998</v>
      </c>
      <c r="L420" t="str">
        <f t="shared" si="14"/>
        <v>243</v>
      </c>
      <c r="M420" t="str">
        <f t="shared" si="15"/>
        <v>243093</v>
      </c>
    </row>
    <row r="421" spans="1:13" x14ac:dyDescent="0.25">
      <c r="A421">
        <v>2110020322</v>
      </c>
      <c r="B421" t="s">
        <v>1122</v>
      </c>
      <c r="C421">
        <v>2310180048</v>
      </c>
      <c r="D421" t="s">
        <v>94</v>
      </c>
      <c r="E421">
        <v>2430880022</v>
      </c>
      <c r="F421" t="s">
        <v>115</v>
      </c>
      <c r="G421" t="s">
        <v>89</v>
      </c>
      <c r="H421">
        <v>9.4999999999999998E-3</v>
      </c>
      <c r="I421">
        <v>4</v>
      </c>
      <c r="J421">
        <v>8000</v>
      </c>
      <c r="K421">
        <f>+VLOOKUP(E421,Costos!$A$1:$I$7161,9,FALSE)</f>
        <v>5.3984490000000003</v>
      </c>
      <c r="L421" t="str">
        <f t="shared" si="14"/>
        <v>243</v>
      </c>
      <c r="M421" t="str">
        <f t="shared" si="15"/>
        <v>243088</v>
      </c>
    </row>
    <row r="422" spans="1:13" x14ac:dyDescent="0.25">
      <c r="A422">
        <v>2110020322</v>
      </c>
      <c r="B422" t="s">
        <v>1122</v>
      </c>
      <c r="C422">
        <v>2310180044</v>
      </c>
      <c r="D422" t="s">
        <v>54</v>
      </c>
      <c r="E422">
        <v>2410210003</v>
      </c>
      <c r="F422" t="s">
        <v>95</v>
      </c>
      <c r="G422" t="s">
        <v>89</v>
      </c>
      <c r="H422">
        <v>5.0667</v>
      </c>
      <c r="I422">
        <v>3</v>
      </c>
      <c r="J422">
        <v>8000</v>
      </c>
      <c r="K422">
        <f>+VLOOKUP(E422,Costos!$A$1:$I$7161,9,FALSE)</f>
        <v>5.0519999999999996</v>
      </c>
      <c r="L422" t="str">
        <f t="shared" si="14"/>
        <v>241</v>
      </c>
      <c r="M422" t="str">
        <f t="shared" si="15"/>
        <v>241021</v>
      </c>
    </row>
    <row r="423" spans="1:13" x14ac:dyDescent="0.25">
      <c r="A423">
        <v>2110020322</v>
      </c>
      <c r="B423" t="s">
        <v>1122</v>
      </c>
      <c r="C423">
        <v>2310180044</v>
      </c>
      <c r="D423" t="s">
        <v>54</v>
      </c>
      <c r="E423">
        <v>2410090267</v>
      </c>
      <c r="F423" t="s">
        <v>96</v>
      </c>
      <c r="G423" t="s">
        <v>89</v>
      </c>
      <c r="H423">
        <v>2.0299999999999999E-2</v>
      </c>
      <c r="I423">
        <v>3</v>
      </c>
      <c r="J423">
        <v>8000</v>
      </c>
      <c r="K423">
        <f>+VLOOKUP(E423,Costos!$A$1:$I$7161,9,FALSE)</f>
        <v>125.553377</v>
      </c>
      <c r="L423" t="str">
        <f t="shared" si="14"/>
        <v>241</v>
      </c>
      <c r="M423" t="str">
        <f t="shared" si="15"/>
        <v>241009</v>
      </c>
    </row>
    <row r="424" spans="1:13" x14ac:dyDescent="0.25">
      <c r="A424">
        <v>2110020322</v>
      </c>
      <c r="B424" t="s">
        <v>1122</v>
      </c>
      <c r="C424">
        <v>2310180044</v>
      </c>
      <c r="D424" t="s">
        <v>54</v>
      </c>
      <c r="E424">
        <v>2410090268</v>
      </c>
      <c r="F424" t="s">
        <v>97</v>
      </c>
      <c r="G424" t="s">
        <v>89</v>
      </c>
      <c r="H424">
        <v>0.34710000000000002</v>
      </c>
      <c r="I424">
        <v>3</v>
      </c>
      <c r="J424">
        <v>8000</v>
      </c>
      <c r="K424">
        <f>+VLOOKUP(E424,Costos!$A$1:$I$7161,9,FALSE)</f>
        <v>138.307931</v>
      </c>
      <c r="L424" t="str">
        <f t="shared" si="14"/>
        <v>241</v>
      </c>
      <c r="M424" t="str">
        <f t="shared" si="15"/>
        <v>241009</v>
      </c>
    </row>
    <row r="425" spans="1:13" x14ac:dyDescent="0.25">
      <c r="A425">
        <v>2110020322</v>
      </c>
      <c r="B425" t="s">
        <v>1122</v>
      </c>
      <c r="C425">
        <v>2310180044</v>
      </c>
      <c r="D425" t="s">
        <v>54</v>
      </c>
      <c r="E425">
        <v>2410090265</v>
      </c>
      <c r="F425" t="s">
        <v>103</v>
      </c>
      <c r="G425" t="s">
        <v>89</v>
      </c>
      <c r="H425">
        <v>0.50670000000000004</v>
      </c>
      <c r="I425">
        <v>3</v>
      </c>
      <c r="J425">
        <v>8000</v>
      </c>
      <c r="K425">
        <f>+VLOOKUP(E425,Costos!$A$1:$I$7161,9,FALSE)</f>
        <v>88.803754999999995</v>
      </c>
      <c r="L425" t="str">
        <f t="shared" si="14"/>
        <v>241</v>
      </c>
      <c r="M425" t="str">
        <f t="shared" si="15"/>
        <v>241009</v>
      </c>
    </row>
    <row r="426" spans="1:13" x14ac:dyDescent="0.25">
      <c r="A426">
        <v>2110020322</v>
      </c>
      <c r="B426" t="s">
        <v>1122</v>
      </c>
      <c r="C426">
        <v>2110020322</v>
      </c>
      <c r="D426" t="s">
        <v>1122</v>
      </c>
      <c r="E426">
        <v>2310210153</v>
      </c>
      <c r="F426" t="s">
        <v>2568</v>
      </c>
      <c r="G426" t="s">
        <v>20</v>
      </c>
      <c r="H426">
        <v>8000</v>
      </c>
      <c r="I426">
        <v>1</v>
      </c>
      <c r="J426">
        <v>8000</v>
      </c>
      <c r="K426">
        <f>+VLOOKUP(E426,Costos!$A$1:$I$7161,9,FALSE)</f>
        <v>0.230157</v>
      </c>
      <c r="L426" t="str">
        <f t="shared" si="14"/>
        <v>231</v>
      </c>
      <c r="M426" t="str">
        <f t="shared" si="15"/>
        <v>231021</v>
      </c>
    </row>
    <row r="427" spans="1:13" x14ac:dyDescent="0.25">
      <c r="A427">
        <v>2110020322</v>
      </c>
      <c r="B427" t="s">
        <v>1122</v>
      </c>
      <c r="C427">
        <v>2310210153</v>
      </c>
      <c r="D427" t="s">
        <v>2568</v>
      </c>
      <c r="E427">
        <v>2310090495</v>
      </c>
      <c r="F427" t="s">
        <v>2317</v>
      </c>
      <c r="G427" t="s">
        <v>71</v>
      </c>
      <c r="H427">
        <v>8000</v>
      </c>
      <c r="I427">
        <v>2</v>
      </c>
      <c r="J427">
        <v>8000</v>
      </c>
      <c r="K427">
        <f>+VLOOKUP(E427,Costos!$A$1:$I$7161,9,FALSE)</f>
        <v>5.3187999999999999E-2</v>
      </c>
      <c r="L427" t="str">
        <f t="shared" si="14"/>
        <v>231</v>
      </c>
      <c r="M427" t="str">
        <f t="shared" si="15"/>
        <v>231009</v>
      </c>
    </row>
    <row r="428" spans="1:13" x14ac:dyDescent="0.25">
      <c r="A428">
        <v>2110020322</v>
      </c>
      <c r="B428" t="s">
        <v>1122</v>
      </c>
      <c r="C428">
        <v>2310090495</v>
      </c>
      <c r="D428" t="s">
        <v>2317</v>
      </c>
      <c r="E428">
        <v>2410110108</v>
      </c>
      <c r="F428" t="s">
        <v>3313</v>
      </c>
      <c r="G428" t="s">
        <v>89</v>
      </c>
      <c r="H428">
        <v>4.0000000000000001E-3</v>
      </c>
      <c r="I428">
        <v>3</v>
      </c>
      <c r="J428">
        <v>8000</v>
      </c>
      <c r="K428">
        <f>+VLOOKUP(E428,Costos!$A$1:$I$7161,9,FALSE)</f>
        <v>89.025000000000006</v>
      </c>
      <c r="L428" t="str">
        <f t="shared" si="14"/>
        <v>241</v>
      </c>
      <c r="M428" t="str">
        <f t="shared" si="15"/>
        <v>241011</v>
      </c>
    </row>
    <row r="429" spans="1:13" x14ac:dyDescent="0.25">
      <c r="A429">
        <v>2110020322</v>
      </c>
      <c r="B429" t="s">
        <v>1122</v>
      </c>
      <c r="C429">
        <v>2310090495</v>
      </c>
      <c r="D429" t="s">
        <v>2317</v>
      </c>
      <c r="E429">
        <v>2410200005</v>
      </c>
      <c r="F429" t="s">
        <v>3363</v>
      </c>
      <c r="G429" t="s">
        <v>89</v>
      </c>
      <c r="H429">
        <v>4.0000000000000002E-4</v>
      </c>
      <c r="I429">
        <v>3</v>
      </c>
      <c r="J429">
        <v>8000</v>
      </c>
      <c r="K429">
        <f>+VLOOKUP(E429,Costos!$A$1:$I$7161,9,FALSE)</f>
        <v>26.802222</v>
      </c>
      <c r="L429" t="str">
        <f t="shared" si="14"/>
        <v>241</v>
      </c>
      <c r="M429" t="str">
        <f t="shared" si="15"/>
        <v>241020</v>
      </c>
    </row>
    <row r="430" spans="1:13" x14ac:dyDescent="0.25">
      <c r="A430">
        <v>2110020322</v>
      </c>
      <c r="B430" t="s">
        <v>1122</v>
      </c>
      <c r="C430">
        <v>2310090495</v>
      </c>
      <c r="D430" t="s">
        <v>2317</v>
      </c>
      <c r="E430">
        <v>2310090461</v>
      </c>
      <c r="F430" t="s">
        <v>4875</v>
      </c>
      <c r="G430" t="s">
        <v>89</v>
      </c>
      <c r="H430">
        <v>8000</v>
      </c>
      <c r="I430">
        <v>3</v>
      </c>
      <c r="J430">
        <v>8000</v>
      </c>
      <c r="K430" t="e">
        <f>+VLOOKUP(E430,Costos!$A$1:$I$7161,9,FALSE)</f>
        <v>#N/A</v>
      </c>
      <c r="L430" t="str">
        <f t="shared" si="14"/>
        <v>231</v>
      </c>
      <c r="M430" t="str">
        <f t="shared" si="15"/>
        <v>231009</v>
      </c>
    </row>
    <row r="431" spans="1:13" x14ac:dyDescent="0.25">
      <c r="A431">
        <v>2110020322</v>
      </c>
      <c r="B431" t="s">
        <v>1122</v>
      </c>
      <c r="C431">
        <v>2310090461</v>
      </c>
      <c r="D431" t="s">
        <v>4875</v>
      </c>
      <c r="E431">
        <v>2410090297</v>
      </c>
      <c r="F431" t="s">
        <v>104</v>
      </c>
      <c r="G431" t="s">
        <v>89</v>
      </c>
      <c r="H431">
        <v>0.7218</v>
      </c>
      <c r="I431">
        <v>4</v>
      </c>
      <c r="J431">
        <v>8000</v>
      </c>
      <c r="K431">
        <f>+VLOOKUP(E431,Costos!$A$1:$I$7161,9,FALSE)</f>
        <v>14.927002999999999</v>
      </c>
      <c r="L431" t="str">
        <f t="shared" si="14"/>
        <v>241</v>
      </c>
      <c r="M431" t="str">
        <f t="shared" si="15"/>
        <v>241009</v>
      </c>
    </row>
    <row r="432" spans="1:13" x14ac:dyDescent="0.25">
      <c r="A432">
        <v>2110020322</v>
      </c>
      <c r="B432" t="s">
        <v>1122</v>
      </c>
      <c r="C432">
        <v>2310090461</v>
      </c>
      <c r="D432" t="s">
        <v>4875</v>
      </c>
      <c r="E432">
        <v>2410290142</v>
      </c>
      <c r="F432" t="s">
        <v>3394</v>
      </c>
      <c r="G432" t="s">
        <v>89</v>
      </c>
      <c r="H432">
        <v>39.218000000000004</v>
      </c>
      <c r="I432">
        <v>4</v>
      </c>
      <c r="J432">
        <v>8000</v>
      </c>
      <c r="K432">
        <f>+VLOOKUP(E432,Costos!$A$1:$I$7161,9,FALSE)</f>
        <v>4.9846349999999999</v>
      </c>
      <c r="L432" t="str">
        <f t="shared" si="14"/>
        <v>241</v>
      </c>
      <c r="M432" t="str">
        <f t="shared" si="15"/>
        <v>241029</v>
      </c>
    </row>
    <row r="433" spans="1:13" x14ac:dyDescent="0.25">
      <c r="A433">
        <v>2110020322</v>
      </c>
      <c r="B433" t="s">
        <v>1122</v>
      </c>
      <c r="C433">
        <v>2310210153</v>
      </c>
      <c r="D433" t="s">
        <v>2568</v>
      </c>
      <c r="E433">
        <v>2310160242</v>
      </c>
      <c r="F433" t="s">
        <v>2384</v>
      </c>
      <c r="G433" t="s">
        <v>71</v>
      </c>
      <c r="H433">
        <v>8000</v>
      </c>
      <c r="I433">
        <v>2</v>
      </c>
      <c r="J433">
        <v>8000</v>
      </c>
      <c r="K433">
        <f>+VLOOKUP(E433,Costos!$A$1:$I$7161,9,FALSE)</f>
        <v>2.5495E-2</v>
      </c>
      <c r="L433" t="str">
        <f t="shared" si="14"/>
        <v>231</v>
      </c>
      <c r="M433" t="str">
        <f t="shared" si="15"/>
        <v>231016</v>
      </c>
    </row>
    <row r="434" spans="1:13" x14ac:dyDescent="0.25">
      <c r="A434">
        <v>2110020322</v>
      </c>
      <c r="B434" t="s">
        <v>1122</v>
      </c>
      <c r="C434">
        <v>2310160242</v>
      </c>
      <c r="D434" t="s">
        <v>2384</v>
      </c>
      <c r="E434">
        <v>2410090297</v>
      </c>
      <c r="F434" t="s">
        <v>104</v>
      </c>
      <c r="G434" t="s">
        <v>89</v>
      </c>
      <c r="H434">
        <v>0.32800000000000001</v>
      </c>
      <c r="I434">
        <v>3</v>
      </c>
      <c r="J434">
        <v>8000</v>
      </c>
      <c r="K434">
        <f>+VLOOKUP(E434,Costos!$A$1:$I$7161,9,FALSE)</f>
        <v>14.927002999999999</v>
      </c>
      <c r="L434" t="str">
        <f t="shared" si="14"/>
        <v>241</v>
      </c>
      <c r="M434" t="str">
        <f t="shared" si="15"/>
        <v>241009</v>
      </c>
    </row>
    <row r="435" spans="1:13" x14ac:dyDescent="0.25">
      <c r="A435">
        <v>2110020322</v>
      </c>
      <c r="B435" t="s">
        <v>1122</v>
      </c>
      <c r="C435">
        <v>2310160242</v>
      </c>
      <c r="D435" t="s">
        <v>2384</v>
      </c>
      <c r="E435">
        <v>2410290215</v>
      </c>
      <c r="F435" t="s">
        <v>3400</v>
      </c>
      <c r="G435" t="s">
        <v>89</v>
      </c>
      <c r="H435">
        <v>16.64</v>
      </c>
      <c r="I435">
        <v>3</v>
      </c>
      <c r="J435">
        <v>8000</v>
      </c>
      <c r="K435">
        <f>+VLOOKUP(E435,Costos!$A$1:$I$7161,9,FALSE)</f>
        <v>6.2778530000000003</v>
      </c>
      <c r="L435" t="str">
        <f t="shared" si="14"/>
        <v>241</v>
      </c>
      <c r="M435" t="str">
        <f t="shared" si="15"/>
        <v>241029</v>
      </c>
    </row>
    <row r="436" spans="1:13" x14ac:dyDescent="0.25">
      <c r="A436">
        <v>2110020322</v>
      </c>
      <c r="B436" t="s">
        <v>1122</v>
      </c>
      <c r="C436">
        <v>2310210153</v>
      </c>
      <c r="D436" t="s">
        <v>2568</v>
      </c>
      <c r="E436">
        <v>2310160252</v>
      </c>
      <c r="F436" t="s">
        <v>2394</v>
      </c>
      <c r="G436" t="s">
        <v>71</v>
      </c>
      <c r="H436">
        <v>8000</v>
      </c>
      <c r="I436">
        <v>2</v>
      </c>
      <c r="J436">
        <v>8000</v>
      </c>
      <c r="K436">
        <f>+VLOOKUP(E436,Costos!$A$1:$I$7161,9,FALSE)</f>
        <v>1.3089999999999999E-2</v>
      </c>
      <c r="L436" t="str">
        <f t="shared" si="14"/>
        <v>231</v>
      </c>
      <c r="M436" t="str">
        <f t="shared" si="15"/>
        <v>231016</v>
      </c>
    </row>
    <row r="437" spans="1:13" x14ac:dyDescent="0.25">
      <c r="A437">
        <v>2110020322</v>
      </c>
      <c r="B437" t="s">
        <v>1122</v>
      </c>
      <c r="C437">
        <v>2310160252</v>
      </c>
      <c r="D437" t="s">
        <v>2394</v>
      </c>
      <c r="E437">
        <v>2410090297</v>
      </c>
      <c r="F437" t="s">
        <v>104</v>
      </c>
      <c r="G437" t="s">
        <v>89</v>
      </c>
      <c r="H437">
        <v>0.2044</v>
      </c>
      <c r="I437">
        <v>3</v>
      </c>
      <c r="J437">
        <v>8000</v>
      </c>
      <c r="K437">
        <f>+VLOOKUP(E437,Costos!$A$1:$I$7161,9,FALSE)</f>
        <v>14.927002999999999</v>
      </c>
      <c r="L437" t="str">
        <f t="shared" si="14"/>
        <v>241</v>
      </c>
      <c r="M437" t="str">
        <f t="shared" si="15"/>
        <v>241009</v>
      </c>
    </row>
    <row r="438" spans="1:13" x14ac:dyDescent="0.25">
      <c r="A438">
        <v>2110020322</v>
      </c>
      <c r="B438" t="s">
        <v>1122</v>
      </c>
      <c r="C438">
        <v>2310160252</v>
      </c>
      <c r="D438" t="s">
        <v>2394</v>
      </c>
      <c r="E438">
        <v>2410290626</v>
      </c>
      <c r="F438" t="s">
        <v>92</v>
      </c>
      <c r="G438" t="s">
        <v>89</v>
      </c>
      <c r="H438">
        <v>10.222200000000001</v>
      </c>
      <c r="I438">
        <v>3</v>
      </c>
      <c r="J438">
        <v>8000</v>
      </c>
      <c r="K438">
        <f>+VLOOKUP(E438,Costos!$A$1:$I$7161,9,FALSE)</f>
        <v>4.362679</v>
      </c>
      <c r="L438" t="str">
        <f t="shared" si="14"/>
        <v>241</v>
      </c>
      <c r="M438" t="str">
        <f t="shared" si="15"/>
        <v>241029</v>
      </c>
    </row>
    <row r="439" spans="1:13" x14ac:dyDescent="0.25">
      <c r="A439">
        <v>2110020322</v>
      </c>
      <c r="B439" t="s">
        <v>1122</v>
      </c>
      <c r="C439">
        <v>2310210153</v>
      </c>
      <c r="D439" t="s">
        <v>2568</v>
      </c>
      <c r="E439">
        <v>2310180035</v>
      </c>
      <c r="F439" t="s">
        <v>58</v>
      </c>
      <c r="G439" t="s">
        <v>71</v>
      </c>
      <c r="H439">
        <v>25.333300000000001</v>
      </c>
      <c r="I439">
        <v>2</v>
      </c>
      <c r="J439">
        <v>8000</v>
      </c>
      <c r="K439">
        <f>+VLOOKUP(E439,Costos!$A$1:$I$7161,9,FALSE)</f>
        <v>5.9734230000000004</v>
      </c>
      <c r="L439" t="str">
        <f t="shared" si="14"/>
        <v>231</v>
      </c>
      <c r="M439" t="str">
        <f t="shared" si="15"/>
        <v>231018</v>
      </c>
    </row>
    <row r="440" spans="1:13" x14ac:dyDescent="0.25">
      <c r="A440">
        <v>2110020322</v>
      </c>
      <c r="B440" t="s">
        <v>1122</v>
      </c>
      <c r="C440">
        <v>2310180035</v>
      </c>
      <c r="D440" t="s">
        <v>58</v>
      </c>
      <c r="E440">
        <v>2430450001</v>
      </c>
      <c r="F440" t="s">
        <v>93</v>
      </c>
      <c r="G440" t="s">
        <v>89</v>
      </c>
      <c r="H440">
        <v>2.5333000000000001</v>
      </c>
      <c r="I440">
        <v>3</v>
      </c>
      <c r="J440">
        <v>8000</v>
      </c>
      <c r="K440">
        <f>+VLOOKUP(E440,Costos!$A$1:$I$7161,9,FALSE)</f>
        <v>5.0953559999999998</v>
      </c>
      <c r="L440" t="str">
        <f t="shared" si="14"/>
        <v>243</v>
      </c>
      <c r="M440" t="str">
        <f t="shared" si="15"/>
        <v>243045</v>
      </c>
    </row>
    <row r="441" spans="1:13" x14ac:dyDescent="0.25">
      <c r="A441">
        <v>2110020322</v>
      </c>
      <c r="B441" t="s">
        <v>1122</v>
      </c>
      <c r="C441">
        <v>2310180035</v>
      </c>
      <c r="D441" t="s">
        <v>58</v>
      </c>
      <c r="E441">
        <v>2310180048</v>
      </c>
      <c r="F441" t="s">
        <v>94</v>
      </c>
      <c r="G441" t="s">
        <v>89</v>
      </c>
      <c r="H441">
        <v>3.1667000000000001</v>
      </c>
      <c r="I441">
        <v>3</v>
      </c>
      <c r="J441">
        <v>8000</v>
      </c>
      <c r="K441">
        <f>+VLOOKUP(E441,Costos!$A$1:$I$7161,9,FALSE)</f>
        <v>2.7850670000000002</v>
      </c>
      <c r="L441" t="str">
        <f t="shared" si="14"/>
        <v>231</v>
      </c>
      <c r="M441" t="str">
        <f t="shared" si="15"/>
        <v>231018</v>
      </c>
    </row>
    <row r="442" spans="1:13" x14ac:dyDescent="0.25">
      <c r="A442">
        <v>2110020322</v>
      </c>
      <c r="B442" t="s">
        <v>1122</v>
      </c>
      <c r="C442">
        <v>2310180048</v>
      </c>
      <c r="D442" t="s">
        <v>94</v>
      </c>
      <c r="E442">
        <v>2410210019</v>
      </c>
      <c r="F442" t="s">
        <v>113</v>
      </c>
      <c r="G442" t="s">
        <v>89</v>
      </c>
      <c r="H442">
        <v>6.3299999999999995E-2</v>
      </c>
      <c r="I442">
        <v>4</v>
      </c>
      <c r="J442">
        <v>8000</v>
      </c>
      <c r="K442">
        <f>+VLOOKUP(E442,Costos!$A$1:$I$7161,9,FALSE)</f>
        <v>7.5043049999999996</v>
      </c>
      <c r="L442" t="str">
        <f t="shared" si="14"/>
        <v>241</v>
      </c>
      <c r="M442" t="str">
        <f t="shared" si="15"/>
        <v>241021</v>
      </c>
    </row>
    <row r="443" spans="1:13" x14ac:dyDescent="0.25">
      <c r="A443">
        <v>2110020322</v>
      </c>
      <c r="B443" t="s">
        <v>1122</v>
      </c>
      <c r="C443">
        <v>2310180048</v>
      </c>
      <c r="D443" t="s">
        <v>94</v>
      </c>
      <c r="E443">
        <v>2430930001</v>
      </c>
      <c r="F443" t="s">
        <v>114</v>
      </c>
      <c r="G443" t="s">
        <v>89</v>
      </c>
      <c r="H443">
        <v>1.615</v>
      </c>
      <c r="I443">
        <v>4</v>
      </c>
      <c r="J443">
        <v>8000</v>
      </c>
      <c r="K443">
        <f>+VLOOKUP(E443,Costos!$A$1:$I$7161,9,FALSE)</f>
        <v>4.7685019999999998</v>
      </c>
      <c r="L443" t="str">
        <f t="shared" si="14"/>
        <v>243</v>
      </c>
      <c r="M443" t="str">
        <f t="shared" si="15"/>
        <v>243093</v>
      </c>
    </row>
    <row r="444" spans="1:13" x14ac:dyDescent="0.25">
      <c r="A444">
        <v>2110020322</v>
      </c>
      <c r="B444" t="s">
        <v>1122</v>
      </c>
      <c r="C444">
        <v>2310180048</v>
      </c>
      <c r="D444" t="s">
        <v>94</v>
      </c>
      <c r="E444">
        <v>2430880022</v>
      </c>
      <c r="F444" t="s">
        <v>115</v>
      </c>
      <c r="G444" t="s">
        <v>89</v>
      </c>
      <c r="H444">
        <v>9.4999999999999998E-3</v>
      </c>
      <c r="I444">
        <v>4</v>
      </c>
      <c r="J444">
        <v>8000</v>
      </c>
      <c r="K444">
        <f>+VLOOKUP(E444,Costos!$A$1:$I$7161,9,FALSE)</f>
        <v>5.3984490000000003</v>
      </c>
      <c r="L444" t="str">
        <f t="shared" si="14"/>
        <v>243</v>
      </c>
      <c r="M444" t="str">
        <f t="shared" si="15"/>
        <v>243088</v>
      </c>
    </row>
    <row r="445" spans="1:13" x14ac:dyDescent="0.25">
      <c r="A445">
        <v>2110020322</v>
      </c>
      <c r="B445" t="s">
        <v>1122</v>
      </c>
      <c r="C445">
        <v>2310180035</v>
      </c>
      <c r="D445" t="s">
        <v>58</v>
      </c>
      <c r="E445">
        <v>2410210003</v>
      </c>
      <c r="F445" t="s">
        <v>95</v>
      </c>
      <c r="G445" t="s">
        <v>89</v>
      </c>
      <c r="H445">
        <v>5.0667</v>
      </c>
      <c r="I445">
        <v>3</v>
      </c>
      <c r="J445">
        <v>8000</v>
      </c>
      <c r="K445">
        <f>+VLOOKUP(E445,Costos!$A$1:$I$7161,9,FALSE)</f>
        <v>5.0519999999999996</v>
      </c>
      <c r="L445" t="str">
        <f t="shared" si="14"/>
        <v>241</v>
      </c>
      <c r="M445" t="str">
        <f t="shared" si="15"/>
        <v>241021</v>
      </c>
    </row>
    <row r="446" spans="1:13" x14ac:dyDescent="0.25">
      <c r="A446">
        <v>2110020322</v>
      </c>
      <c r="B446" t="s">
        <v>1122</v>
      </c>
      <c r="C446">
        <v>2310180035</v>
      </c>
      <c r="D446" t="s">
        <v>58</v>
      </c>
      <c r="E446">
        <v>2410090265</v>
      </c>
      <c r="F446" t="s">
        <v>103</v>
      </c>
      <c r="G446" t="s">
        <v>89</v>
      </c>
      <c r="H446">
        <v>0.81069999999999998</v>
      </c>
      <c r="I446">
        <v>3</v>
      </c>
      <c r="J446">
        <v>8000</v>
      </c>
      <c r="K446">
        <f>+VLOOKUP(E446,Costos!$A$1:$I$7161,9,FALSE)</f>
        <v>88.803754999999995</v>
      </c>
      <c r="L446" t="str">
        <f t="shared" si="14"/>
        <v>241</v>
      </c>
      <c r="M446" t="str">
        <f t="shared" si="15"/>
        <v>241009</v>
      </c>
    </row>
    <row r="447" spans="1:13" x14ac:dyDescent="0.25">
      <c r="A447">
        <v>2110020322</v>
      </c>
      <c r="B447" t="s">
        <v>1122</v>
      </c>
      <c r="C447">
        <v>2310210153</v>
      </c>
      <c r="D447" t="s">
        <v>2568</v>
      </c>
      <c r="E447">
        <v>2410170037</v>
      </c>
      <c r="F447" t="s">
        <v>3336</v>
      </c>
      <c r="G447" t="s">
        <v>71</v>
      </c>
      <c r="H447">
        <v>8000</v>
      </c>
      <c r="I447">
        <v>2</v>
      </c>
      <c r="J447">
        <v>8000</v>
      </c>
      <c r="K447">
        <f>+VLOOKUP(E447,Costos!$A$1:$I$7161,9,FALSE)</f>
        <v>4.2382999999999997E-2</v>
      </c>
      <c r="L447" t="str">
        <f t="shared" si="14"/>
        <v>241</v>
      </c>
      <c r="M447" t="str">
        <f t="shared" si="15"/>
        <v>241017</v>
      </c>
    </row>
    <row r="448" spans="1:13" x14ac:dyDescent="0.25">
      <c r="A448">
        <v>2110020322</v>
      </c>
      <c r="B448" t="s">
        <v>1122</v>
      </c>
      <c r="C448">
        <v>2310210153</v>
      </c>
      <c r="D448" t="s">
        <v>2568</v>
      </c>
      <c r="E448">
        <v>2410170233</v>
      </c>
      <c r="F448" t="s">
        <v>3351</v>
      </c>
      <c r="G448" t="s">
        <v>71</v>
      </c>
      <c r="H448">
        <v>8000</v>
      </c>
      <c r="I448">
        <v>2</v>
      </c>
      <c r="J448">
        <v>8000</v>
      </c>
      <c r="K448">
        <f>+VLOOKUP(E448,Costos!$A$1:$I$7161,9,FALSE)</f>
        <v>2.9669999999999998E-2</v>
      </c>
      <c r="L448" t="str">
        <f t="shared" si="14"/>
        <v>241</v>
      </c>
      <c r="M448" t="str">
        <f t="shared" si="15"/>
        <v>241017</v>
      </c>
    </row>
    <row r="449" spans="1:13" x14ac:dyDescent="0.25">
      <c r="A449">
        <v>2110020322</v>
      </c>
      <c r="B449" t="s">
        <v>1122</v>
      </c>
      <c r="C449">
        <v>2110020322</v>
      </c>
      <c r="D449" t="s">
        <v>1122</v>
      </c>
      <c r="E449">
        <v>2310210154</v>
      </c>
      <c r="F449" t="s">
        <v>2569</v>
      </c>
      <c r="G449" t="s">
        <v>20</v>
      </c>
      <c r="H449">
        <v>8000</v>
      </c>
      <c r="I449">
        <v>1</v>
      </c>
      <c r="J449">
        <v>8000</v>
      </c>
      <c r="K449">
        <f>+VLOOKUP(E449,Costos!$A$1:$I$7161,9,FALSE)</f>
        <v>0.24032800000000001</v>
      </c>
      <c r="L449" t="str">
        <f t="shared" si="14"/>
        <v>231</v>
      </c>
      <c r="M449" t="str">
        <f t="shared" si="15"/>
        <v>231021</v>
      </c>
    </row>
    <row r="450" spans="1:13" x14ac:dyDescent="0.25">
      <c r="A450">
        <v>2110020322</v>
      </c>
      <c r="B450" t="s">
        <v>1122</v>
      </c>
      <c r="C450">
        <v>2310210154</v>
      </c>
      <c r="D450" t="s">
        <v>2569</v>
      </c>
      <c r="E450">
        <v>2310090496</v>
      </c>
      <c r="F450" t="s">
        <v>2318</v>
      </c>
      <c r="G450" t="s">
        <v>71</v>
      </c>
      <c r="H450">
        <v>8000</v>
      </c>
      <c r="I450">
        <v>2</v>
      </c>
      <c r="J450">
        <v>8000</v>
      </c>
      <c r="K450">
        <f>+VLOOKUP(E450,Costos!$A$1:$I$7161,9,FALSE)</f>
        <v>5.5682000000000002E-2</v>
      </c>
      <c r="L450" t="str">
        <f t="shared" si="14"/>
        <v>231</v>
      </c>
      <c r="M450" t="str">
        <f t="shared" si="15"/>
        <v>231009</v>
      </c>
    </row>
    <row r="451" spans="1:13" x14ac:dyDescent="0.25">
      <c r="A451">
        <v>2110020322</v>
      </c>
      <c r="B451" t="s">
        <v>1122</v>
      </c>
      <c r="C451">
        <v>2310090496</v>
      </c>
      <c r="D451" t="s">
        <v>2318</v>
      </c>
      <c r="E451">
        <v>2310090462</v>
      </c>
      <c r="F451" t="s">
        <v>2301</v>
      </c>
      <c r="G451" t="s">
        <v>89</v>
      </c>
      <c r="H451">
        <v>8000</v>
      </c>
      <c r="I451">
        <v>3</v>
      </c>
      <c r="J451">
        <v>8000</v>
      </c>
      <c r="K451">
        <f>+VLOOKUP(E451,Costos!$A$1:$I$7161,9,FALSE)</f>
        <v>4.6128000000000002E-2</v>
      </c>
      <c r="L451" t="str">
        <f t="shared" si="14"/>
        <v>231</v>
      </c>
      <c r="M451" t="str">
        <f t="shared" si="15"/>
        <v>231009</v>
      </c>
    </row>
    <row r="452" spans="1:13" x14ac:dyDescent="0.25">
      <c r="A452">
        <v>2110020322</v>
      </c>
      <c r="B452" t="s">
        <v>1122</v>
      </c>
      <c r="C452">
        <v>2310090462</v>
      </c>
      <c r="D452" t="s">
        <v>2301</v>
      </c>
      <c r="E452">
        <v>2410090172</v>
      </c>
      <c r="F452" t="s">
        <v>105</v>
      </c>
      <c r="G452" t="s">
        <v>89</v>
      </c>
      <c r="H452">
        <v>0.8</v>
      </c>
      <c r="I452">
        <v>4</v>
      </c>
      <c r="J452">
        <v>8000</v>
      </c>
      <c r="K452">
        <f>+VLOOKUP(E452,Costos!$A$1:$I$7161,9,FALSE)</f>
        <v>55.284253999999997</v>
      </c>
      <c r="L452" t="str">
        <f t="shared" si="14"/>
        <v>241</v>
      </c>
      <c r="M452" t="str">
        <f t="shared" si="15"/>
        <v>241009</v>
      </c>
    </row>
    <row r="453" spans="1:13" x14ac:dyDescent="0.25">
      <c r="A453">
        <v>2110020322</v>
      </c>
      <c r="B453" t="s">
        <v>1122</v>
      </c>
      <c r="C453">
        <v>2310090462</v>
      </c>
      <c r="D453" t="s">
        <v>2301</v>
      </c>
      <c r="E453">
        <v>2410290142</v>
      </c>
      <c r="F453" t="s">
        <v>3394</v>
      </c>
      <c r="G453" t="s">
        <v>89</v>
      </c>
      <c r="H453">
        <v>40</v>
      </c>
      <c r="I453">
        <v>4</v>
      </c>
      <c r="J453">
        <v>8000</v>
      </c>
      <c r="K453">
        <f>+VLOOKUP(E453,Costos!$A$1:$I$7161,9,FALSE)</f>
        <v>4.9846349999999999</v>
      </c>
      <c r="L453" t="str">
        <f t="shared" si="14"/>
        <v>241</v>
      </c>
      <c r="M453" t="str">
        <f t="shared" si="15"/>
        <v>241029</v>
      </c>
    </row>
    <row r="454" spans="1:13" x14ac:dyDescent="0.25">
      <c r="A454">
        <v>2110020322</v>
      </c>
      <c r="B454" t="s">
        <v>1122</v>
      </c>
      <c r="C454">
        <v>2310090496</v>
      </c>
      <c r="D454" t="s">
        <v>2318</v>
      </c>
      <c r="E454">
        <v>2410110108</v>
      </c>
      <c r="F454" t="s">
        <v>3313</v>
      </c>
      <c r="G454" t="s">
        <v>89</v>
      </c>
      <c r="H454">
        <v>4.0000000000000001E-3</v>
      </c>
      <c r="I454">
        <v>3</v>
      </c>
      <c r="J454">
        <v>8000</v>
      </c>
      <c r="K454">
        <f>+VLOOKUP(E454,Costos!$A$1:$I$7161,9,FALSE)</f>
        <v>89.025000000000006</v>
      </c>
      <c r="L454" t="str">
        <f t="shared" ref="L454:L517" si="16">+LEFT(E454,3)</f>
        <v>241</v>
      </c>
      <c r="M454" t="str">
        <f t="shared" ref="M454:M517" si="17">+LEFT(E454,6)</f>
        <v>241011</v>
      </c>
    </row>
    <row r="455" spans="1:13" x14ac:dyDescent="0.25">
      <c r="A455">
        <v>2110020322</v>
      </c>
      <c r="B455" t="s">
        <v>1122</v>
      </c>
      <c r="C455">
        <v>2310090496</v>
      </c>
      <c r="D455" t="s">
        <v>2318</v>
      </c>
      <c r="E455">
        <v>2410200005</v>
      </c>
      <c r="F455" t="s">
        <v>3363</v>
      </c>
      <c r="G455" t="s">
        <v>89</v>
      </c>
      <c r="H455">
        <v>4.0000000000000002E-4</v>
      </c>
      <c r="I455">
        <v>3</v>
      </c>
      <c r="J455">
        <v>8000</v>
      </c>
      <c r="K455">
        <f>+VLOOKUP(E455,Costos!$A$1:$I$7161,9,FALSE)</f>
        <v>26.802222</v>
      </c>
      <c r="L455" t="str">
        <f t="shared" si="16"/>
        <v>241</v>
      </c>
      <c r="M455" t="str">
        <f t="shared" si="17"/>
        <v>241020</v>
      </c>
    </row>
    <row r="456" spans="1:13" x14ac:dyDescent="0.25">
      <c r="A456">
        <v>2110020322</v>
      </c>
      <c r="B456" t="s">
        <v>1122</v>
      </c>
      <c r="C456">
        <v>2310210154</v>
      </c>
      <c r="D456" t="s">
        <v>2569</v>
      </c>
      <c r="E456">
        <v>2310160243</v>
      </c>
      <c r="F456" t="s">
        <v>2385</v>
      </c>
      <c r="G456" t="s">
        <v>71</v>
      </c>
      <c r="H456">
        <v>8000</v>
      </c>
      <c r="I456">
        <v>2</v>
      </c>
      <c r="J456">
        <v>8000</v>
      </c>
      <c r="K456">
        <f>+VLOOKUP(E456,Costos!$A$1:$I$7161,9,FALSE)</f>
        <v>2.6789E-2</v>
      </c>
      <c r="L456" t="str">
        <f t="shared" si="16"/>
        <v>231</v>
      </c>
      <c r="M456" t="str">
        <f t="shared" si="17"/>
        <v>231016</v>
      </c>
    </row>
    <row r="457" spans="1:13" x14ac:dyDescent="0.25">
      <c r="A457">
        <v>2110020322</v>
      </c>
      <c r="B457" t="s">
        <v>1122</v>
      </c>
      <c r="C457">
        <v>2310160243</v>
      </c>
      <c r="D457" t="s">
        <v>2385</v>
      </c>
      <c r="E457">
        <v>2410090172</v>
      </c>
      <c r="F457" t="s">
        <v>105</v>
      </c>
      <c r="G457" t="s">
        <v>89</v>
      </c>
      <c r="H457">
        <v>0.32800000000000001</v>
      </c>
      <c r="I457">
        <v>3</v>
      </c>
      <c r="J457">
        <v>8000</v>
      </c>
      <c r="K457">
        <f>+VLOOKUP(E457,Costos!$A$1:$I$7161,9,FALSE)</f>
        <v>55.284253999999997</v>
      </c>
      <c r="L457" t="str">
        <f t="shared" si="16"/>
        <v>241</v>
      </c>
      <c r="M457" t="str">
        <f t="shared" si="17"/>
        <v>241009</v>
      </c>
    </row>
    <row r="458" spans="1:13" x14ac:dyDescent="0.25">
      <c r="A458">
        <v>2110020322</v>
      </c>
      <c r="B458" t="s">
        <v>1122</v>
      </c>
      <c r="C458">
        <v>2310160243</v>
      </c>
      <c r="D458" t="s">
        <v>2385</v>
      </c>
      <c r="E458">
        <v>2410290215</v>
      </c>
      <c r="F458" t="s">
        <v>3400</v>
      </c>
      <c r="G458" t="s">
        <v>89</v>
      </c>
      <c r="H458">
        <v>16.64</v>
      </c>
      <c r="I458">
        <v>3</v>
      </c>
      <c r="J458">
        <v>8000</v>
      </c>
      <c r="K458">
        <f>+VLOOKUP(E458,Costos!$A$1:$I$7161,9,FALSE)</f>
        <v>6.2778530000000003</v>
      </c>
      <c r="L458" t="str">
        <f t="shared" si="16"/>
        <v>241</v>
      </c>
      <c r="M458" t="str">
        <f t="shared" si="17"/>
        <v>241029</v>
      </c>
    </row>
    <row r="459" spans="1:13" x14ac:dyDescent="0.25">
      <c r="A459">
        <v>2110020322</v>
      </c>
      <c r="B459" t="s">
        <v>1122</v>
      </c>
      <c r="C459">
        <v>2310210154</v>
      </c>
      <c r="D459" t="s">
        <v>2569</v>
      </c>
      <c r="E459">
        <v>2310160253</v>
      </c>
      <c r="F459" t="s">
        <v>2395</v>
      </c>
      <c r="G459" t="s">
        <v>71</v>
      </c>
      <c r="H459">
        <v>8000</v>
      </c>
      <c r="I459">
        <v>2</v>
      </c>
      <c r="J459">
        <v>8000</v>
      </c>
      <c r="K459">
        <f>+VLOOKUP(E459,Costos!$A$1:$I$7161,9,FALSE)</f>
        <v>1.2435999999999999E-2</v>
      </c>
      <c r="L459" t="str">
        <f t="shared" si="16"/>
        <v>231</v>
      </c>
      <c r="M459" t="str">
        <f t="shared" si="17"/>
        <v>231016</v>
      </c>
    </row>
    <row r="460" spans="1:13" x14ac:dyDescent="0.25">
      <c r="A460">
        <v>2110020322</v>
      </c>
      <c r="B460" t="s">
        <v>1122</v>
      </c>
      <c r="C460">
        <v>2310160253</v>
      </c>
      <c r="D460" t="s">
        <v>2395</v>
      </c>
      <c r="E460">
        <v>2410090172</v>
      </c>
      <c r="F460" t="s">
        <v>105</v>
      </c>
      <c r="G460" t="s">
        <v>89</v>
      </c>
      <c r="H460">
        <v>0.2044</v>
      </c>
      <c r="I460">
        <v>3</v>
      </c>
      <c r="J460">
        <v>8000</v>
      </c>
      <c r="K460">
        <f>+VLOOKUP(E460,Costos!$A$1:$I$7161,9,FALSE)</f>
        <v>55.284253999999997</v>
      </c>
      <c r="L460" t="str">
        <f t="shared" si="16"/>
        <v>241</v>
      </c>
      <c r="M460" t="str">
        <f t="shared" si="17"/>
        <v>241009</v>
      </c>
    </row>
    <row r="461" spans="1:13" x14ac:dyDescent="0.25">
      <c r="A461">
        <v>2110020322</v>
      </c>
      <c r="B461" t="s">
        <v>1122</v>
      </c>
      <c r="C461">
        <v>2310160253</v>
      </c>
      <c r="D461" t="s">
        <v>2395</v>
      </c>
      <c r="E461">
        <v>2410290626</v>
      </c>
      <c r="F461" t="s">
        <v>92</v>
      </c>
      <c r="G461" t="s">
        <v>89</v>
      </c>
      <c r="H461">
        <v>10.222200000000001</v>
      </c>
      <c r="I461">
        <v>3</v>
      </c>
      <c r="J461">
        <v>8000</v>
      </c>
      <c r="K461">
        <f>+VLOOKUP(E461,Costos!$A$1:$I$7161,9,FALSE)</f>
        <v>4.362679</v>
      </c>
      <c r="L461" t="str">
        <f t="shared" si="16"/>
        <v>241</v>
      </c>
      <c r="M461" t="str">
        <f t="shared" si="17"/>
        <v>241029</v>
      </c>
    </row>
    <row r="462" spans="1:13" x14ac:dyDescent="0.25">
      <c r="A462">
        <v>2110020322</v>
      </c>
      <c r="B462" t="s">
        <v>1122</v>
      </c>
      <c r="C462">
        <v>2310210154</v>
      </c>
      <c r="D462" t="s">
        <v>2569</v>
      </c>
      <c r="E462">
        <v>2410170037</v>
      </c>
      <c r="F462" t="s">
        <v>3336</v>
      </c>
      <c r="G462" t="s">
        <v>71</v>
      </c>
      <c r="H462">
        <v>8000</v>
      </c>
      <c r="I462">
        <v>2</v>
      </c>
      <c r="J462">
        <v>8000</v>
      </c>
      <c r="K462">
        <f>+VLOOKUP(E462,Costos!$A$1:$I$7161,9,FALSE)</f>
        <v>4.2382999999999997E-2</v>
      </c>
      <c r="L462" t="str">
        <f t="shared" si="16"/>
        <v>241</v>
      </c>
      <c r="M462" t="str">
        <f t="shared" si="17"/>
        <v>241017</v>
      </c>
    </row>
    <row r="463" spans="1:13" x14ac:dyDescent="0.25">
      <c r="A463">
        <v>2110020322</v>
      </c>
      <c r="B463" t="s">
        <v>1122</v>
      </c>
      <c r="C463">
        <v>2310210154</v>
      </c>
      <c r="D463" t="s">
        <v>2569</v>
      </c>
      <c r="E463">
        <v>2410170233</v>
      </c>
      <c r="F463" t="s">
        <v>3351</v>
      </c>
      <c r="G463" t="s">
        <v>71</v>
      </c>
      <c r="H463">
        <v>8000</v>
      </c>
      <c r="I463">
        <v>2</v>
      </c>
      <c r="J463">
        <v>8000</v>
      </c>
      <c r="K463">
        <f>+VLOOKUP(E463,Costos!$A$1:$I$7161,9,FALSE)</f>
        <v>2.9669999999999998E-2</v>
      </c>
      <c r="L463" t="str">
        <f t="shared" si="16"/>
        <v>241</v>
      </c>
      <c r="M463" t="str">
        <f t="shared" si="17"/>
        <v>241017</v>
      </c>
    </row>
    <row r="464" spans="1:13" x14ac:dyDescent="0.25">
      <c r="A464">
        <v>2110020322</v>
      </c>
      <c r="B464" t="s">
        <v>1122</v>
      </c>
      <c r="C464">
        <v>2310210154</v>
      </c>
      <c r="D464" t="s">
        <v>2569</v>
      </c>
      <c r="E464">
        <v>2310180039</v>
      </c>
      <c r="F464" t="s">
        <v>62</v>
      </c>
      <c r="G464" t="s">
        <v>71</v>
      </c>
      <c r="H464">
        <v>25.333300000000001</v>
      </c>
      <c r="I464">
        <v>2</v>
      </c>
      <c r="J464">
        <v>8000</v>
      </c>
      <c r="K464">
        <f>+VLOOKUP(E464,Costos!$A$1:$I$7161,9,FALSE)</f>
        <v>8.1312809999999995</v>
      </c>
      <c r="L464" t="str">
        <f t="shared" si="16"/>
        <v>231</v>
      </c>
      <c r="M464" t="str">
        <f t="shared" si="17"/>
        <v>231018</v>
      </c>
    </row>
    <row r="465" spans="1:13" x14ac:dyDescent="0.25">
      <c r="A465">
        <v>2110020322</v>
      </c>
      <c r="B465" t="s">
        <v>1122</v>
      </c>
      <c r="C465">
        <v>2310180039</v>
      </c>
      <c r="D465" t="s">
        <v>62</v>
      </c>
      <c r="E465">
        <v>2430450001</v>
      </c>
      <c r="F465" t="s">
        <v>93</v>
      </c>
      <c r="G465" t="s">
        <v>89</v>
      </c>
      <c r="H465">
        <v>2.5333000000000001</v>
      </c>
      <c r="I465">
        <v>3</v>
      </c>
      <c r="J465">
        <v>8000</v>
      </c>
      <c r="K465">
        <f>+VLOOKUP(E465,Costos!$A$1:$I$7161,9,FALSE)</f>
        <v>5.0953559999999998</v>
      </c>
      <c r="L465" t="str">
        <f t="shared" si="16"/>
        <v>243</v>
      </c>
      <c r="M465" t="str">
        <f t="shared" si="17"/>
        <v>243045</v>
      </c>
    </row>
    <row r="466" spans="1:13" x14ac:dyDescent="0.25">
      <c r="A466">
        <v>2110020322</v>
      </c>
      <c r="B466" t="s">
        <v>1122</v>
      </c>
      <c r="C466">
        <v>2310180039</v>
      </c>
      <c r="D466" t="s">
        <v>62</v>
      </c>
      <c r="E466">
        <v>2310180048</v>
      </c>
      <c r="F466" t="s">
        <v>94</v>
      </c>
      <c r="G466" t="s">
        <v>89</v>
      </c>
      <c r="H466">
        <v>3.1667000000000001</v>
      </c>
      <c r="I466">
        <v>3</v>
      </c>
      <c r="J466">
        <v>8000</v>
      </c>
      <c r="K466">
        <f>+VLOOKUP(E466,Costos!$A$1:$I$7161,9,FALSE)</f>
        <v>2.7850670000000002</v>
      </c>
      <c r="L466" t="str">
        <f t="shared" si="16"/>
        <v>231</v>
      </c>
      <c r="M466" t="str">
        <f t="shared" si="17"/>
        <v>231018</v>
      </c>
    </row>
    <row r="467" spans="1:13" x14ac:dyDescent="0.25">
      <c r="A467">
        <v>2110020322</v>
      </c>
      <c r="B467" t="s">
        <v>1122</v>
      </c>
      <c r="C467">
        <v>2310180048</v>
      </c>
      <c r="D467" t="s">
        <v>94</v>
      </c>
      <c r="E467">
        <v>2410210019</v>
      </c>
      <c r="F467" t="s">
        <v>113</v>
      </c>
      <c r="G467" t="s">
        <v>89</v>
      </c>
      <c r="H467">
        <v>6.3299999999999995E-2</v>
      </c>
      <c r="I467">
        <v>4</v>
      </c>
      <c r="J467">
        <v>8000</v>
      </c>
      <c r="K467">
        <f>+VLOOKUP(E467,Costos!$A$1:$I$7161,9,FALSE)</f>
        <v>7.5043049999999996</v>
      </c>
      <c r="L467" t="str">
        <f t="shared" si="16"/>
        <v>241</v>
      </c>
      <c r="M467" t="str">
        <f t="shared" si="17"/>
        <v>241021</v>
      </c>
    </row>
    <row r="468" spans="1:13" x14ac:dyDescent="0.25">
      <c r="A468">
        <v>2110020322</v>
      </c>
      <c r="B468" t="s">
        <v>1122</v>
      </c>
      <c r="C468">
        <v>2310180048</v>
      </c>
      <c r="D468" t="s">
        <v>94</v>
      </c>
      <c r="E468">
        <v>2430930001</v>
      </c>
      <c r="F468" t="s">
        <v>114</v>
      </c>
      <c r="G468" t="s">
        <v>89</v>
      </c>
      <c r="H468">
        <v>1.615</v>
      </c>
      <c r="I468">
        <v>4</v>
      </c>
      <c r="J468">
        <v>8000</v>
      </c>
      <c r="K468">
        <f>+VLOOKUP(E468,Costos!$A$1:$I$7161,9,FALSE)</f>
        <v>4.7685019999999998</v>
      </c>
      <c r="L468" t="str">
        <f t="shared" si="16"/>
        <v>243</v>
      </c>
      <c r="M468" t="str">
        <f t="shared" si="17"/>
        <v>243093</v>
      </c>
    </row>
    <row r="469" spans="1:13" x14ac:dyDescent="0.25">
      <c r="A469">
        <v>2110020322</v>
      </c>
      <c r="B469" t="s">
        <v>1122</v>
      </c>
      <c r="C469">
        <v>2310180048</v>
      </c>
      <c r="D469" t="s">
        <v>94</v>
      </c>
      <c r="E469">
        <v>2430880022</v>
      </c>
      <c r="F469" t="s">
        <v>115</v>
      </c>
      <c r="G469" t="s">
        <v>89</v>
      </c>
      <c r="H469">
        <v>9.4999999999999998E-3</v>
      </c>
      <c r="I469">
        <v>4</v>
      </c>
      <c r="J469">
        <v>8000</v>
      </c>
      <c r="K469">
        <f>+VLOOKUP(E469,Costos!$A$1:$I$7161,9,FALSE)</f>
        <v>5.3984490000000003</v>
      </c>
      <c r="L469" t="str">
        <f t="shared" si="16"/>
        <v>243</v>
      </c>
      <c r="M469" t="str">
        <f t="shared" si="17"/>
        <v>243088</v>
      </c>
    </row>
    <row r="470" spans="1:13" x14ac:dyDescent="0.25">
      <c r="A470">
        <v>2110020322</v>
      </c>
      <c r="B470" t="s">
        <v>1122</v>
      </c>
      <c r="C470">
        <v>2310180039</v>
      </c>
      <c r="D470" t="s">
        <v>62</v>
      </c>
      <c r="E470">
        <v>2410210003</v>
      </c>
      <c r="F470" t="s">
        <v>95</v>
      </c>
      <c r="G470" t="s">
        <v>89</v>
      </c>
      <c r="H470">
        <v>5.0667</v>
      </c>
      <c r="I470">
        <v>3</v>
      </c>
      <c r="J470">
        <v>8000</v>
      </c>
      <c r="K470">
        <f>+VLOOKUP(E470,Costos!$A$1:$I$7161,9,FALSE)</f>
        <v>5.0519999999999996</v>
      </c>
      <c r="L470" t="str">
        <f t="shared" si="16"/>
        <v>241</v>
      </c>
      <c r="M470" t="str">
        <f t="shared" si="17"/>
        <v>241021</v>
      </c>
    </row>
    <row r="471" spans="1:13" x14ac:dyDescent="0.25">
      <c r="A471">
        <v>2110020322</v>
      </c>
      <c r="B471" t="s">
        <v>1122</v>
      </c>
      <c r="C471">
        <v>2310180039</v>
      </c>
      <c r="D471" t="s">
        <v>62</v>
      </c>
      <c r="E471">
        <v>2410090267</v>
      </c>
      <c r="F471" t="s">
        <v>96</v>
      </c>
      <c r="G471" t="s">
        <v>89</v>
      </c>
      <c r="H471">
        <v>0.43070000000000003</v>
      </c>
      <c r="I471">
        <v>3</v>
      </c>
      <c r="J471">
        <v>8000</v>
      </c>
      <c r="K471">
        <f>+VLOOKUP(E471,Costos!$A$1:$I$7161,9,FALSE)</f>
        <v>125.553377</v>
      </c>
      <c r="L471" t="str">
        <f t="shared" si="16"/>
        <v>241</v>
      </c>
      <c r="M471" t="str">
        <f t="shared" si="17"/>
        <v>241009</v>
      </c>
    </row>
    <row r="472" spans="1:13" x14ac:dyDescent="0.25">
      <c r="A472">
        <v>2110020322</v>
      </c>
      <c r="B472" t="s">
        <v>1122</v>
      </c>
      <c r="C472">
        <v>2310180039</v>
      </c>
      <c r="D472" t="s">
        <v>62</v>
      </c>
      <c r="E472">
        <v>2410090266</v>
      </c>
      <c r="F472" t="s">
        <v>100</v>
      </c>
      <c r="G472" t="s">
        <v>89</v>
      </c>
      <c r="H472">
        <v>0.32929999999999998</v>
      </c>
      <c r="I472">
        <v>3</v>
      </c>
      <c r="J472">
        <v>8000</v>
      </c>
      <c r="K472">
        <f>+VLOOKUP(E472,Costos!$A$1:$I$7161,9,FALSE)</f>
        <v>163.744855</v>
      </c>
      <c r="L472" t="str">
        <f t="shared" si="16"/>
        <v>241</v>
      </c>
      <c r="M472" t="str">
        <f t="shared" si="17"/>
        <v>241009</v>
      </c>
    </row>
    <row r="473" spans="1:13" x14ac:dyDescent="0.25">
      <c r="A473">
        <v>2110020322</v>
      </c>
      <c r="B473" t="s">
        <v>1122</v>
      </c>
      <c r="C473">
        <v>2310180039</v>
      </c>
      <c r="D473" t="s">
        <v>62</v>
      </c>
      <c r="E473">
        <v>2410090268</v>
      </c>
      <c r="F473" t="s">
        <v>97</v>
      </c>
      <c r="G473" t="s">
        <v>89</v>
      </c>
      <c r="H473">
        <v>7.5999999999999998E-2</v>
      </c>
      <c r="I473">
        <v>3</v>
      </c>
      <c r="J473">
        <v>8000</v>
      </c>
      <c r="K473">
        <f>+VLOOKUP(E473,Costos!$A$1:$I$7161,9,FALSE)</f>
        <v>138.307931</v>
      </c>
      <c r="L473" t="str">
        <f t="shared" si="16"/>
        <v>241</v>
      </c>
      <c r="M473" t="str">
        <f t="shared" si="17"/>
        <v>241009</v>
      </c>
    </row>
    <row r="474" spans="1:13" x14ac:dyDescent="0.25">
      <c r="A474">
        <v>2110020322</v>
      </c>
      <c r="B474" t="s">
        <v>1122</v>
      </c>
      <c r="C474">
        <v>2310180039</v>
      </c>
      <c r="D474" t="s">
        <v>62</v>
      </c>
      <c r="E474">
        <v>2410090265</v>
      </c>
      <c r="F474" t="s">
        <v>103</v>
      </c>
      <c r="G474" t="s">
        <v>89</v>
      </c>
      <c r="H474">
        <v>0.17730000000000001</v>
      </c>
      <c r="I474">
        <v>3</v>
      </c>
      <c r="J474">
        <v>8000</v>
      </c>
      <c r="K474">
        <f>+VLOOKUP(E474,Costos!$A$1:$I$7161,9,FALSE)</f>
        <v>88.803754999999995</v>
      </c>
      <c r="L474" t="str">
        <f t="shared" si="16"/>
        <v>241</v>
      </c>
      <c r="M474" t="str">
        <f t="shared" si="17"/>
        <v>241009</v>
      </c>
    </row>
    <row r="475" spans="1:13" x14ac:dyDescent="0.25">
      <c r="A475">
        <v>2110020322</v>
      </c>
      <c r="B475" t="s">
        <v>1122</v>
      </c>
      <c r="C475">
        <v>2110020322</v>
      </c>
      <c r="D475" t="s">
        <v>1122</v>
      </c>
      <c r="E475">
        <v>2310210155</v>
      </c>
      <c r="F475" t="s">
        <v>2570</v>
      </c>
      <c r="G475" t="s">
        <v>20</v>
      </c>
      <c r="H475">
        <v>8000</v>
      </c>
      <c r="I475">
        <v>1</v>
      </c>
      <c r="J475">
        <v>8000</v>
      </c>
      <c r="K475">
        <f>+VLOOKUP(E475,Costos!$A$1:$I$7161,9,FALSE)</f>
        <v>0.223</v>
      </c>
      <c r="L475" t="str">
        <f t="shared" si="16"/>
        <v>231</v>
      </c>
      <c r="M475" t="str">
        <f t="shared" si="17"/>
        <v>231021</v>
      </c>
    </row>
    <row r="476" spans="1:13" x14ac:dyDescent="0.25">
      <c r="A476">
        <v>2110020322</v>
      </c>
      <c r="B476" t="s">
        <v>1122</v>
      </c>
      <c r="C476">
        <v>2310210155</v>
      </c>
      <c r="D476" t="s">
        <v>2570</v>
      </c>
      <c r="E476">
        <v>2310090497</v>
      </c>
      <c r="F476" t="s">
        <v>4876</v>
      </c>
      <c r="G476" t="s">
        <v>71</v>
      </c>
      <c r="H476">
        <v>8000</v>
      </c>
      <c r="I476">
        <v>2</v>
      </c>
      <c r="J476">
        <v>8000</v>
      </c>
      <c r="K476" t="e">
        <f>+VLOOKUP(E476,Costos!$A$1:$I$7161,9,FALSE)</f>
        <v>#N/A</v>
      </c>
      <c r="L476" t="str">
        <f t="shared" si="16"/>
        <v>231</v>
      </c>
      <c r="M476" t="str">
        <f t="shared" si="17"/>
        <v>231009</v>
      </c>
    </row>
    <row r="477" spans="1:13" x14ac:dyDescent="0.25">
      <c r="A477">
        <v>2110020322</v>
      </c>
      <c r="B477" t="s">
        <v>1122</v>
      </c>
      <c r="C477">
        <v>2310090497</v>
      </c>
      <c r="D477" t="s">
        <v>4876</v>
      </c>
      <c r="E477">
        <v>2410200005</v>
      </c>
      <c r="F477" t="s">
        <v>3363</v>
      </c>
      <c r="G477" t="s">
        <v>89</v>
      </c>
      <c r="H477">
        <v>4.0000000000000002E-4</v>
      </c>
      <c r="I477">
        <v>3</v>
      </c>
      <c r="J477">
        <v>8000</v>
      </c>
      <c r="K477">
        <f>+VLOOKUP(E477,Costos!$A$1:$I$7161,9,FALSE)</f>
        <v>26.802222</v>
      </c>
      <c r="L477" t="str">
        <f t="shared" si="16"/>
        <v>241</v>
      </c>
      <c r="M477" t="str">
        <f t="shared" si="17"/>
        <v>241020</v>
      </c>
    </row>
    <row r="478" spans="1:13" x14ac:dyDescent="0.25">
      <c r="A478">
        <v>2110020322</v>
      </c>
      <c r="B478" t="s">
        <v>1122</v>
      </c>
      <c r="C478">
        <v>2310090497</v>
      </c>
      <c r="D478" t="s">
        <v>4876</v>
      </c>
      <c r="E478">
        <v>2410110108</v>
      </c>
      <c r="F478" t="s">
        <v>3313</v>
      </c>
      <c r="G478" t="s">
        <v>89</v>
      </c>
      <c r="H478">
        <v>4.0000000000000001E-3</v>
      </c>
      <c r="I478">
        <v>3</v>
      </c>
      <c r="J478">
        <v>8000</v>
      </c>
      <c r="K478">
        <f>+VLOOKUP(E478,Costos!$A$1:$I$7161,9,FALSE)</f>
        <v>89.025000000000006</v>
      </c>
      <c r="L478" t="str">
        <f t="shared" si="16"/>
        <v>241</v>
      </c>
      <c r="M478" t="str">
        <f t="shared" si="17"/>
        <v>241011</v>
      </c>
    </row>
    <row r="479" spans="1:13" x14ac:dyDescent="0.25">
      <c r="A479">
        <v>2110020322</v>
      </c>
      <c r="B479" t="s">
        <v>1122</v>
      </c>
      <c r="C479">
        <v>2310090497</v>
      </c>
      <c r="D479" t="s">
        <v>4876</v>
      </c>
      <c r="E479">
        <v>2310090463</v>
      </c>
      <c r="F479" t="s">
        <v>2302</v>
      </c>
      <c r="G479" t="s">
        <v>89</v>
      </c>
      <c r="H479">
        <v>8000</v>
      </c>
      <c r="I479">
        <v>3</v>
      </c>
      <c r="J479">
        <v>8000</v>
      </c>
      <c r="K479">
        <f>+VLOOKUP(E479,Costos!$A$1:$I$7161,9,FALSE)</f>
        <v>3.9739999999999998E-2</v>
      </c>
      <c r="L479" t="str">
        <f t="shared" si="16"/>
        <v>231</v>
      </c>
      <c r="M479" t="str">
        <f t="shared" si="17"/>
        <v>231009</v>
      </c>
    </row>
    <row r="480" spans="1:13" x14ac:dyDescent="0.25">
      <c r="A480">
        <v>2110020322</v>
      </c>
      <c r="B480" t="s">
        <v>1122</v>
      </c>
      <c r="C480">
        <v>2310090463</v>
      </c>
      <c r="D480" t="s">
        <v>2302</v>
      </c>
      <c r="E480">
        <v>2410090299</v>
      </c>
      <c r="F480" t="s">
        <v>110</v>
      </c>
      <c r="G480" t="s">
        <v>89</v>
      </c>
      <c r="H480">
        <v>0.8</v>
      </c>
      <c r="I480">
        <v>4</v>
      </c>
      <c r="J480">
        <v>8000</v>
      </c>
      <c r="K480">
        <f>+VLOOKUP(E480,Costos!$A$1:$I$7161,9,FALSE)</f>
        <v>12.364929</v>
      </c>
      <c r="L480" t="str">
        <f t="shared" si="16"/>
        <v>241</v>
      </c>
      <c r="M480" t="str">
        <f t="shared" si="17"/>
        <v>241009</v>
      </c>
    </row>
    <row r="481" spans="1:13" x14ac:dyDescent="0.25">
      <c r="A481">
        <v>2110020322</v>
      </c>
      <c r="B481" t="s">
        <v>1122</v>
      </c>
      <c r="C481">
        <v>2310090463</v>
      </c>
      <c r="D481" t="s">
        <v>2302</v>
      </c>
      <c r="E481">
        <v>2410290142</v>
      </c>
      <c r="F481" t="s">
        <v>3394</v>
      </c>
      <c r="G481" t="s">
        <v>89</v>
      </c>
      <c r="H481">
        <v>40</v>
      </c>
      <c r="I481">
        <v>4</v>
      </c>
      <c r="J481">
        <v>8000</v>
      </c>
      <c r="K481">
        <f>+VLOOKUP(E481,Costos!$A$1:$I$7161,9,FALSE)</f>
        <v>4.9846349999999999</v>
      </c>
      <c r="L481" t="str">
        <f t="shared" si="16"/>
        <v>241</v>
      </c>
      <c r="M481" t="str">
        <f t="shared" si="17"/>
        <v>241029</v>
      </c>
    </row>
    <row r="482" spans="1:13" x14ac:dyDescent="0.25">
      <c r="A482">
        <v>2110020322</v>
      </c>
      <c r="B482" t="s">
        <v>1122</v>
      </c>
      <c r="C482">
        <v>2310210155</v>
      </c>
      <c r="D482" t="s">
        <v>2570</v>
      </c>
      <c r="E482">
        <v>2310160244</v>
      </c>
      <c r="F482" t="s">
        <v>2386</v>
      </c>
      <c r="G482" t="s">
        <v>71</v>
      </c>
      <c r="H482">
        <v>8000</v>
      </c>
      <c r="I482">
        <v>2</v>
      </c>
      <c r="J482">
        <v>8000</v>
      </c>
      <c r="K482">
        <f>+VLOOKUP(E482,Costos!$A$1:$I$7161,9,FALSE)</f>
        <v>2.4087999999999998E-2</v>
      </c>
      <c r="L482" t="str">
        <f t="shared" si="16"/>
        <v>231</v>
      </c>
      <c r="M482" t="str">
        <f t="shared" si="17"/>
        <v>231016</v>
      </c>
    </row>
    <row r="483" spans="1:13" x14ac:dyDescent="0.25">
      <c r="A483">
        <v>2110020322</v>
      </c>
      <c r="B483" t="s">
        <v>1122</v>
      </c>
      <c r="C483">
        <v>2310160244</v>
      </c>
      <c r="D483" t="s">
        <v>2386</v>
      </c>
      <c r="E483">
        <v>2410090299</v>
      </c>
      <c r="F483" t="s">
        <v>110</v>
      </c>
      <c r="G483" t="s">
        <v>89</v>
      </c>
      <c r="H483">
        <v>0.39360000000000001</v>
      </c>
      <c r="I483">
        <v>3</v>
      </c>
      <c r="J483">
        <v>8000</v>
      </c>
      <c r="K483">
        <f>+VLOOKUP(E483,Costos!$A$1:$I$7161,9,FALSE)</f>
        <v>12.364929</v>
      </c>
      <c r="L483" t="str">
        <f t="shared" si="16"/>
        <v>241</v>
      </c>
      <c r="M483" t="str">
        <f t="shared" si="17"/>
        <v>241009</v>
      </c>
    </row>
    <row r="484" spans="1:13" x14ac:dyDescent="0.25">
      <c r="A484">
        <v>2110020322</v>
      </c>
      <c r="B484" t="s">
        <v>1122</v>
      </c>
      <c r="C484">
        <v>2310160244</v>
      </c>
      <c r="D484" t="s">
        <v>2386</v>
      </c>
      <c r="E484">
        <v>2410290215</v>
      </c>
      <c r="F484" t="s">
        <v>3400</v>
      </c>
      <c r="G484" t="s">
        <v>89</v>
      </c>
      <c r="H484">
        <v>16.64</v>
      </c>
      <c r="I484">
        <v>3</v>
      </c>
      <c r="J484">
        <v>8000</v>
      </c>
      <c r="K484">
        <f>+VLOOKUP(E484,Costos!$A$1:$I$7161,9,FALSE)</f>
        <v>6.2778530000000003</v>
      </c>
      <c r="L484" t="str">
        <f t="shared" si="16"/>
        <v>241</v>
      </c>
      <c r="M484" t="str">
        <f t="shared" si="17"/>
        <v>241029</v>
      </c>
    </row>
    <row r="485" spans="1:13" x14ac:dyDescent="0.25">
      <c r="A485">
        <v>2110020322</v>
      </c>
      <c r="B485" t="s">
        <v>1122</v>
      </c>
      <c r="C485">
        <v>2310210155</v>
      </c>
      <c r="D485" t="s">
        <v>2570</v>
      </c>
      <c r="E485">
        <v>2310160254</v>
      </c>
      <c r="F485" t="s">
        <v>2396</v>
      </c>
      <c r="G485" t="s">
        <v>71</v>
      </c>
      <c r="H485">
        <v>8000</v>
      </c>
      <c r="I485">
        <v>2</v>
      </c>
      <c r="J485">
        <v>8000</v>
      </c>
      <c r="K485">
        <f>+VLOOKUP(E485,Costos!$A$1:$I$7161,9,FALSE)</f>
        <v>1.3266999999999999E-2</v>
      </c>
      <c r="L485" t="str">
        <f t="shared" si="16"/>
        <v>231</v>
      </c>
      <c r="M485" t="str">
        <f t="shared" si="17"/>
        <v>231016</v>
      </c>
    </row>
    <row r="486" spans="1:13" x14ac:dyDescent="0.25">
      <c r="A486">
        <v>2110020322</v>
      </c>
      <c r="B486" t="s">
        <v>1122</v>
      </c>
      <c r="C486">
        <v>2310160254</v>
      </c>
      <c r="D486" t="s">
        <v>2396</v>
      </c>
      <c r="E486">
        <v>2410090299</v>
      </c>
      <c r="F486" t="s">
        <v>110</v>
      </c>
      <c r="G486" t="s">
        <v>89</v>
      </c>
      <c r="H486">
        <v>0.192</v>
      </c>
      <c r="I486">
        <v>3</v>
      </c>
      <c r="J486">
        <v>8000</v>
      </c>
      <c r="K486">
        <f>+VLOOKUP(E486,Costos!$A$1:$I$7161,9,FALSE)</f>
        <v>12.364929</v>
      </c>
      <c r="L486" t="str">
        <f t="shared" si="16"/>
        <v>241</v>
      </c>
      <c r="M486" t="str">
        <f t="shared" si="17"/>
        <v>241009</v>
      </c>
    </row>
    <row r="487" spans="1:13" x14ac:dyDescent="0.25">
      <c r="A487">
        <v>2110020322</v>
      </c>
      <c r="B487" t="s">
        <v>1122</v>
      </c>
      <c r="C487">
        <v>2310160254</v>
      </c>
      <c r="D487" t="s">
        <v>2396</v>
      </c>
      <c r="E487">
        <v>2410290626</v>
      </c>
      <c r="F487" t="s">
        <v>92</v>
      </c>
      <c r="G487" t="s">
        <v>89</v>
      </c>
      <c r="H487">
        <v>10.222200000000001</v>
      </c>
      <c r="I487">
        <v>3</v>
      </c>
      <c r="J487">
        <v>8000</v>
      </c>
      <c r="K487">
        <f>+VLOOKUP(E487,Costos!$A$1:$I$7161,9,FALSE)</f>
        <v>4.362679</v>
      </c>
      <c r="L487" t="str">
        <f t="shared" si="16"/>
        <v>241</v>
      </c>
      <c r="M487" t="str">
        <f t="shared" si="17"/>
        <v>241029</v>
      </c>
    </row>
    <row r="488" spans="1:13" x14ac:dyDescent="0.25">
      <c r="A488">
        <v>2110020322</v>
      </c>
      <c r="B488" t="s">
        <v>1122</v>
      </c>
      <c r="C488">
        <v>2310210155</v>
      </c>
      <c r="D488" t="s">
        <v>2570</v>
      </c>
      <c r="E488">
        <v>2410170037</v>
      </c>
      <c r="F488" t="s">
        <v>3336</v>
      </c>
      <c r="G488" t="s">
        <v>71</v>
      </c>
      <c r="H488">
        <v>8000</v>
      </c>
      <c r="I488">
        <v>2</v>
      </c>
      <c r="J488">
        <v>8000</v>
      </c>
      <c r="K488">
        <f>+VLOOKUP(E488,Costos!$A$1:$I$7161,9,FALSE)</f>
        <v>4.2382999999999997E-2</v>
      </c>
      <c r="L488" t="str">
        <f t="shared" si="16"/>
        <v>241</v>
      </c>
      <c r="M488" t="str">
        <f t="shared" si="17"/>
        <v>241017</v>
      </c>
    </row>
    <row r="489" spans="1:13" x14ac:dyDescent="0.25">
      <c r="A489">
        <v>2110020322</v>
      </c>
      <c r="B489" t="s">
        <v>1122</v>
      </c>
      <c r="C489">
        <v>2310210155</v>
      </c>
      <c r="D489" t="s">
        <v>2570</v>
      </c>
      <c r="E489">
        <v>2410170233</v>
      </c>
      <c r="F489" t="s">
        <v>3351</v>
      </c>
      <c r="G489" t="s">
        <v>71</v>
      </c>
      <c r="H489">
        <v>8000</v>
      </c>
      <c r="I489">
        <v>2</v>
      </c>
      <c r="J489">
        <v>8000</v>
      </c>
      <c r="K489">
        <f>+VLOOKUP(E489,Costos!$A$1:$I$7161,9,FALSE)</f>
        <v>2.9669999999999998E-2</v>
      </c>
      <c r="L489" t="str">
        <f t="shared" si="16"/>
        <v>241</v>
      </c>
      <c r="M489" t="str">
        <f t="shared" si="17"/>
        <v>241017</v>
      </c>
    </row>
    <row r="490" spans="1:13" x14ac:dyDescent="0.25">
      <c r="A490">
        <v>2110020322</v>
      </c>
      <c r="B490" t="s">
        <v>1122</v>
      </c>
      <c r="C490">
        <v>2310210155</v>
      </c>
      <c r="D490" t="s">
        <v>2570</v>
      </c>
      <c r="E490">
        <v>2310180051</v>
      </c>
      <c r="F490" t="s">
        <v>79</v>
      </c>
      <c r="G490" t="s">
        <v>71</v>
      </c>
      <c r="H490">
        <v>25.333300000000001</v>
      </c>
      <c r="I490">
        <v>2</v>
      </c>
      <c r="J490">
        <v>8000</v>
      </c>
      <c r="K490">
        <f>+VLOOKUP(E490,Costos!$A$1:$I$7161,9,FALSE)</f>
        <v>5.2177179999999996</v>
      </c>
      <c r="L490" t="str">
        <f t="shared" si="16"/>
        <v>231</v>
      </c>
      <c r="M490" t="str">
        <f t="shared" si="17"/>
        <v>231018</v>
      </c>
    </row>
    <row r="491" spans="1:13" x14ac:dyDescent="0.25">
      <c r="A491">
        <v>2110020322</v>
      </c>
      <c r="B491" t="s">
        <v>1122</v>
      </c>
      <c r="C491">
        <v>2310180051</v>
      </c>
      <c r="D491" t="s">
        <v>79</v>
      </c>
      <c r="E491">
        <v>2430450001</v>
      </c>
      <c r="F491" t="s">
        <v>93</v>
      </c>
      <c r="G491" t="s">
        <v>89</v>
      </c>
      <c r="H491">
        <v>2.5333000000000001</v>
      </c>
      <c r="I491">
        <v>3</v>
      </c>
      <c r="J491">
        <v>8000</v>
      </c>
      <c r="K491">
        <f>+VLOOKUP(E491,Costos!$A$1:$I$7161,9,FALSE)</f>
        <v>5.0953559999999998</v>
      </c>
      <c r="L491" t="str">
        <f t="shared" si="16"/>
        <v>243</v>
      </c>
      <c r="M491" t="str">
        <f t="shared" si="17"/>
        <v>243045</v>
      </c>
    </row>
    <row r="492" spans="1:13" x14ac:dyDescent="0.25">
      <c r="A492">
        <v>2110020322</v>
      </c>
      <c r="B492" t="s">
        <v>1122</v>
      </c>
      <c r="C492">
        <v>2310180051</v>
      </c>
      <c r="D492" t="s">
        <v>79</v>
      </c>
      <c r="E492">
        <v>2310180048</v>
      </c>
      <c r="F492" t="s">
        <v>94</v>
      </c>
      <c r="G492" t="s">
        <v>89</v>
      </c>
      <c r="H492">
        <v>3.1667000000000001</v>
      </c>
      <c r="I492">
        <v>3</v>
      </c>
      <c r="J492">
        <v>8000</v>
      </c>
      <c r="K492">
        <f>+VLOOKUP(E492,Costos!$A$1:$I$7161,9,FALSE)</f>
        <v>2.7850670000000002</v>
      </c>
      <c r="L492" t="str">
        <f t="shared" si="16"/>
        <v>231</v>
      </c>
      <c r="M492" t="str">
        <f t="shared" si="17"/>
        <v>231018</v>
      </c>
    </row>
    <row r="493" spans="1:13" x14ac:dyDescent="0.25">
      <c r="A493">
        <v>2110020322</v>
      </c>
      <c r="B493" t="s">
        <v>1122</v>
      </c>
      <c r="C493">
        <v>2310180048</v>
      </c>
      <c r="D493" t="s">
        <v>94</v>
      </c>
      <c r="E493">
        <v>2410210019</v>
      </c>
      <c r="F493" t="s">
        <v>113</v>
      </c>
      <c r="G493" t="s">
        <v>89</v>
      </c>
      <c r="H493">
        <v>6.3299999999999995E-2</v>
      </c>
      <c r="I493">
        <v>4</v>
      </c>
      <c r="J493">
        <v>8000</v>
      </c>
      <c r="K493">
        <f>+VLOOKUP(E493,Costos!$A$1:$I$7161,9,FALSE)</f>
        <v>7.5043049999999996</v>
      </c>
      <c r="L493" t="str">
        <f t="shared" si="16"/>
        <v>241</v>
      </c>
      <c r="M493" t="str">
        <f t="shared" si="17"/>
        <v>241021</v>
      </c>
    </row>
    <row r="494" spans="1:13" x14ac:dyDescent="0.25">
      <c r="A494">
        <v>2110020322</v>
      </c>
      <c r="B494" t="s">
        <v>1122</v>
      </c>
      <c r="C494">
        <v>2310180048</v>
      </c>
      <c r="D494" t="s">
        <v>94</v>
      </c>
      <c r="E494">
        <v>2430930001</v>
      </c>
      <c r="F494" t="s">
        <v>114</v>
      </c>
      <c r="G494" t="s">
        <v>89</v>
      </c>
      <c r="H494">
        <v>1.615</v>
      </c>
      <c r="I494">
        <v>4</v>
      </c>
      <c r="J494">
        <v>8000</v>
      </c>
      <c r="K494">
        <f>+VLOOKUP(E494,Costos!$A$1:$I$7161,9,FALSE)</f>
        <v>4.7685019999999998</v>
      </c>
      <c r="L494" t="str">
        <f t="shared" si="16"/>
        <v>243</v>
      </c>
      <c r="M494" t="str">
        <f t="shared" si="17"/>
        <v>243093</v>
      </c>
    </row>
    <row r="495" spans="1:13" x14ac:dyDescent="0.25">
      <c r="A495">
        <v>2110020322</v>
      </c>
      <c r="B495" t="s">
        <v>1122</v>
      </c>
      <c r="C495">
        <v>2310180048</v>
      </c>
      <c r="D495" t="s">
        <v>94</v>
      </c>
      <c r="E495">
        <v>2430880022</v>
      </c>
      <c r="F495" t="s">
        <v>115</v>
      </c>
      <c r="G495" t="s">
        <v>89</v>
      </c>
      <c r="H495">
        <v>9.4999999999999998E-3</v>
      </c>
      <c r="I495">
        <v>4</v>
      </c>
      <c r="J495">
        <v>8000</v>
      </c>
      <c r="K495">
        <f>+VLOOKUP(E495,Costos!$A$1:$I$7161,9,FALSE)</f>
        <v>5.3984490000000003</v>
      </c>
      <c r="L495" t="str">
        <f t="shared" si="16"/>
        <v>243</v>
      </c>
      <c r="M495" t="str">
        <f t="shared" si="17"/>
        <v>243088</v>
      </c>
    </row>
    <row r="496" spans="1:13" x14ac:dyDescent="0.25">
      <c r="A496">
        <v>2110020322</v>
      </c>
      <c r="B496" t="s">
        <v>1122</v>
      </c>
      <c r="C496">
        <v>2310180051</v>
      </c>
      <c r="D496" t="s">
        <v>79</v>
      </c>
      <c r="E496">
        <v>2410210003</v>
      </c>
      <c r="F496" t="s">
        <v>95</v>
      </c>
      <c r="G496" t="s">
        <v>89</v>
      </c>
      <c r="H496">
        <v>5.0667</v>
      </c>
      <c r="I496">
        <v>3</v>
      </c>
      <c r="J496">
        <v>8000</v>
      </c>
      <c r="K496">
        <f>+VLOOKUP(E496,Costos!$A$1:$I$7161,9,FALSE)</f>
        <v>5.0519999999999996</v>
      </c>
      <c r="L496" t="str">
        <f t="shared" si="16"/>
        <v>241</v>
      </c>
      <c r="M496" t="str">
        <f t="shared" si="17"/>
        <v>241021</v>
      </c>
    </row>
    <row r="497" spans="1:13" x14ac:dyDescent="0.25">
      <c r="A497">
        <v>2110020322</v>
      </c>
      <c r="B497" t="s">
        <v>1122</v>
      </c>
      <c r="C497">
        <v>2310180051</v>
      </c>
      <c r="D497" t="s">
        <v>79</v>
      </c>
      <c r="E497">
        <v>2410090268</v>
      </c>
      <c r="F497" t="s">
        <v>97</v>
      </c>
      <c r="G497" t="s">
        <v>89</v>
      </c>
      <c r="H497">
        <v>0.12670000000000001</v>
      </c>
      <c r="I497">
        <v>3</v>
      </c>
      <c r="J497">
        <v>8000</v>
      </c>
      <c r="K497">
        <f>+VLOOKUP(E497,Costos!$A$1:$I$7161,9,FALSE)</f>
        <v>138.307931</v>
      </c>
      <c r="L497" t="str">
        <f t="shared" si="16"/>
        <v>241</v>
      </c>
      <c r="M497" t="str">
        <f t="shared" si="17"/>
        <v>241009</v>
      </c>
    </row>
    <row r="498" spans="1:13" x14ac:dyDescent="0.25">
      <c r="A498">
        <v>2110020322</v>
      </c>
      <c r="B498" t="s">
        <v>1122</v>
      </c>
      <c r="C498">
        <v>2110020322</v>
      </c>
      <c r="D498" t="s">
        <v>1122</v>
      </c>
      <c r="E498">
        <v>2310210156</v>
      </c>
      <c r="F498" t="s">
        <v>2571</v>
      </c>
      <c r="G498" t="s">
        <v>20</v>
      </c>
      <c r="H498">
        <v>8000</v>
      </c>
      <c r="I498">
        <v>1</v>
      </c>
      <c r="J498">
        <v>8000</v>
      </c>
      <c r="K498">
        <f>+VLOOKUP(E498,Costos!$A$1:$I$7161,9,FALSE)</f>
        <v>0.23572100000000001</v>
      </c>
      <c r="L498" t="str">
        <f t="shared" si="16"/>
        <v>231</v>
      </c>
      <c r="M498" t="str">
        <f t="shared" si="17"/>
        <v>231021</v>
      </c>
    </row>
    <row r="499" spans="1:13" x14ac:dyDescent="0.25">
      <c r="A499">
        <v>2110020322</v>
      </c>
      <c r="B499" t="s">
        <v>1122</v>
      </c>
      <c r="C499">
        <v>2310210156</v>
      </c>
      <c r="D499" t="s">
        <v>2571</v>
      </c>
      <c r="E499">
        <v>2310090498</v>
      </c>
      <c r="F499" t="s">
        <v>2319</v>
      </c>
      <c r="G499" t="s">
        <v>71</v>
      </c>
      <c r="H499">
        <v>8000</v>
      </c>
      <c r="I499">
        <v>2</v>
      </c>
      <c r="J499">
        <v>8000</v>
      </c>
      <c r="K499">
        <f>+VLOOKUP(E499,Costos!$A$1:$I$7161,9,FALSE)</f>
        <v>5.8524E-2</v>
      </c>
      <c r="L499" t="str">
        <f t="shared" si="16"/>
        <v>231</v>
      </c>
      <c r="M499" t="str">
        <f t="shared" si="17"/>
        <v>231009</v>
      </c>
    </row>
    <row r="500" spans="1:13" x14ac:dyDescent="0.25">
      <c r="A500">
        <v>2110020322</v>
      </c>
      <c r="B500" t="s">
        <v>1122</v>
      </c>
      <c r="C500">
        <v>2310090498</v>
      </c>
      <c r="D500" t="s">
        <v>2319</v>
      </c>
      <c r="E500">
        <v>2410200005</v>
      </c>
      <c r="F500" t="s">
        <v>3363</v>
      </c>
      <c r="G500" t="s">
        <v>89</v>
      </c>
      <c r="H500">
        <v>4.0000000000000002E-4</v>
      </c>
      <c r="I500">
        <v>3</v>
      </c>
      <c r="J500">
        <v>8000</v>
      </c>
      <c r="K500">
        <f>+VLOOKUP(E500,Costos!$A$1:$I$7161,9,FALSE)</f>
        <v>26.802222</v>
      </c>
      <c r="L500" t="str">
        <f t="shared" si="16"/>
        <v>241</v>
      </c>
      <c r="M500" t="str">
        <f t="shared" si="17"/>
        <v>241020</v>
      </c>
    </row>
    <row r="501" spans="1:13" x14ac:dyDescent="0.25">
      <c r="A501">
        <v>2110020322</v>
      </c>
      <c r="B501" t="s">
        <v>1122</v>
      </c>
      <c r="C501">
        <v>2310090498</v>
      </c>
      <c r="D501" t="s">
        <v>2319</v>
      </c>
      <c r="E501">
        <v>2410110108</v>
      </c>
      <c r="F501" t="s">
        <v>3313</v>
      </c>
      <c r="G501" t="s">
        <v>89</v>
      </c>
      <c r="H501">
        <v>4.0000000000000001E-3</v>
      </c>
      <c r="I501">
        <v>3</v>
      </c>
      <c r="J501">
        <v>8000</v>
      </c>
      <c r="K501">
        <f>+VLOOKUP(E501,Costos!$A$1:$I$7161,9,FALSE)</f>
        <v>89.025000000000006</v>
      </c>
      <c r="L501" t="str">
        <f t="shared" si="16"/>
        <v>241</v>
      </c>
      <c r="M501" t="str">
        <f t="shared" si="17"/>
        <v>241011</v>
      </c>
    </row>
    <row r="502" spans="1:13" x14ac:dyDescent="0.25">
      <c r="A502">
        <v>2110020322</v>
      </c>
      <c r="B502" t="s">
        <v>1122</v>
      </c>
      <c r="C502">
        <v>2310090498</v>
      </c>
      <c r="D502" t="s">
        <v>2319</v>
      </c>
      <c r="E502">
        <v>2310090464</v>
      </c>
      <c r="F502" t="s">
        <v>2303</v>
      </c>
      <c r="G502" t="s">
        <v>89</v>
      </c>
      <c r="H502">
        <v>8000</v>
      </c>
      <c r="I502">
        <v>3</v>
      </c>
      <c r="J502">
        <v>8000</v>
      </c>
      <c r="K502">
        <f>+VLOOKUP(E502,Costos!$A$1:$I$7161,9,FALSE)</f>
        <v>4.4733000000000002E-2</v>
      </c>
      <c r="L502" t="str">
        <f t="shared" si="16"/>
        <v>231</v>
      </c>
      <c r="M502" t="str">
        <f t="shared" si="17"/>
        <v>231009</v>
      </c>
    </row>
    <row r="503" spans="1:13" x14ac:dyDescent="0.25">
      <c r="A503">
        <v>2110020322</v>
      </c>
      <c r="B503" t="s">
        <v>1122</v>
      </c>
      <c r="C503">
        <v>2310090464</v>
      </c>
      <c r="D503" t="s">
        <v>2303</v>
      </c>
      <c r="E503">
        <v>2410090163</v>
      </c>
      <c r="F503" t="s">
        <v>107</v>
      </c>
      <c r="G503" t="s">
        <v>89</v>
      </c>
      <c r="H503">
        <v>0.96</v>
      </c>
      <c r="I503">
        <v>4</v>
      </c>
      <c r="J503">
        <v>8000</v>
      </c>
      <c r="K503">
        <f>+VLOOKUP(E503,Costos!$A$1:$I$7161,9,FALSE)</f>
        <v>50.463196000000003</v>
      </c>
      <c r="L503" t="str">
        <f t="shared" si="16"/>
        <v>241</v>
      </c>
      <c r="M503" t="str">
        <f t="shared" si="17"/>
        <v>241009</v>
      </c>
    </row>
    <row r="504" spans="1:13" x14ac:dyDescent="0.25">
      <c r="A504">
        <v>2110020322</v>
      </c>
      <c r="B504" t="s">
        <v>1122</v>
      </c>
      <c r="C504">
        <v>2310090464</v>
      </c>
      <c r="D504" t="s">
        <v>2303</v>
      </c>
      <c r="E504">
        <v>2410290142</v>
      </c>
      <c r="F504" t="s">
        <v>3394</v>
      </c>
      <c r="G504" t="s">
        <v>89</v>
      </c>
      <c r="H504">
        <v>40</v>
      </c>
      <c r="I504">
        <v>4</v>
      </c>
      <c r="J504">
        <v>8000</v>
      </c>
      <c r="K504">
        <f>+VLOOKUP(E504,Costos!$A$1:$I$7161,9,FALSE)</f>
        <v>4.9846349999999999</v>
      </c>
      <c r="L504" t="str">
        <f t="shared" si="16"/>
        <v>241</v>
      </c>
      <c r="M504" t="str">
        <f t="shared" si="17"/>
        <v>241029</v>
      </c>
    </row>
    <row r="505" spans="1:13" x14ac:dyDescent="0.25">
      <c r="A505">
        <v>2110020322</v>
      </c>
      <c r="B505" t="s">
        <v>1122</v>
      </c>
      <c r="C505">
        <v>2310210156</v>
      </c>
      <c r="D505" t="s">
        <v>2571</v>
      </c>
      <c r="E505">
        <v>2310160245</v>
      </c>
      <c r="F505" t="s">
        <v>2387</v>
      </c>
      <c r="G505" t="s">
        <v>71</v>
      </c>
      <c r="H505">
        <v>8000</v>
      </c>
      <c r="I505">
        <v>2</v>
      </c>
      <c r="J505">
        <v>8000</v>
      </c>
      <c r="K505">
        <f>+VLOOKUP(E505,Costos!$A$1:$I$7161,9,FALSE)</f>
        <v>3.3096E-2</v>
      </c>
      <c r="L505" t="str">
        <f t="shared" si="16"/>
        <v>231</v>
      </c>
      <c r="M505" t="str">
        <f t="shared" si="17"/>
        <v>231016</v>
      </c>
    </row>
    <row r="506" spans="1:13" x14ac:dyDescent="0.25">
      <c r="A506">
        <v>2110020322</v>
      </c>
      <c r="B506" t="s">
        <v>1122</v>
      </c>
      <c r="C506">
        <v>2310160245</v>
      </c>
      <c r="D506" t="s">
        <v>2387</v>
      </c>
      <c r="E506">
        <v>2410090163</v>
      </c>
      <c r="F506" t="s">
        <v>107</v>
      </c>
      <c r="G506" t="s">
        <v>89</v>
      </c>
      <c r="H506">
        <v>0.39360000000000001</v>
      </c>
      <c r="I506">
        <v>3</v>
      </c>
      <c r="J506">
        <v>8000</v>
      </c>
      <c r="K506">
        <f>+VLOOKUP(E506,Costos!$A$1:$I$7161,9,FALSE)</f>
        <v>50.463196000000003</v>
      </c>
      <c r="L506" t="str">
        <f t="shared" si="16"/>
        <v>241</v>
      </c>
      <c r="M506" t="str">
        <f t="shared" si="17"/>
        <v>241009</v>
      </c>
    </row>
    <row r="507" spans="1:13" x14ac:dyDescent="0.25">
      <c r="A507">
        <v>2110020322</v>
      </c>
      <c r="B507" t="s">
        <v>1122</v>
      </c>
      <c r="C507">
        <v>2310160245</v>
      </c>
      <c r="D507" t="s">
        <v>2387</v>
      </c>
      <c r="E507">
        <v>2410290215</v>
      </c>
      <c r="F507" t="s">
        <v>3400</v>
      </c>
      <c r="G507" t="s">
        <v>89</v>
      </c>
      <c r="H507">
        <v>16.64</v>
      </c>
      <c r="I507">
        <v>3</v>
      </c>
      <c r="J507">
        <v>8000</v>
      </c>
      <c r="K507">
        <f>+VLOOKUP(E507,Costos!$A$1:$I$7161,9,FALSE)</f>
        <v>6.2778530000000003</v>
      </c>
      <c r="L507" t="str">
        <f t="shared" si="16"/>
        <v>241</v>
      </c>
      <c r="M507" t="str">
        <f t="shared" si="17"/>
        <v>241029</v>
      </c>
    </row>
    <row r="508" spans="1:13" x14ac:dyDescent="0.25">
      <c r="A508">
        <v>2110020322</v>
      </c>
      <c r="B508" t="s">
        <v>1122</v>
      </c>
      <c r="C508">
        <v>2310210156</v>
      </c>
      <c r="D508" t="s">
        <v>2571</v>
      </c>
      <c r="E508">
        <v>2310160255</v>
      </c>
      <c r="F508" t="s">
        <v>2397</v>
      </c>
      <c r="G508" t="s">
        <v>71</v>
      </c>
      <c r="H508">
        <v>8000</v>
      </c>
      <c r="I508">
        <v>2</v>
      </c>
      <c r="J508">
        <v>8000</v>
      </c>
      <c r="K508">
        <f>+VLOOKUP(E508,Costos!$A$1:$I$7161,9,FALSE)</f>
        <v>9.8569999999999994E-3</v>
      </c>
      <c r="L508" t="str">
        <f t="shared" si="16"/>
        <v>231</v>
      </c>
      <c r="M508" t="str">
        <f t="shared" si="17"/>
        <v>231016</v>
      </c>
    </row>
    <row r="509" spans="1:13" x14ac:dyDescent="0.25">
      <c r="A509">
        <v>2110020322</v>
      </c>
      <c r="B509" t="s">
        <v>1122</v>
      </c>
      <c r="C509">
        <v>2310160255</v>
      </c>
      <c r="D509" t="s">
        <v>2397</v>
      </c>
      <c r="E509">
        <v>2410090163</v>
      </c>
      <c r="F509" t="s">
        <v>107</v>
      </c>
      <c r="G509" t="s">
        <v>89</v>
      </c>
      <c r="H509">
        <v>0.24529999999999999</v>
      </c>
      <c r="I509">
        <v>3</v>
      </c>
      <c r="J509">
        <v>8000</v>
      </c>
      <c r="K509">
        <f>+VLOOKUP(E509,Costos!$A$1:$I$7161,9,FALSE)</f>
        <v>50.463196000000003</v>
      </c>
      <c r="L509" t="str">
        <f t="shared" si="16"/>
        <v>241</v>
      </c>
      <c r="M509" t="str">
        <f t="shared" si="17"/>
        <v>241009</v>
      </c>
    </row>
    <row r="510" spans="1:13" x14ac:dyDescent="0.25">
      <c r="A510">
        <v>2110020322</v>
      </c>
      <c r="B510" t="s">
        <v>1122</v>
      </c>
      <c r="C510">
        <v>2310160255</v>
      </c>
      <c r="D510" t="s">
        <v>2397</v>
      </c>
      <c r="E510">
        <v>2410290626</v>
      </c>
      <c r="F510" t="s">
        <v>92</v>
      </c>
      <c r="G510" t="s">
        <v>89</v>
      </c>
      <c r="H510">
        <v>10.222200000000001</v>
      </c>
      <c r="I510">
        <v>3</v>
      </c>
      <c r="J510">
        <v>8000</v>
      </c>
      <c r="K510">
        <f>+VLOOKUP(E510,Costos!$A$1:$I$7161,9,FALSE)</f>
        <v>4.362679</v>
      </c>
      <c r="L510" t="str">
        <f t="shared" si="16"/>
        <v>241</v>
      </c>
      <c r="M510" t="str">
        <f t="shared" si="17"/>
        <v>241029</v>
      </c>
    </row>
    <row r="511" spans="1:13" x14ac:dyDescent="0.25">
      <c r="A511">
        <v>2110020322</v>
      </c>
      <c r="B511" t="s">
        <v>1122</v>
      </c>
      <c r="C511">
        <v>2310210156</v>
      </c>
      <c r="D511" t="s">
        <v>2571</v>
      </c>
      <c r="E511">
        <v>2410170037</v>
      </c>
      <c r="F511" t="s">
        <v>3336</v>
      </c>
      <c r="G511" t="s">
        <v>71</v>
      </c>
      <c r="H511">
        <v>8000</v>
      </c>
      <c r="I511">
        <v>2</v>
      </c>
      <c r="J511">
        <v>8000</v>
      </c>
      <c r="K511">
        <f>+VLOOKUP(E511,Costos!$A$1:$I$7161,9,FALSE)</f>
        <v>4.2382999999999997E-2</v>
      </c>
      <c r="L511" t="str">
        <f t="shared" si="16"/>
        <v>241</v>
      </c>
      <c r="M511" t="str">
        <f t="shared" si="17"/>
        <v>241017</v>
      </c>
    </row>
    <row r="512" spans="1:13" x14ac:dyDescent="0.25">
      <c r="A512">
        <v>2110020322</v>
      </c>
      <c r="B512" t="s">
        <v>1122</v>
      </c>
      <c r="C512">
        <v>2310210156</v>
      </c>
      <c r="D512" t="s">
        <v>2571</v>
      </c>
      <c r="E512">
        <v>2410170233</v>
      </c>
      <c r="F512" t="s">
        <v>3351</v>
      </c>
      <c r="G512" t="s">
        <v>71</v>
      </c>
      <c r="H512">
        <v>8000</v>
      </c>
      <c r="I512">
        <v>2</v>
      </c>
      <c r="J512">
        <v>8000</v>
      </c>
      <c r="K512">
        <f>+VLOOKUP(E512,Costos!$A$1:$I$7161,9,FALSE)</f>
        <v>2.9669999999999998E-2</v>
      </c>
      <c r="L512" t="str">
        <f t="shared" si="16"/>
        <v>241</v>
      </c>
      <c r="M512" t="str">
        <f t="shared" si="17"/>
        <v>241017</v>
      </c>
    </row>
    <row r="513" spans="1:13" x14ac:dyDescent="0.25">
      <c r="A513">
        <v>2110020322</v>
      </c>
      <c r="B513" t="s">
        <v>1122</v>
      </c>
      <c r="C513">
        <v>2310210156</v>
      </c>
      <c r="D513" t="s">
        <v>2571</v>
      </c>
      <c r="E513">
        <v>2310180050</v>
      </c>
      <c r="F513" t="s">
        <v>70</v>
      </c>
      <c r="G513" t="s">
        <v>71</v>
      </c>
      <c r="H513">
        <v>25.333300000000001</v>
      </c>
      <c r="I513">
        <v>2</v>
      </c>
      <c r="J513">
        <v>8000</v>
      </c>
      <c r="K513">
        <f>+VLOOKUP(E513,Costos!$A$1:$I$7161,9,FALSE)</f>
        <v>3.728593</v>
      </c>
      <c r="L513" t="str">
        <f t="shared" si="16"/>
        <v>231</v>
      </c>
      <c r="M513" t="str">
        <f t="shared" si="17"/>
        <v>231018</v>
      </c>
    </row>
    <row r="514" spans="1:13" x14ac:dyDescent="0.25">
      <c r="A514">
        <v>2110020322</v>
      </c>
      <c r="B514" t="s">
        <v>1122</v>
      </c>
      <c r="C514">
        <v>2310180050</v>
      </c>
      <c r="D514" t="s">
        <v>70</v>
      </c>
      <c r="E514">
        <v>2430450001</v>
      </c>
      <c r="F514" t="s">
        <v>93</v>
      </c>
      <c r="G514" t="s">
        <v>89</v>
      </c>
      <c r="H514">
        <v>2.5333000000000001</v>
      </c>
      <c r="I514">
        <v>3</v>
      </c>
      <c r="J514">
        <v>8000</v>
      </c>
      <c r="K514">
        <f>+VLOOKUP(E514,Costos!$A$1:$I$7161,9,FALSE)</f>
        <v>5.0953559999999998</v>
      </c>
      <c r="L514" t="str">
        <f t="shared" si="16"/>
        <v>243</v>
      </c>
      <c r="M514" t="str">
        <f t="shared" si="17"/>
        <v>243045</v>
      </c>
    </row>
    <row r="515" spans="1:13" x14ac:dyDescent="0.25">
      <c r="A515">
        <v>2110020322</v>
      </c>
      <c r="B515" t="s">
        <v>1122</v>
      </c>
      <c r="C515">
        <v>2310180050</v>
      </c>
      <c r="D515" t="s">
        <v>70</v>
      </c>
      <c r="E515">
        <v>2310180048</v>
      </c>
      <c r="F515" t="s">
        <v>94</v>
      </c>
      <c r="G515" t="s">
        <v>89</v>
      </c>
      <c r="H515">
        <v>3.1667000000000001</v>
      </c>
      <c r="I515">
        <v>3</v>
      </c>
      <c r="J515">
        <v>8000</v>
      </c>
      <c r="K515">
        <f>+VLOOKUP(E515,Costos!$A$1:$I$7161,9,FALSE)</f>
        <v>2.7850670000000002</v>
      </c>
      <c r="L515" t="str">
        <f t="shared" si="16"/>
        <v>231</v>
      </c>
      <c r="M515" t="str">
        <f t="shared" si="17"/>
        <v>231018</v>
      </c>
    </row>
    <row r="516" spans="1:13" x14ac:dyDescent="0.25">
      <c r="A516">
        <v>2110020322</v>
      </c>
      <c r="B516" t="s">
        <v>1122</v>
      </c>
      <c r="C516">
        <v>2310180048</v>
      </c>
      <c r="D516" t="s">
        <v>94</v>
      </c>
      <c r="E516">
        <v>2410210019</v>
      </c>
      <c r="F516" t="s">
        <v>113</v>
      </c>
      <c r="G516" t="s">
        <v>89</v>
      </c>
      <c r="H516">
        <v>6.3299999999999995E-2</v>
      </c>
      <c r="I516">
        <v>4</v>
      </c>
      <c r="J516">
        <v>8000</v>
      </c>
      <c r="K516">
        <f>+VLOOKUP(E516,Costos!$A$1:$I$7161,9,FALSE)</f>
        <v>7.5043049999999996</v>
      </c>
      <c r="L516" t="str">
        <f t="shared" si="16"/>
        <v>241</v>
      </c>
      <c r="M516" t="str">
        <f t="shared" si="17"/>
        <v>241021</v>
      </c>
    </row>
    <row r="517" spans="1:13" x14ac:dyDescent="0.25">
      <c r="A517">
        <v>2110020322</v>
      </c>
      <c r="B517" t="s">
        <v>1122</v>
      </c>
      <c r="C517">
        <v>2310180048</v>
      </c>
      <c r="D517" t="s">
        <v>94</v>
      </c>
      <c r="E517">
        <v>2430930001</v>
      </c>
      <c r="F517" t="s">
        <v>114</v>
      </c>
      <c r="G517" t="s">
        <v>89</v>
      </c>
      <c r="H517">
        <v>1.615</v>
      </c>
      <c r="I517">
        <v>4</v>
      </c>
      <c r="J517">
        <v>8000</v>
      </c>
      <c r="K517">
        <f>+VLOOKUP(E517,Costos!$A$1:$I$7161,9,FALSE)</f>
        <v>4.7685019999999998</v>
      </c>
      <c r="L517" t="str">
        <f t="shared" si="16"/>
        <v>243</v>
      </c>
      <c r="M517" t="str">
        <f t="shared" si="17"/>
        <v>243093</v>
      </c>
    </row>
    <row r="518" spans="1:13" x14ac:dyDescent="0.25">
      <c r="A518">
        <v>2110020322</v>
      </c>
      <c r="B518" t="s">
        <v>1122</v>
      </c>
      <c r="C518">
        <v>2310180048</v>
      </c>
      <c r="D518" t="s">
        <v>94</v>
      </c>
      <c r="E518">
        <v>2430880022</v>
      </c>
      <c r="F518" t="s">
        <v>115</v>
      </c>
      <c r="G518" t="s">
        <v>89</v>
      </c>
      <c r="H518">
        <v>9.4999999999999998E-3</v>
      </c>
      <c r="I518">
        <v>4</v>
      </c>
      <c r="J518">
        <v>8000</v>
      </c>
      <c r="K518">
        <f>+VLOOKUP(E518,Costos!$A$1:$I$7161,9,FALSE)</f>
        <v>5.3984490000000003</v>
      </c>
      <c r="L518" t="str">
        <f t="shared" ref="L518:L581" si="18">+LEFT(E518,3)</f>
        <v>243</v>
      </c>
      <c r="M518" t="str">
        <f t="shared" ref="M518:M581" si="19">+LEFT(E518,6)</f>
        <v>243088</v>
      </c>
    </row>
    <row r="519" spans="1:13" x14ac:dyDescent="0.25">
      <c r="A519">
        <v>2110020322</v>
      </c>
      <c r="B519" t="s">
        <v>1122</v>
      </c>
      <c r="C519">
        <v>2310180050</v>
      </c>
      <c r="D519" t="s">
        <v>70</v>
      </c>
      <c r="E519">
        <v>2410210003</v>
      </c>
      <c r="F519" t="s">
        <v>95</v>
      </c>
      <c r="G519" t="s">
        <v>89</v>
      </c>
      <c r="H519">
        <v>5.0667</v>
      </c>
      <c r="I519">
        <v>3</v>
      </c>
      <c r="J519">
        <v>8000</v>
      </c>
      <c r="K519">
        <f>+VLOOKUP(E519,Costos!$A$1:$I$7161,9,FALSE)</f>
        <v>5.0519999999999996</v>
      </c>
      <c r="L519" t="str">
        <f t="shared" si="18"/>
        <v>241</v>
      </c>
      <c r="M519" t="str">
        <f t="shared" si="19"/>
        <v>241021</v>
      </c>
    </row>
    <row r="520" spans="1:13" x14ac:dyDescent="0.25">
      <c r="A520">
        <v>2110020322</v>
      </c>
      <c r="B520" t="s">
        <v>1122</v>
      </c>
      <c r="C520">
        <v>2310180050</v>
      </c>
      <c r="D520" t="s">
        <v>70</v>
      </c>
      <c r="E520">
        <v>2410090246</v>
      </c>
      <c r="F520" t="s">
        <v>108</v>
      </c>
      <c r="G520" t="s">
        <v>89</v>
      </c>
      <c r="H520">
        <v>6.9699999999999998E-2</v>
      </c>
      <c r="I520">
        <v>3</v>
      </c>
      <c r="J520">
        <v>8000</v>
      </c>
      <c r="K520">
        <f>+VLOOKUP(E520,Costos!$A$1:$I$7161,9,FALSE)</f>
        <v>147.97090600000001</v>
      </c>
      <c r="L520" t="str">
        <f t="shared" si="18"/>
        <v>241</v>
      </c>
      <c r="M520" t="str">
        <f t="shared" si="19"/>
        <v>241009</v>
      </c>
    </row>
    <row r="521" spans="1:13" x14ac:dyDescent="0.25">
      <c r="A521">
        <v>2110020322</v>
      </c>
      <c r="B521" t="s">
        <v>1122</v>
      </c>
      <c r="C521">
        <v>2110020322</v>
      </c>
      <c r="D521" t="s">
        <v>1122</v>
      </c>
      <c r="E521">
        <v>2310210157</v>
      </c>
      <c r="F521" t="s">
        <v>2572</v>
      </c>
      <c r="G521" t="s">
        <v>20</v>
      </c>
      <c r="H521">
        <v>8000</v>
      </c>
      <c r="I521">
        <v>1</v>
      </c>
      <c r="J521">
        <v>8000</v>
      </c>
      <c r="K521">
        <f>+VLOOKUP(E521,Costos!$A$1:$I$7161,9,FALSE)</f>
        <v>0.24389</v>
      </c>
      <c r="L521" t="str">
        <f t="shared" si="18"/>
        <v>231</v>
      </c>
      <c r="M521" t="str">
        <f t="shared" si="19"/>
        <v>231021</v>
      </c>
    </row>
    <row r="522" spans="1:13" x14ac:dyDescent="0.25">
      <c r="A522">
        <v>2110020322</v>
      </c>
      <c r="B522" t="s">
        <v>1122</v>
      </c>
      <c r="C522">
        <v>2310210157</v>
      </c>
      <c r="D522" t="s">
        <v>2572</v>
      </c>
      <c r="E522">
        <v>2310090499</v>
      </c>
      <c r="F522" t="s">
        <v>2320</v>
      </c>
      <c r="G522" t="s">
        <v>71</v>
      </c>
      <c r="H522">
        <v>8000</v>
      </c>
      <c r="I522">
        <v>2</v>
      </c>
      <c r="J522">
        <v>8000</v>
      </c>
      <c r="K522">
        <f>+VLOOKUP(E522,Costos!$A$1:$I$7161,9,FALSE)</f>
        <v>5.7376999999999997E-2</v>
      </c>
      <c r="L522" t="str">
        <f t="shared" si="18"/>
        <v>231</v>
      </c>
      <c r="M522" t="str">
        <f t="shared" si="19"/>
        <v>231009</v>
      </c>
    </row>
    <row r="523" spans="1:13" x14ac:dyDescent="0.25">
      <c r="A523">
        <v>2110020322</v>
      </c>
      <c r="B523" t="s">
        <v>1122</v>
      </c>
      <c r="C523">
        <v>2310090499</v>
      </c>
      <c r="D523" t="s">
        <v>2320</v>
      </c>
      <c r="E523">
        <v>2410200005</v>
      </c>
      <c r="F523" t="s">
        <v>3363</v>
      </c>
      <c r="G523" t="s">
        <v>89</v>
      </c>
      <c r="H523">
        <v>4.0000000000000002E-4</v>
      </c>
      <c r="I523">
        <v>3</v>
      </c>
      <c r="J523">
        <v>8000</v>
      </c>
      <c r="K523">
        <f>+VLOOKUP(E523,Costos!$A$1:$I$7161,9,FALSE)</f>
        <v>26.802222</v>
      </c>
      <c r="L523" t="str">
        <f t="shared" si="18"/>
        <v>241</v>
      </c>
      <c r="M523" t="str">
        <f t="shared" si="19"/>
        <v>241020</v>
      </c>
    </row>
    <row r="524" spans="1:13" x14ac:dyDescent="0.25">
      <c r="A524">
        <v>2110020322</v>
      </c>
      <c r="B524" t="s">
        <v>1122</v>
      </c>
      <c r="C524">
        <v>2310090499</v>
      </c>
      <c r="D524" t="s">
        <v>2320</v>
      </c>
      <c r="E524">
        <v>2410110108</v>
      </c>
      <c r="F524" t="s">
        <v>3313</v>
      </c>
      <c r="G524" t="s">
        <v>89</v>
      </c>
      <c r="H524">
        <v>4.0000000000000001E-3</v>
      </c>
      <c r="I524">
        <v>3</v>
      </c>
      <c r="J524">
        <v>8000</v>
      </c>
      <c r="K524">
        <f>+VLOOKUP(E524,Costos!$A$1:$I$7161,9,FALSE)</f>
        <v>89.025000000000006</v>
      </c>
      <c r="L524" t="str">
        <f t="shared" si="18"/>
        <v>241</v>
      </c>
      <c r="M524" t="str">
        <f t="shared" si="19"/>
        <v>241011</v>
      </c>
    </row>
    <row r="525" spans="1:13" x14ac:dyDescent="0.25">
      <c r="A525">
        <v>2110020322</v>
      </c>
      <c r="B525" t="s">
        <v>1122</v>
      </c>
      <c r="C525">
        <v>2310090499</v>
      </c>
      <c r="D525" t="s">
        <v>2320</v>
      </c>
      <c r="E525">
        <v>2310090465</v>
      </c>
      <c r="F525" t="s">
        <v>2304</v>
      </c>
      <c r="G525" t="s">
        <v>89</v>
      </c>
      <c r="H525">
        <v>8000</v>
      </c>
      <c r="I525">
        <v>3</v>
      </c>
      <c r="J525">
        <v>8000</v>
      </c>
      <c r="K525">
        <f>+VLOOKUP(E525,Costos!$A$1:$I$7161,9,FALSE)</f>
        <v>4.5412000000000001E-2</v>
      </c>
      <c r="L525" t="str">
        <f t="shared" si="18"/>
        <v>231</v>
      </c>
      <c r="M525" t="str">
        <f t="shared" si="19"/>
        <v>231009</v>
      </c>
    </row>
    <row r="526" spans="1:13" x14ac:dyDescent="0.25">
      <c r="A526">
        <v>2110020322</v>
      </c>
      <c r="B526" t="s">
        <v>1122</v>
      </c>
      <c r="C526">
        <v>2310090465</v>
      </c>
      <c r="D526" t="s">
        <v>2304</v>
      </c>
      <c r="E526">
        <v>2410090168</v>
      </c>
      <c r="F526" t="s">
        <v>109</v>
      </c>
      <c r="G526" t="s">
        <v>89</v>
      </c>
      <c r="H526">
        <v>0.8</v>
      </c>
      <c r="I526">
        <v>4</v>
      </c>
      <c r="J526">
        <v>8000</v>
      </c>
      <c r="K526">
        <f>+VLOOKUP(E526,Costos!$A$1:$I$7161,9,FALSE)</f>
        <v>80.451408000000001</v>
      </c>
      <c r="L526" t="str">
        <f t="shared" si="18"/>
        <v>241</v>
      </c>
      <c r="M526" t="str">
        <f t="shared" si="19"/>
        <v>241009</v>
      </c>
    </row>
    <row r="527" spans="1:13" x14ac:dyDescent="0.25">
      <c r="A527">
        <v>2110020322</v>
      </c>
      <c r="B527" t="s">
        <v>1122</v>
      </c>
      <c r="C527">
        <v>2310090465</v>
      </c>
      <c r="D527" t="s">
        <v>2304</v>
      </c>
      <c r="E527">
        <v>2410290142</v>
      </c>
      <c r="F527" t="s">
        <v>3394</v>
      </c>
      <c r="G527" t="s">
        <v>89</v>
      </c>
      <c r="H527">
        <v>40</v>
      </c>
      <c r="I527">
        <v>4</v>
      </c>
      <c r="J527">
        <v>8000</v>
      </c>
      <c r="K527">
        <f>+VLOOKUP(E527,Costos!$A$1:$I$7161,9,FALSE)</f>
        <v>4.9846349999999999</v>
      </c>
      <c r="L527" t="str">
        <f t="shared" si="18"/>
        <v>241</v>
      </c>
      <c r="M527" t="str">
        <f t="shared" si="19"/>
        <v>241029</v>
      </c>
    </row>
    <row r="528" spans="1:13" x14ac:dyDescent="0.25">
      <c r="A528">
        <v>2110020322</v>
      </c>
      <c r="B528" t="s">
        <v>1122</v>
      </c>
      <c r="C528">
        <v>2310210157</v>
      </c>
      <c r="D528" t="s">
        <v>2572</v>
      </c>
      <c r="E528">
        <v>2310160246</v>
      </c>
      <c r="F528" t="s">
        <v>2388</v>
      </c>
      <c r="G528" t="s">
        <v>71</v>
      </c>
      <c r="H528">
        <v>8000</v>
      </c>
      <c r="I528">
        <v>2</v>
      </c>
      <c r="J528">
        <v>8000</v>
      </c>
      <c r="K528">
        <f>+VLOOKUP(E528,Costos!$A$1:$I$7161,9,FALSE)</f>
        <v>2.5586000000000001E-2</v>
      </c>
      <c r="L528" t="str">
        <f t="shared" si="18"/>
        <v>231</v>
      </c>
      <c r="M528" t="str">
        <f t="shared" si="19"/>
        <v>231016</v>
      </c>
    </row>
    <row r="529" spans="1:13" x14ac:dyDescent="0.25">
      <c r="A529">
        <v>2110020322</v>
      </c>
      <c r="B529" t="s">
        <v>1122</v>
      </c>
      <c r="C529">
        <v>2310160246</v>
      </c>
      <c r="D529" t="s">
        <v>2388</v>
      </c>
      <c r="E529">
        <v>2410090168</v>
      </c>
      <c r="F529" t="s">
        <v>109</v>
      </c>
      <c r="G529" t="s">
        <v>89</v>
      </c>
      <c r="H529">
        <v>0.32800000000000001</v>
      </c>
      <c r="I529">
        <v>3</v>
      </c>
      <c r="J529">
        <v>8000</v>
      </c>
      <c r="K529">
        <f>+VLOOKUP(E529,Costos!$A$1:$I$7161,9,FALSE)</f>
        <v>80.451408000000001</v>
      </c>
      <c r="L529" t="str">
        <f t="shared" si="18"/>
        <v>241</v>
      </c>
      <c r="M529" t="str">
        <f t="shared" si="19"/>
        <v>241009</v>
      </c>
    </row>
    <row r="530" spans="1:13" x14ac:dyDescent="0.25">
      <c r="A530">
        <v>2110020322</v>
      </c>
      <c r="B530" t="s">
        <v>1122</v>
      </c>
      <c r="C530">
        <v>2310160246</v>
      </c>
      <c r="D530" t="s">
        <v>2388</v>
      </c>
      <c r="E530">
        <v>2410290215</v>
      </c>
      <c r="F530" t="s">
        <v>3400</v>
      </c>
      <c r="G530" t="s">
        <v>89</v>
      </c>
      <c r="H530">
        <v>16.64</v>
      </c>
      <c r="I530">
        <v>3</v>
      </c>
      <c r="J530">
        <v>8000</v>
      </c>
      <c r="K530">
        <f>+VLOOKUP(E530,Costos!$A$1:$I$7161,9,FALSE)</f>
        <v>6.2778530000000003</v>
      </c>
      <c r="L530" t="str">
        <f t="shared" si="18"/>
        <v>241</v>
      </c>
      <c r="M530" t="str">
        <f t="shared" si="19"/>
        <v>241029</v>
      </c>
    </row>
    <row r="531" spans="1:13" x14ac:dyDescent="0.25">
      <c r="A531">
        <v>2110020322</v>
      </c>
      <c r="B531" t="s">
        <v>1122</v>
      </c>
      <c r="C531">
        <v>2310210157</v>
      </c>
      <c r="D531" t="s">
        <v>2572</v>
      </c>
      <c r="E531">
        <v>2310160256</v>
      </c>
      <c r="F531" t="s">
        <v>2398</v>
      </c>
      <c r="G531" t="s">
        <v>71</v>
      </c>
      <c r="H531">
        <v>8000</v>
      </c>
      <c r="I531">
        <v>2</v>
      </c>
      <c r="J531">
        <v>8000</v>
      </c>
      <c r="K531">
        <f>+VLOOKUP(E531,Costos!$A$1:$I$7161,9,FALSE)</f>
        <v>1.349E-2</v>
      </c>
      <c r="L531" t="str">
        <f t="shared" si="18"/>
        <v>231</v>
      </c>
      <c r="M531" t="str">
        <f t="shared" si="19"/>
        <v>231016</v>
      </c>
    </row>
    <row r="532" spans="1:13" x14ac:dyDescent="0.25">
      <c r="A532">
        <v>2110020322</v>
      </c>
      <c r="B532" t="s">
        <v>1122</v>
      </c>
      <c r="C532">
        <v>2310160256</v>
      </c>
      <c r="D532" t="s">
        <v>2398</v>
      </c>
      <c r="E532">
        <v>2410090168</v>
      </c>
      <c r="F532" t="s">
        <v>109</v>
      </c>
      <c r="G532" t="s">
        <v>89</v>
      </c>
      <c r="H532">
        <v>0.2044</v>
      </c>
      <c r="I532">
        <v>3</v>
      </c>
      <c r="J532">
        <v>8000</v>
      </c>
      <c r="K532">
        <f>+VLOOKUP(E532,Costos!$A$1:$I$7161,9,FALSE)</f>
        <v>80.451408000000001</v>
      </c>
      <c r="L532" t="str">
        <f t="shared" si="18"/>
        <v>241</v>
      </c>
      <c r="M532" t="str">
        <f t="shared" si="19"/>
        <v>241009</v>
      </c>
    </row>
    <row r="533" spans="1:13" x14ac:dyDescent="0.25">
      <c r="A533">
        <v>2110020322</v>
      </c>
      <c r="B533" t="s">
        <v>1122</v>
      </c>
      <c r="C533">
        <v>2310160256</v>
      </c>
      <c r="D533" t="s">
        <v>2398</v>
      </c>
      <c r="E533">
        <v>2410290626</v>
      </c>
      <c r="F533" t="s">
        <v>92</v>
      </c>
      <c r="G533" t="s">
        <v>89</v>
      </c>
      <c r="H533">
        <v>10.222200000000001</v>
      </c>
      <c r="I533">
        <v>3</v>
      </c>
      <c r="J533">
        <v>8000</v>
      </c>
      <c r="K533">
        <f>+VLOOKUP(E533,Costos!$A$1:$I$7161,9,FALSE)</f>
        <v>4.362679</v>
      </c>
      <c r="L533" t="str">
        <f t="shared" si="18"/>
        <v>241</v>
      </c>
      <c r="M533" t="str">
        <f t="shared" si="19"/>
        <v>241029</v>
      </c>
    </row>
    <row r="534" spans="1:13" x14ac:dyDescent="0.25">
      <c r="A534">
        <v>2110020322</v>
      </c>
      <c r="B534" t="s">
        <v>1122</v>
      </c>
      <c r="C534">
        <v>2310210157</v>
      </c>
      <c r="D534" t="s">
        <v>2572</v>
      </c>
      <c r="E534">
        <v>2410170037</v>
      </c>
      <c r="F534" t="s">
        <v>3336</v>
      </c>
      <c r="G534" t="s">
        <v>71</v>
      </c>
      <c r="H534">
        <v>8000</v>
      </c>
      <c r="I534">
        <v>2</v>
      </c>
      <c r="J534">
        <v>8000</v>
      </c>
      <c r="K534">
        <f>+VLOOKUP(E534,Costos!$A$1:$I$7161,9,FALSE)</f>
        <v>4.2382999999999997E-2</v>
      </c>
      <c r="L534" t="str">
        <f t="shared" si="18"/>
        <v>241</v>
      </c>
      <c r="M534" t="str">
        <f t="shared" si="19"/>
        <v>241017</v>
      </c>
    </row>
    <row r="535" spans="1:13" x14ac:dyDescent="0.25">
      <c r="A535">
        <v>2110020322</v>
      </c>
      <c r="B535" t="s">
        <v>1122</v>
      </c>
      <c r="C535">
        <v>2310210157</v>
      </c>
      <c r="D535" t="s">
        <v>2572</v>
      </c>
      <c r="E535">
        <v>2410170233</v>
      </c>
      <c r="F535" t="s">
        <v>3351</v>
      </c>
      <c r="G535" t="s">
        <v>71</v>
      </c>
      <c r="H535">
        <v>8000</v>
      </c>
      <c r="I535">
        <v>2</v>
      </c>
      <c r="J535">
        <v>8000</v>
      </c>
      <c r="K535">
        <f>+VLOOKUP(E535,Costos!$A$1:$I$7161,9,FALSE)</f>
        <v>2.9669999999999998E-2</v>
      </c>
      <c r="L535" t="str">
        <f t="shared" si="18"/>
        <v>241</v>
      </c>
      <c r="M535" t="str">
        <f t="shared" si="19"/>
        <v>241017</v>
      </c>
    </row>
    <row r="536" spans="1:13" x14ac:dyDescent="0.25">
      <c r="A536">
        <v>2110020322</v>
      </c>
      <c r="B536" t="s">
        <v>1122</v>
      </c>
      <c r="C536">
        <v>2310210157</v>
      </c>
      <c r="D536" t="s">
        <v>2572</v>
      </c>
      <c r="E536">
        <v>2310180037</v>
      </c>
      <c r="F536" t="s">
        <v>75</v>
      </c>
      <c r="G536" t="s">
        <v>71</v>
      </c>
      <c r="H536">
        <v>25.333300000000001</v>
      </c>
      <c r="I536">
        <v>2</v>
      </c>
      <c r="J536">
        <v>8000</v>
      </c>
      <c r="K536">
        <f>+VLOOKUP(E536,Costos!$A$1:$I$7161,9,FALSE)</f>
        <v>10.542323</v>
      </c>
      <c r="L536" t="str">
        <f t="shared" si="18"/>
        <v>231</v>
      </c>
      <c r="M536" t="str">
        <f t="shared" si="19"/>
        <v>231018</v>
      </c>
    </row>
    <row r="537" spans="1:13" x14ac:dyDescent="0.25">
      <c r="A537">
        <v>2110020322</v>
      </c>
      <c r="B537" t="s">
        <v>1122</v>
      </c>
      <c r="C537">
        <v>2310180037</v>
      </c>
      <c r="D537" t="s">
        <v>75</v>
      </c>
      <c r="E537">
        <v>2430450001</v>
      </c>
      <c r="F537" t="s">
        <v>93</v>
      </c>
      <c r="G537" t="s">
        <v>89</v>
      </c>
      <c r="H537">
        <v>2.5333000000000001</v>
      </c>
      <c r="I537">
        <v>3</v>
      </c>
      <c r="J537">
        <v>8000</v>
      </c>
      <c r="K537">
        <f>+VLOOKUP(E537,Costos!$A$1:$I$7161,9,FALSE)</f>
        <v>5.0953559999999998</v>
      </c>
      <c r="L537" t="str">
        <f t="shared" si="18"/>
        <v>243</v>
      </c>
      <c r="M537" t="str">
        <f t="shared" si="19"/>
        <v>243045</v>
      </c>
    </row>
    <row r="538" spans="1:13" x14ac:dyDescent="0.25">
      <c r="A538">
        <v>2110020322</v>
      </c>
      <c r="B538" t="s">
        <v>1122</v>
      </c>
      <c r="C538">
        <v>2310180037</v>
      </c>
      <c r="D538" t="s">
        <v>75</v>
      </c>
      <c r="E538">
        <v>2310180048</v>
      </c>
      <c r="F538" t="s">
        <v>94</v>
      </c>
      <c r="G538" t="s">
        <v>89</v>
      </c>
      <c r="H538">
        <v>3.1667000000000001</v>
      </c>
      <c r="I538">
        <v>3</v>
      </c>
      <c r="J538">
        <v>8000</v>
      </c>
      <c r="K538">
        <f>+VLOOKUP(E538,Costos!$A$1:$I$7161,9,FALSE)</f>
        <v>2.7850670000000002</v>
      </c>
      <c r="L538" t="str">
        <f t="shared" si="18"/>
        <v>231</v>
      </c>
      <c r="M538" t="str">
        <f t="shared" si="19"/>
        <v>231018</v>
      </c>
    </row>
    <row r="539" spans="1:13" x14ac:dyDescent="0.25">
      <c r="A539">
        <v>2110020322</v>
      </c>
      <c r="B539" t="s">
        <v>1122</v>
      </c>
      <c r="C539">
        <v>2310180048</v>
      </c>
      <c r="D539" t="s">
        <v>94</v>
      </c>
      <c r="E539">
        <v>2410210019</v>
      </c>
      <c r="F539" t="s">
        <v>113</v>
      </c>
      <c r="G539" t="s">
        <v>89</v>
      </c>
      <c r="H539">
        <v>6.3299999999999995E-2</v>
      </c>
      <c r="I539">
        <v>4</v>
      </c>
      <c r="J539">
        <v>8000</v>
      </c>
      <c r="K539">
        <f>+VLOOKUP(E539,Costos!$A$1:$I$7161,9,FALSE)</f>
        <v>7.5043049999999996</v>
      </c>
      <c r="L539" t="str">
        <f t="shared" si="18"/>
        <v>241</v>
      </c>
      <c r="M539" t="str">
        <f t="shared" si="19"/>
        <v>241021</v>
      </c>
    </row>
    <row r="540" spans="1:13" x14ac:dyDescent="0.25">
      <c r="A540">
        <v>2110020322</v>
      </c>
      <c r="B540" t="s">
        <v>1122</v>
      </c>
      <c r="C540">
        <v>2310180048</v>
      </c>
      <c r="D540" t="s">
        <v>94</v>
      </c>
      <c r="E540">
        <v>2430930001</v>
      </c>
      <c r="F540" t="s">
        <v>114</v>
      </c>
      <c r="G540" t="s">
        <v>89</v>
      </c>
      <c r="H540">
        <v>1.615</v>
      </c>
      <c r="I540">
        <v>4</v>
      </c>
      <c r="J540">
        <v>8000</v>
      </c>
      <c r="K540">
        <f>+VLOOKUP(E540,Costos!$A$1:$I$7161,9,FALSE)</f>
        <v>4.7685019999999998</v>
      </c>
      <c r="L540" t="str">
        <f t="shared" si="18"/>
        <v>243</v>
      </c>
      <c r="M540" t="str">
        <f t="shared" si="19"/>
        <v>243093</v>
      </c>
    </row>
    <row r="541" spans="1:13" x14ac:dyDescent="0.25">
      <c r="A541">
        <v>2110020322</v>
      </c>
      <c r="B541" t="s">
        <v>1122</v>
      </c>
      <c r="C541">
        <v>2310180048</v>
      </c>
      <c r="D541" t="s">
        <v>94</v>
      </c>
      <c r="E541">
        <v>2430880022</v>
      </c>
      <c r="F541" t="s">
        <v>115</v>
      </c>
      <c r="G541" t="s">
        <v>89</v>
      </c>
      <c r="H541">
        <v>9.4999999999999998E-3</v>
      </c>
      <c r="I541">
        <v>4</v>
      </c>
      <c r="J541">
        <v>8000</v>
      </c>
      <c r="K541">
        <f>+VLOOKUP(E541,Costos!$A$1:$I$7161,9,FALSE)</f>
        <v>5.3984490000000003</v>
      </c>
      <c r="L541" t="str">
        <f t="shared" si="18"/>
        <v>243</v>
      </c>
      <c r="M541" t="str">
        <f t="shared" si="19"/>
        <v>243088</v>
      </c>
    </row>
    <row r="542" spans="1:13" x14ac:dyDescent="0.25">
      <c r="A542">
        <v>2110020322</v>
      </c>
      <c r="B542" t="s">
        <v>1122</v>
      </c>
      <c r="C542">
        <v>2310180037</v>
      </c>
      <c r="D542" t="s">
        <v>75</v>
      </c>
      <c r="E542">
        <v>2410210003</v>
      </c>
      <c r="F542" t="s">
        <v>95</v>
      </c>
      <c r="G542" t="s">
        <v>89</v>
      </c>
      <c r="H542">
        <v>5.0667</v>
      </c>
      <c r="I542">
        <v>3</v>
      </c>
      <c r="J542">
        <v>8000</v>
      </c>
      <c r="K542">
        <f>+VLOOKUP(E542,Costos!$A$1:$I$7161,9,FALSE)</f>
        <v>5.0519999999999996</v>
      </c>
      <c r="L542" t="str">
        <f t="shared" si="18"/>
        <v>241</v>
      </c>
      <c r="M542" t="str">
        <f t="shared" si="19"/>
        <v>241021</v>
      </c>
    </row>
    <row r="543" spans="1:13" x14ac:dyDescent="0.25">
      <c r="A543">
        <v>2110020322</v>
      </c>
      <c r="B543" t="s">
        <v>1122</v>
      </c>
      <c r="C543">
        <v>2310180037</v>
      </c>
      <c r="D543" t="s">
        <v>75</v>
      </c>
      <c r="E543">
        <v>2410090268</v>
      </c>
      <c r="F543" t="s">
        <v>97</v>
      </c>
      <c r="G543" t="s">
        <v>89</v>
      </c>
      <c r="H543">
        <v>5.0700000000000002E-2</v>
      </c>
      <c r="I543">
        <v>3</v>
      </c>
      <c r="J543">
        <v>8000</v>
      </c>
      <c r="K543">
        <f>+VLOOKUP(E543,Costos!$A$1:$I$7161,9,FALSE)</f>
        <v>138.307931</v>
      </c>
      <c r="L543" t="str">
        <f t="shared" si="18"/>
        <v>241</v>
      </c>
      <c r="M543" t="str">
        <f t="shared" si="19"/>
        <v>241009</v>
      </c>
    </row>
    <row r="544" spans="1:13" x14ac:dyDescent="0.25">
      <c r="A544">
        <v>2110020322</v>
      </c>
      <c r="B544" t="s">
        <v>1122</v>
      </c>
      <c r="C544">
        <v>2310180037</v>
      </c>
      <c r="D544" t="s">
        <v>75</v>
      </c>
      <c r="E544">
        <v>2410090269</v>
      </c>
      <c r="F544" t="s">
        <v>98</v>
      </c>
      <c r="G544" t="s">
        <v>89</v>
      </c>
      <c r="H544">
        <v>0.44840000000000002</v>
      </c>
      <c r="I544">
        <v>3</v>
      </c>
      <c r="J544">
        <v>8000</v>
      </c>
      <c r="K544">
        <f>+VLOOKUP(E544,Costos!$A$1:$I$7161,9,FALSE)</f>
        <v>323.08498100000003</v>
      </c>
      <c r="L544" t="str">
        <f t="shared" si="18"/>
        <v>241</v>
      </c>
      <c r="M544" t="str">
        <f t="shared" si="19"/>
        <v>241009</v>
      </c>
    </row>
    <row r="545" spans="1:13" x14ac:dyDescent="0.25">
      <c r="A545">
        <v>2110020322</v>
      </c>
      <c r="B545" t="s">
        <v>1122</v>
      </c>
      <c r="C545">
        <v>2110020322</v>
      </c>
      <c r="D545" t="s">
        <v>1122</v>
      </c>
      <c r="E545">
        <v>2310210158</v>
      </c>
      <c r="F545" t="s">
        <v>2573</v>
      </c>
      <c r="G545" t="s">
        <v>20</v>
      </c>
      <c r="H545">
        <v>8000</v>
      </c>
      <c r="I545">
        <v>1</v>
      </c>
      <c r="J545">
        <v>8000</v>
      </c>
      <c r="K545">
        <f>+VLOOKUP(E545,Costos!$A$1:$I$7161,9,FALSE)</f>
        <v>0.220584</v>
      </c>
      <c r="L545" t="str">
        <f t="shared" si="18"/>
        <v>231</v>
      </c>
      <c r="M545" t="str">
        <f t="shared" si="19"/>
        <v>231021</v>
      </c>
    </row>
    <row r="546" spans="1:13" x14ac:dyDescent="0.25">
      <c r="A546">
        <v>2110020322</v>
      </c>
      <c r="B546" t="s">
        <v>1122</v>
      </c>
      <c r="C546">
        <v>2310210158</v>
      </c>
      <c r="D546" t="s">
        <v>2573</v>
      </c>
      <c r="E546">
        <v>2310090500</v>
      </c>
      <c r="F546" t="s">
        <v>2321</v>
      </c>
      <c r="G546" t="s">
        <v>71</v>
      </c>
      <c r="H546">
        <v>8000</v>
      </c>
      <c r="I546">
        <v>2</v>
      </c>
      <c r="J546">
        <v>8000</v>
      </c>
      <c r="K546">
        <f>+VLOOKUP(E546,Costos!$A$1:$I$7161,9,FALSE)</f>
        <v>4.9263000000000001E-2</v>
      </c>
      <c r="L546" t="str">
        <f t="shared" si="18"/>
        <v>231</v>
      </c>
      <c r="M546" t="str">
        <f t="shared" si="19"/>
        <v>231009</v>
      </c>
    </row>
    <row r="547" spans="1:13" x14ac:dyDescent="0.25">
      <c r="A547">
        <v>2110020322</v>
      </c>
      <c r="B547" t="s">
        <v>1122</v>
      </c>
      <c r="C547">
        <v>2310090500</v>
      </c>
      <c r="D547" t="s">
        <v>2321</v>
      </c>
      <c r="E547">
        <v>2410110108</v>
      </c>
      <c r="F547" t="s">
        <v>3313</v>
      </c>
      <c r="G547" t="s">
        <v>89</v>
      </c>
      <c r="H547">
        <v>4.0000000000000001E-3</v>
      </c>
      <c r="I547">
        <v>3</v>
      </c>
      <c r="J547">
        <v>8000</v>
      </c>
      <c r="K547">
        <f>+VLOOKUP(E547,Costos!$A$1:$I$7161,9,FALSE)</f>
        <v>89.025000000000006</v>
      </c>
      <c r="L547" t="str">
        <f t="shared" si="18"/>
        <v>241</v>
      </c>
      <c r="M547" t="str">
        <f t="shared" si="19"/>
        <v>241011</v>
      </c>
    </row>
    <row r="548" spans="1:13" x14ac:dyDescent="0.25">
      <c r="A548">
        <v>2110020322</v>
      </c>
      <c r="B548" t="s">
        <v>1122</v>
      </c>
      <c r="C548">
        <v>2310090500</v>
      </c>
      <c r="D548" t="s">
        <v>2321</v>
      </c>
      <c r="E548">
        <v>2410200005</v>
      </c>
      <c r="F548" t="s">
        <v>3363</v>
      </c>
      <c r="G548" t="s">
        <v>89</v>
      </c>
      <c r="H548">
        <v>4.0000000000000002E-4</v>
      </c>
      <c r="I548">
        <v>3</v>
      </c>
      <c r="J548">
        <v>8000</v>
      </c>
      <c r="K548">
        <f>+VLOOKUP(E548,Costos!$A$1:$I$7161,9,FALSE)</f>
        <v>26.802222</v>
      </c>
      <c r="L548" t="str">
        <f t="shared" si="18"/>
        <v>241</v>
      </c>
      <c r="M548" t="str">
        <f t="shared" si="19"/>
        <v>241020</v>
      </c>
    </row>
    <row r="549" spans="1:13" x14ac:dyDescent="0.25">
      <c r="A549">
        <v>2110020322</v>
      </c>
      <c r="B549" t="s">
        <v>1122</v>
      </c>
      <c r="C549">
        <v>2310090500</v>
      </c>
      <c r="D549" t="s">
        <v>2321</v>
      </c>
      <c r="E549">
        <v>2310090466</v>
      </c>
      <c r="F549" t="s">
        <v>2305</v>
      </c>
      <c r="G549" t="s">
        <v>89</v>
      </c>
      <c r="H549">
        <v>8000</v>
      </c>
      <c r="I549">
        <v>3</v>
      </c>
      <c r="J549">
        <v>8000</v>
      </c>
      <c r="K549">
        <f>+VLOOKUP(E549,Costos!$A$1:$I$7161,9,FALSE)</f>
        <v>3.7617999999999999E-2</v>
      </c>
      <c r="L549" t="str">
        <f t="shared" si="18"/>
        <v>231</v>
      </c>
      <c r="M549" t="str">
        <f t="shared" si="19"/>
        <v>231009</v>
      </c>
    </row>
    <row r="550" spans="1:13" x14ac:dyDescent="0.25">
      <c r="A550">
        <v>2110020322</v>
      </c>
      <c r="B550" t="s">
        <v>1122</v>
      </c>
      <c r="C550">
        <v>2310090466</v>
      </c>
      <c r="D550" t="s">
        <v>2305</v>
      </c>
      <c r="E550">
        <v>2410090298</v>
      </c>
      <c r="F550" t="s">
        <v>106</v>
      </c>
      <c r="G550" t="s">
        <v>89</v>
      </c>
      <c r="H550">
        <v>0.63049999999999995</v>
      </c>
      <c r="I550">
        <v>4</v>
      </c>
      <c r="J550">
        <v>8000</v>
      </c>
      <c r="K550">
        <f>+VLOOKUP(E550,Costos!$A$1:$I$7161,9,FALSE)</f>
        <v>17.241623000000001</v>
      </c>
      <c r="L550" t="str">
        <f t="shared" si="18"/>
        <v>241</v>
      </c>
      <c r="M550" t="str">
        <f t="shared" si="19"/>
        <v>241009</v>
      </c>
    </row>
    <row r="551" spans="1:13" x14ac:dyDescent="0.25">
      <c r="A551">
        <v>2110020322</v>
      </c>
      <c r="B551" t="s">
        <v>1122</v>
      </c>
      <c r="C551">
        <v>2310090466</v>
      </c>
      <c r="D551" t="s">
        <v>2305</v>
      </c>
      <c r="E551">
        <v>2410290142</v>
      </c>
      <c r="F551" t="s">
        <v>3394</v>
      </c>
      <c r="G551" t="s">
        <v>89</v>
      </c>
      <c r="H551">
        <v>39.225000000000001</v>
      </c>
      <c r="I551">
        <v>4</v>
      </c>
      <c r="J551">
        <v>8000</v>
      </c>
      <c r="K551">
        <f>+VLOOKUP(E551,Costos!$A$1:$I$7161,9,FALSE)</f>
        <v>4.9846349999999999</v>
      </c>
      <c r="L551" t="str">
        <f t="shared" si="18"/>
        <v>241</v>
      </c>
      <c r="M551" t="str">
        <f t="shared" si="19"/>
        <v>241029</v>
      </c>
    </row>
    <row r="552" spans="1:13" x14ac:dyDescent="0.25">
      <c r="A552">
        <v>2110020322</v>
      </c>
      <c r="B552" t="s">
        <v>1122</v>
      </c>
      <c r="C552">
        <v>2310210158</v>
      </c>
      <c r="D552" t="s">
        <v>2573</v>
      </c>
      <c r="E552">
        <v>2310160247</v>
      </c>
      <c r="F552" t="s">
        <v>2389</v>
      </c>
      <c r="G552" t="s">
        <v>71</v>
      </c>
      <c r="H552">
        <v>8000</v>
      </c>
      <c r="I552">
        <v>2</v>
      </c>
      <c r="J552">
        <v>8000</v>
      </c>
      <c r="K552">
        <f>+VLOOKUP(E552,Costos!$A$1:$I$7161,9,FALSE)</f>
        <v>2.5097999999999999E-2</v>
      </c>
      <c r="L552" t="str">
        <f t="shared" si="18"/>
        <v>231</v>
      </c>
      <c r="M552" t="str">
        <f t="shared" si="19"/>
        <v>231016</v>
      </c>
    </row>
    <row r="553" spans="1:13" x14ac:dyDescent="0.25">
      <c r="A553">
        <v>2110020322</v>
      </c>
      <c r="B553" t="s">
        <v>1122</v>
      </c>
      <c r="C553">
        <v>2310160247</v>
      </c>
      <c r="D553" t="s">
        <v>2389</v>
      </c>
      <c r="E553">
        <v>2410090298</v>
      </c>
      <c r="F553" t="s">
        <v>106</v>
      </c>
      <c r="G553" t="s">
        <v>89</v>
      </c>
      <c r="H553">
        <v>0.32800000000000001</v>
      </c>
      <c r="I553">
        <v>3</v>
      </c>
      <c r="J553">
        <v>8000</v>
      </c>
      <c r="K553">
        <f>+VLOOKUP(E553,Costos!$A$1:$I$7161,9,FALSE)</f>
        <v>17.241623000000001</v>
      </c>
      <c r="L553" t="str">
        <f t="shared" si="18"/>
        <v>241</v>
      </c>
      <c r="M553" t="str">
        <f t="shared" si="19"/>
        <v>241009</v>
      </c>
    </row>
    <row r="554" spans="1:13" x14ac:dyDescent="0.25">
      <c r="A554">
        <v>2110020322</v>
      </c>
      <c r="B554" t="s">
        <v>1122</v>
      </c>
      <c r="C554">
        <v>2310160247</v>
      </c>
      <c r="D554" t="s">
        <v>2389</v>
      </c>
      <c r="E554">
        <v>2410290215</v>
      </c>
      <c r="F554" t="s">
        <v>3400</v>
      </c>
      <c r="G554" t="s">
        <v>89</v>
      </c>
      <c r="H554">
        <v>16.64</v>
      </c>
      <c r="I554">
        <v>3</v>
      </c>
      <c r="J554">
        <v>8000</v>
      </c>
      <c r="K554">
        <f>+VLOOKUP(E554,Costos!$A$1:$I$7161,9,FALSE)</f>
        <v>6.2778530000000003</v>
      </c>
      <c r="L554" t="str">
        <f t="shared" si="18"/>
        <v>241</v>
      </c>
      <c r="M554" t="str">
        <f t="shared" si="19"/>
        <v>241029</v>
      </c>
    </row>
    <row r="555" spans="1:13" x14ac:dyDescent="0.25">
      <c r="A555">
        <v>2110020322</v>
      </c>
      <c r="B555" t="s">
        <v>1122</v>
      </c>
      <c r="C555">
        <v>2310210158</v>
      </c>
      <c r="D555" t="s">
        <v>2573</v>
      </c>
      <c r="E555">
        <v>2310160257</v>
      </c>
      <c r="F555" t="s">
        <v>2399</v>
      </c>
      <c r="G555" t="s">
        <v>71</v>
      </c>
      <c r="H555">
        <v>8000</v>
      </c>
      <c r="I555">
        <v>2</v>
      </c>
      <c r="J555">
        <v>8000</v>
      </c>
      <c r="K555">
        <f>+VLOOKUP(E555,Costos!$A$1:$I$7161,9,FALSE)</f>
        <v>1.1148999999999999E-2</v>
      </c>
      <c r="L555" t="str">
        <f t="shared" si="18"/>
        <v>231</v>
      </c>
      <c r="M555" t="str">
        <f t="shared" si="19"/>
        <v>231016</v>
      </c>
    </row>
    <row r="556" spans="1:13" x14ac:dyDescent="0.25">
      <c r="A556">
        <v>2110020322</v>
      </c>
      <c r="B556" t="s">
        <v>1122</v>
      </c>
      <c r="C556">
        <v>2310160257</v>
      </c>
      <c r="D556" t="s">
        <v>2399</v>
      </c>
      <c r="E556">
        <v>2410090298</v>
      </c>
      <c r="F556" t="s">
        <v>106</v>
      </c>
      <c r="G556" t="s">
        <v>89</v>
      </c>
      <c r="H556">
        <v>0.2044</v>
      </c>
      <c r="I556">
        <v>3</v>
      </c>
      <c r="J556">
        <v>8000</v>
      </c>
      <c r="K556">
        <f>+VLOOKUP(E556,Costos!$A$1:$I$7161,9,FALSE)</f>
        <v>17.241623000000001</v>
      </c>
      <c r="L556" t="str">
        <f t="shared" si="18"/>
        <v>241</v>
      </c>
      <c r="M556" t="str">
        <f t="shared" si="19"/>
        <v>241009</v>
      </c>
    </row>
    <row r="557" spans="1:13" x14ac:dyDescent="0.25">
      <c r="A557">
        <v>2110020322</v>
      </c>
      <c r="B557" t="s">
        <v>1122</v>
      </c>
      <c r="C557">
        <v>2310160257</v>
      </c>
      <c r="D557" t="s">
        <v>2399</v>
      </c>
      <c r="E557">
        <v>2410290626</v>
      </c>
      <c r="F557" t="s">
        <v>92</v>
      </c>
      <c r="G557" t="s">
        <v>89</v>
      </c>
      <c r="H557">
        <v>10.222200000000001</v>
      </c>
      <c r="I557">
        <v>3</v>
      </c>
      <c r="J557">
        <v>8000</v>
      </c>
      <c r="K557">
        <f>+VLOOKUP(E557,Costos!$A$1:$I$7161,9,FALSE)</f>
        <v>4.362679</v>
      </c>
      <c r="L557" t="str">
        <f t="shared" si="18"/>
        <v>241</v>
      </c>
      <c r="M557" t="str">
        <f t="shared" si="19"/>
        <v>241029</v>
      </c>
    </row>
    <row r="558" spans="1:13" x14ac:dyDescent="0.25">
      <c r="A558">
        <v>2110020322</v>
      </c>
      <c r="B558" t="s">
        <v>1122</v>
      </c>
      <c r="C558">
        <v>2310210158</v>
      </c>
      <c r="D558" t="s">
        <v>2573</v>
      </c>
      <c r="E558">
        <v>2410170037</v>
      </c>
      <c r="F558" t="s">
        <v>3336</v>
      </c>
      <c r="G558" t="s">
        <v>71</v>
      </c>
      <c r="H558">
        <v>8000</v>
      </c>
      <c r="I558">
        <v>2</v>
      </c>
      <c r="J558">
        <v>8000</v>
      </c>
      <c r="K558">
        <f>+VLOOKUP(E558,Costos!$A$1:$I$7161,9,FALSE)</f>
        <v>4.2382999999999997E-2</v>
      </c>
      <c r="L558" t="str">
        <f t="shared" si="18"/>
        <v>241</v>
      </c>
      <c r="M558" t="str">
        <f t="shared" si="19"/>
        <v>241017</v>
      </c>
    </row>
    <row r="559" spans="1:13" x14ac:dyDescent="0.25">
      <c r="A559">
        <v>2110020322</v>
      </c>
      <c r="B559" t="s">
        <v>1122</v>
      </c>
      <c r="C559">
        <v>2310210158</v>
      </c>
      <c r="D559" t="s">
        <v>2573</v>
      </c>
      <c r="E559">
        <v>2410170233</v>
      </c>
      <c r="F559" t="s">
        <v>3351</v>
      </c>
      <c r="G559" t="s">
        <v>71</v>
      </c>
      <c r="H559">
        <v>8000</v>
      </c>
      <c r="I559">
        <v>2</v>
      </c>
      <c r="J559">
        <v>8000</v>
      </c>
      <c r="K559">
        <f>+VLOOKUP(E559,Costos!$A$1:$I$7161,9,FALSE)</f>
        <v>2.9669999999999998E-2</v>
      </c>
      <c r="L559" t="str">
        <f t="shared" si="18"/>
        <v>241</v>
      </c>
      <c r="M559" t="str">
        <f t="shared" si="19"/>
        <v>241017</v>
      </c>
    </row>
    <row r="560" spans="1:13" x14ac:dyDescent="0.25">
      <c r="A560">
        <v>2110020322</v>
      </c>
      <c r="B560" t="s">
        <v>1122</v>
      </c>
      <c r="C560">
        <v>2310210158</v>
      </c>
      <c r="D560" t="s">
        <v>2573</v>
      </c>
      <c r="E560">
        <v>2310180047</v>
      </c>
      <c r="F560" t="s">
        <v>66</v>
      </c>
      <c r="G560" t="s">
        <v>71</v>
      </c>
      <c r="H560">
        <v>25.333300000000001</v>
      </c>
      <c r="I560">
        <v>2</v>
      </c>
      <c r="J560">
        <v>8000</v>
      </c>
      <c r="K560">
        <f>+VLOOKUP(E560,Costos!$A$1:$I$7161,9,FALSE)</f>
        <v>8.9369589999999999</v>
      </c>
      <c r="L560" t="str">
        <f t="shared" si="18"/>
        <v>231</v>
      </c>
      <c r="M560" t="str">
        <f t="shared" si="19"/>
        <v>231018</v>
      </c>
    </row>
    <row r="561" spans="1:13" x14ac:dyDescent="0.25">
      <c r="A561">
        <v>2110020322</v>
      </c>
      <c r="B561" t="s">
        <v>1122</v>
      </c>
      <c r="C561">
        <v>2310180047</v>
      </c>
      <c r="D561" t="s">
        <v>66</v>
      </c>
      <c r="E561">
        <v>2430450001</v>
      </c>
      <c r="F561" t="s">
        <v>93</v>
      </c>
      <c r="G561" t="s">
        <v>89</v>
      </c>
      <c r="H561">
        <v>2.5333000000000001</v>
      </c>
      <c r="I561">
        <v>3</v>
      </c>
      <c r="J561">
        <v>8000</v>
      </c>
      <c r="K561">
        <f>+VLOOKUP(E561,Costos!$A$1:$I$7161,9,FALSE)</f>
        <v>5.0953559999999998</v>
      </c>
      <c r="L561" t="str">
        <f t="shared" si="18"/>
        <v>243</v>
      </c>
      <c r="M561" t="str">
        <f t="shared" si="19"/>
        <v>243045</v>
      </c>
    </row>
    <row r="562" spans="1:13" x14ac:dyDescent="0.25">
      <c r="A562">
        <v>2110020322</v>
      </c>
      <c r="B562" t="s">
        <v>1122</v>
      </c>
      <c r="C562">
        <v>2310180047</v>
      </c>
      <c r="D562" t="s">
        <v>66</v>
      </c>
      <c r="E562">
        <v>2310180048</v>
      </c>
      <c r="F562" t="s">
        <v>94</v>
      </c>
      <c r="G562" t="s">
        <v>89</v>
      </c>
      <c r="H562">
        <v>3.1667000000000001</v>
      </c>
      <c r="I562">
        <v>3</v>
      </c>
      <c r="J562">
        <v>8000</v>
      </c>
      <c r="K562">
        <f>+VLOOKUP(E562,Costos!$A$1:$I$7161,9,FALSE)</f>
        <v>2.7850670000000002</v>
      </c>
      <c r="L562" t="str">
        <f t="shared" si="18"/>
        <v>231</v>
      </c>
      <c r="M562" t="str">
        <f t="shared" si="19"/>
        <v>231018</v>
      </c>
    </row>
    <row r="563" spans="1:13" x14ac:dyDescent="0.25">
      <c r="A563">
        <v>2110020322</v>
      </c>
      <c r="B563" t="s">
        <v>1122</v>
      </c>
      <c r="C563">
        <v>2310180048</v>
      </c>
      <c r="D563" t="s">
        <v>94</v>
      </c>
      <c r="E563">
        <v>2410210019</v>
      </c>
      <c r="F563" t="s">
        <v>113</v>
      </c>
      <c r="G563" t="s">
        <v>89</v>
      </c>
      <c r="H563">
        <v>6.3299999999999995E-2</v>
      </c>
      <c r="I563">
        <v>4</v>
      </c>
      <c r="J563">
        <v>8000</v>
      </c>
      <c r="K563">
        <f>+VLOOKUP(E563,Costos!$A$1:$I$7161,9,FALSE)</f>
        <v>7.5043049999999996</v>
      </c>
      <c r="L563" t="str">
        <f t="shared" si="18"/>
        <v>241</v>
      </c>
      <c r="M563" t="str">
        <f t="shared" si="19"/>
        <v>241021</v>
      </c>
    </row>
    <row r="564" spans="1:13" x14ac:dyDescent="0.25">
      <c r="A564">
        <v>2110020322</v>
      </c>
      <c r="B564" t="s">
        <v>1122</v>
      </c>
      <c r="C564">
        <v>2310180048</v>
      </c>
      <c r="D564" t="s">
        <v>94</v>
      </c>
      <c r="E564">
        <v>2430930001</v>
      </c>
      <c r="F564" t="s">
        <v>114</v>
      </c>
      <c r="G564" t="s">
        <v>89</v>
      </c>
      <c r="H564">
        <v>1.615</v>
      </c>
      <c r="I564">
        <v>4</v>
      </c>
      <c r="J564">
        <v>8000</v>
      </c>
      <c r="K564">
        <f>+VLOOKUP(E564,Costos!$A$1:$I$7161,9,FALSE)</f>
        <v>4.7685019999999998</v>
      </c>
      <c r="L564" t="str">
        <f t="shared" si="18"/>
        <v>243</v>
      </c>
      <c r="M564" t="str">
        <f t="shared" si="19"/>
        <v>243093</v>
      </c>
    </row>
    <row r="565" spans="1:13" x14ac:dyDescent="0.25">
      <c r="A565">
        <v>2110020322</v>
      </c>
      <c r="B565" t="s">
        <v>1122</v>
      </c>
      <c r="C565">
        <v>2310180048</v>
      </c>
      <c r="D565" t="s">
        <v>94</v>
      </c>
      <c r="E565">
        <v>2430880022</v>
      </c>
      <c r="F565" t="s">
        <v>115</v>
      </c>
      <c r="G565" t="s">
        <v>89</v>
      </c>
      <c r="H565">
        <v>9.4999999999999998E-3</v>
      </c>
      <c r="I565">
        <v>4</v>
      </c>
      <c r="J565">
        <v>8000</v>
      </c>
      <c r="K565">
        <f>+VLOOKUP(E565,Costos!$A$1:$I$7161,9,FALSE)</f>
        <v>5.3984490000000003</v>
      </c>
      <c r="L565" t="str">
        <f t="shared" si="18"/>
        <v>243</v>
      </c>
      <c r="M565" t="str">
        <f t="shared" si="19"/>
        <v>243088</v>
      </c>
    </row>
    <row r="566" spans="1:13" x14ac:dyDescent="0.25">
      <c r="A566">
        <v>2110020322</v>
      </c>
      <c r="B566" t="s">
        <v>1122</v>
      </c>
      <c r="C566">
        <v>2310180047</v>
      </c>
      <c r="D566" t="s">
        <v>66</v>
      </c>
      <c r="E566">
        <v>2410210003</v>
      </c>
      <c r="F566" t="s">
        <v>95</v>
      </c>
      <c r="G566" t="s">
        <v>89</v>
      </c>
      <c r="H566">
        <v>5.0667</v>
      </c>
      <c r="I566">
        <v>3</v>
      </c>
      <c r="J566">
        <v>8000</v>
      </c>
      <c r="K566">
        <f>+VLOOKUP(E566,Costos!$A$1:$I$7161,9,FALSE)</f>
        <v>5.0519999999999996</v>
      </c>
      <c r="L566" t="str">
        <f t="shared" si="18"/>
        <v>241</v>
      </c>
      <c r="M566" t="str">
        <f t="shared" si="19"/>
        <v>241021</v>
      </c>
    </row>
    <row r="567" spans="1:13" x14ac:dyDescent="0.25">
      <c r="A567">
        <v>2110020322</v>
      </c>
      <c r="B567" t="s">
        <v>1122</v>
      </c>
      <c r="C567">
        <v>2310180047</v>
      </c>
      <c r="D567" t="s">
        <v>66</v>
      </c>
      <c r="E567">
        <v>2410090267</v>
      </c>
      <c r="F567" t="s">
        <v>96</v>
      </c>
      <c r="G567" t="s">
        <v>89</v>
      </c>
      <c r="H567">
        <v>3.3399999999999999E-2</v>
      </c>
      <c r="I567">
        <v>3</v>
      </c>
      <c r="J567">
        <v>8000</v>
      </c>
      <c r="K567">
        <f>+VLOOKUP(E567,Costos!$A$1:$I$7161,9,FALSE)</f>
        <v>125.553377</v>
      </c>
      <c r="L567" t="str">
        <f t="shared" si="18"/>
        <v>241</v>
      </c>
      <c r="M567" t="str">
        <f t="shared" si="19"/>
        <v>241009</v>
      </c>
    </row>
    <row r="568" spans="1:13" x14ac:dyDescent="0.25">
      <c r="A568">
        <v>2110020322</v>
      </c>
      <c r="B568" t="s">
        <v>1122</v>
      </c>
      <c r="C568">
        <v>2310180047</v>
      </c>
      <c r="D568" t="s">
        <v>66</v>
      </c>
      <c r="E568">
        <v>2410090266</v>
      </c>
      <c r="F568" t="s">
        <v>100</v>
      </c>
      <c r="G568" t="s">
        <v>89</v>
      </c>
      <c r="H568">
        <v>0.89170000000000005</v>
      </c>
      <c r="I568">
        <v>3</v>
      </c>
      <c r="J568">
        <v>8000</v>
      </c>
      <c r="K568">
        <f>+VLOOKUP(E568,Costos!$A$1:$I$7161,9,FALSE)</f>
        <v>163.744855</v>
      </c>
      <c r="L568" t="str">
        <f t="shared" si="18"/>
        <v>241</v>
      </c>
      <c r="M568" t="str">
        <f t="shared" si="19"/>
        <v>241009</v>
      </c>
    </row>
    <row r="569" spans="1:13" x14ac:dyDescent="0.25">
      <c r="A569">
        <v>2110020322</v>
      </c>
      <c r="B569" t="s">
        <v>1122</v>
      </c>
      <c r="C569">
        <v>2110020322</v>
      </c>
      <c r="D569" t="s">
        <v>1122</v>
      </c>
      <c r="E569">
        <v>2310210160</v>
      </c>
      <c r="F569" t="s">
        <v>2575</v>
      </c>
      <c r="G569" t="s">
        <v>20</v>
      </c>
      <c r="H569">
        <v>8000</v>
      </c>
      <c r="I569">
        <v>1</v>
      </c>
      <c r="J569">
        <v>8000</v>
      </c>
      <c r="K569">
        <f>+VLOOKUP(E569,Costos!$A$1:$I$7161,9,FALSE)</f>
        <v>0.22573099999999999</v>
      </c>
      <c r="L569" t="str">
        <f t="shared" si="18"/>
        <v>231</v>
      </c>
      <c r="M569" t="str">
        <f t="shared" si="19"/>
        <v>231021</v>
      </c>
    </row>
    <row r="570" spans="1:13" x14ac:dyDescent="0.25">
      <c r="A570">
        <v>2110020322</v>
      </c>
      <c r="B570" t="s">
        <v>1122</v>
      </c>
      <c r="C570">
        <v>2310210160</v>
      </c>
      <c r="D570" t="s">
        <v>2575</v>
      </c>
      <c r="E570">
        <v>2410170037</v>
      </c>
      <c r="F570" t="s">
        <v>3336</v>
      </c>
      <c r="G570" t="s">
        <v>36</v>
      </c>
      <c r="H570">
        <v>8000</v>
      </c>
      <c r="I570">
        <v>2</v>
      </c>
      <c r="J570">
        <v>8000</v>
      </c>
      <c r="K570">
        <f>+VLOOKUP(E570,Costos!$A$1:$I$7161,9,FALSE)</f>
        <v>4.2382999999999997E-2</v>
      </c>
      <c r="L570" t="str">
        <f t="shared" si="18"/>
        <v>241</v>
      </c>
      <c r="M570" t="str">
        <f t="shared" si="19"/>
        <v>241017</v>
      </c>
    </row>
    <row r="571" spans="1:13" x14ac:dyDescent="0.25">
      <c r="A571">
        <v>2110020322</v>
      </c>
      <c r="B571" t="s">
        <v>1122</v>
      </c>
      <c r="C571">
        <v>2310210160</v>
      </c>
      <c r="D571" t="s">
        <v>2575</v>
      </c>
      <c r="E571">
        <v>2410170233</v>
      </c>
      <c r="F571" t="s">
        <v>3351</v>
      </c>
      <c r="G571" t="s">
        <v>36</v>
      </c>
      <c r="H571">
        <v>8000</v>
      </c>
      <c r="I571">
        <v>2</v>
      </c>
      <c r="J571">
        <v>8000</v>
      </c>
      <c r="K571">
        <f>+VLOOKUP(E571,Costos!$A$1:$I$7161,9,FALSE)</f>
        <v>2.9669999999999998E-2</v>
      </c>
      <c r="L571" t="str">
        <f t="shared" si="18"/>
        <v>241</v>
      </c>
      <c r="M571" t="str">
        <f t="shared" si="19"/>
        <v>241017</v>
      </c>
    </row>
    <row r="572" spans="1:13" x14ac:dyDescent="0.25">
      <c r="A572">
        <v>2110020322</v>
      </c>
      <c r="B572" t="s">
        <v>1122</v>
      </c>
      <c r="C572">
        <v>2310210160</v>
      </c>
      <c r="D572" t="s">
        <v>2575</v>
      </c>
      <c r="E572">
        <v>2310090501</v>
      </c>
      <c r="F572" t="s">
        <v>2322</v>
      </c>
      <c r="G572" t="s">
        <v>36</v>
      </c>
      <c r="H572">
        <v>8000</v>
      </c>
      <c r="I572">
        <v>2</v>
      </c>
      <c r="J572">
        <v>8000</v>
      </c>
      <c r="K572">
        <f>+VLOOKUP(E572,Costos!$A$1:$I$7161,9,FALSE)</f>
        <v>5.1794E-2</v>
      </c>
      <c r="L572" t="str">
        <f t="shared" si="18"/>
        <v>231</v>
      </c>
      <c r="M572" t="str">
        <f t="shared" si="19"/>
        <v>231009</v>
      </c>
    </row>
    <row r="573" spans="1:13" x14ac:dyDescent="0.25">
      <c r="A573">
        <v>2110020322</v>
      </c>
      <c r="B573" t="s">
        <v>1122</v>
      </c>
      <c r="C573">
        <v>2310090501</v>
      </c>
      <c r="D573" t="s">
        <v>2322</v>
      </c>
      <c r="E573">
        <v>2410110108</v>
      </c>
      <c r="F573" t="s">
        <v>3313</v>
      </c>
      <c r="G573" t="s">
        <v>89</v>
      </c>
      <c r="H573">
        <v>4.0000000000000001E-3</v>
      </c>
      <c r="I573">
        <v>3</v>
      </c>
      <c r="J573">
        <v>8000</v>
      </c>
      <c r="K573">
        <f>+VLOOKUP(E573,Costos!$A$1:$I$7161,9,FALSE)</f>
        <v>89.025000000000006</v>
      </c>
      <c r="L573" t="str">
        <f t="shared" si="18"/>
        <v>241</v>
      </c>
      <c r="M573" t="str">
        <f t="shared" si="19"/>
        <v>241011</v>
      </c>
    </row>
    <row r="574" spans="1:13" x14ac:dyDescent="0.25">
      <c r="A574">
        <v>2110020322</v>
      </c>
      <c r="B574" t="s">
        <v>1122</v>
      </c>
      <c r="C574">
        <v>2310090501</v>
      </c>
      <c r="D574" t="s">
        <v>2322</v>
      </c>
      <c r="E574">
        <v>2410200005</v>
      </c>
      <c r="F574" t="s">
        <v>3363</v>
      </c>
      <c r="G574" t="s">
        <v>89</v>
      </c>
      <c r="H574">
        <v>4.0000000000000002E-4</v>
      </c>
      <c r="I574">
        <v>3</v>
      </c>
      <c r="J574">
        <v>8000</v>
      </c>
      <c r="K574">
        <f>+VLOOKUP(E574,Costos!$A$1:$I$7161,9,FALSE)</f>
        <v>26.802222</v>
      </c>
      <c r="L574" t="str">
        <f t="shared" si="18"/>
        <v>241</v>
      </c>
      <c r="M574" t="str">
        <f t="shared" si="19"/>
        <v>241020</v>
      </c>
    </row>
    <row r="575" spans="1:13" x14ac:dyDescent="0.25">
      <c r="A575">
        <v>2110020322</v>
      </c>
      <c r="B575" t="s">
        <v>1122</v>
      </c>
      <c r="C575">
        <v>2310090501</v>
      </c>
      <c r="D575" t="s">
        <v>2322</v>
      </c>
      <c r="E575">
        <v>2310090468</v>
      </c>
      <c r="F575" t="s">
        <v>2306</v>
      </c>
      <c r="G575" t="s">
        <v>89</v>
      </c>
      <c r="H575">
        <v>8000</v>
      </c>
      <c r="I575">
        <v>3</v>
      </c>
      <c r="J575">
        <v>8000</v>
      </c>
      <c r="K575">
        <f>+VLOOKUP(E575,Costos!$A$1:$I$7161,9,FALSE)</f>
        <v>4.3624000000000003E-2</v>
      </c>
      <c r="L575" t="str">
        <f t="shared" si="18"/>
        <v>231</v>
      </c>
      <c r="M575" t="str">
        <f t="shared" si="19"/>
        <v>231009</v>
      </c>
    </row>
    <row r="576" spans="1:13" x14ac:dyDescent="0.25">
      <c r="A576">
        <v>2110020322</v>
      </c>
      <c r="B576" t="s">
        <v>1122</v>
      </c>
      <c r="C576">
        <v>2310090468</v>
      </c>
      <c r="D576" t="s">
        <v>2306</v>
      </c>
      <c r="E576">
        <v>2410090300</v>
      </c>
      <c r="F576" t="s">
        <v>111</v>
      </c>
      <c r="G576" t="s">
        <v>89</v>
      </c>
      <c r="H576">
        <v>0.8</v>
      </c>
      <c r="I576">
        <v>4</v>
      </c>
      <c r="J576">
        <v>8000</v>
      </c>
      <c r="K576">
        <f>+VLOOKUP(E576,Costos!$A$1:$I$7161,9,FALSE)</f>
        <v>17.620238000000001</v>
      </c>
      <c r="L576" t="str">
        <f t="shared" si="18"/>
        <v>241</v>
      </c>
      <c r="M576" t="str">
        <f t="shared" si="19"/>
        <v>241009</v>
      </c>
    </row>
    <row r="577" spans="1:13" x14ac:dyDescent="0.25">
      <c r="A577">
        <v>2110020322</v>
      </c>
      <c r="B577" t="s">
        <v>1122</v>
      </c>
      <c r="C577">
        <v>2310090468</v>
      </c>
      <c r="D577" t="s">
        <v>2306</v>
      </c>
      <c r="E577">
        <v>2410290142</v>
      </c>
      <c r="F577" t="s">
        <v>3394</v>
      </c>
      <c r="G577" t="s">
        <v>89</v>
      </c>
      <c r="H577">
        <v>40</v>
      </c>
      <c r="I577">
        <v>4</v>
      </c>
      <c r="J577">
        <v>8000</v>
      </c>
      <c r="K577">
        <f>+VLOOKUP(E577,Costos!$A$1:$I$7161,9,FALSE)</f>
        <v>4.9846349999999999</v>
      </c>
      <c r="L577" t="str">
        <f t="shared" si="18"/>
        <v>241</v>
      </c>
      <c r="M577" t="str">
        <f t="shared" si="19"/>
        <v>241029</v>
      </c>
    </row>
    <row r="578" spans="1:13" x14ac:dyDescent="0.25">
      <c r="A578">
        <v>2110020322</v>
      </c>
      <c r="B578" t="s">
        <v>1122</v>
      </c>
      <c r="C578">
        <v>2310210160</v>
      </c>
      <c r="D578" t="s">
        <v>2575</v>
      </c>
      <c r="E578">
        <v>2310160356</v>
      </c>
      <c r="F578" t="s">
        <v>2410</v>
      </c>
      <c r="G578" t="s">
        <v>36</v>
      </c>
      <c r="H578">
        <v>8000</v>
      </c>
      <c r="I578">
        <v>2</v>
      </c>
      <c r="J578">
        <v>8000</v>
      </c>
      <c r="K578">
        <f>+VLOOKUP(E578,Costos!$A$1:$I$7161,9,FALSE)</f>
        <v>2.2374000000000002E-2</v>
      </c>
      <c r="L578" t="str">
        <f t="shared" si="18"/>
        <v>231</v>
      </c>
      <c r="M578" t="str">
        <f t="shared" si="19"/>
        <v>231016</v>
      </c>
    </row>
    <row r="579" spans="1:13" x14ac:dyDescent="0.25">
      <c r="A579">
        <v>2110020322</v>
      </c>
      <c r="B579" t="s">
        <v>1122</v>
      </c>
      <c r="C579">
        <v>2310160356</v>
      </c>
      <c r="D579" t="s">
        <v>2410</v>
      </c>
      <c r="E579">
        <v>2410290215</v>
      </c>
      <c r="F579" t="s">
        <v>3400</v>
      </c>
      <c r="G579" t="s">
        <v>89</v>
      </c>
      <c r="H579">
        <v>16.64</v>
      </c>
      <c r="I579">
        <v>3</v>
      </c>
      <c r="J579">
        <v>8000</v>
      </c>
      <c r="K579">
        <f>+VLOOKUP(E579,Costos!$A$1:$I$7161,9,FALSE)</f>
        <v>6.2778530000000003</v>
      </c>
      <c r="L579" t="str">
        <f t="shared" si="18"/>
        <v>241</v>
      </c>
      <c r="M579" t="str">
        <f t="shared" si="19"/>
        <v>241029</v>
      </c>
    </row>
    <row r="580" spans="1:13" x14ac:dyDescent="0.25">
      <c r="A580">
        <v>2110020322</v>
      </c>
      <c r="B580" t="s">
        <v>1122</v>
      </c>
      <c r="C580">
        <v>2310160356</v>
      </c>
      <c r="D580" t="s">
        <v>2410</v>
      </c>
      <c r="E580">
        <v>2410090300</v>
      </c>
      <c r="F580" t="s">
        <v>111</v>
      </c>
      <c r="G580" t="s">
        <v>89</v>
      </c>
      <c r="H580">
        <v>0.39360000000000001</v>
      </c>
      <c r="I580">
        <v>3</v>
      </c>
      <c r="J580">
        <v>8000</v>
      </c>
      <c r="K580">
        <f>+VLOOKUP(E580,Costos!$A$1:$I$7161,9,FALSE)</f>
        <v>17.620238000000001</v>
      </c>
      <c r="L580" t="str">
        <f t="shared" si="18"/>
        <v>241</v>
      </c>
      <c r="M580" t="str">
        <f t="shared" si="19"/>
        <v>241009</v>
      </c>
    </row>
    <row r="581" spans="1:13" x14ac:dyDescent="0.25">
      <c r="A581">
        <v>2110020322</v>
      </c>
      <c r="B581" t="s">
        <v>1122</v>
      </c>
      <c r="C581">
        <v>2310210160</v>
      </c>
      <c r="D581" t="s">
        <v>2575</v>
      </c>
      <c r="E581">
        <v>2310160354</v>
      </c>
      <c r="F581" t="s">
        <v>2408</v>
      </c>
      <c r="G581" t="s">
        <v>36</v>
      </c>
      <c r="H581">
        <v>8000</v>
      </c>
      <c r="I581">
        <v>2</v>
      </c>
      <c r="J581">
        <v>8000</v>
      </c>
      <c r="K581">
        <f>+VLOOKUP(E581,Costos!$A$1:$I$7161,9,FALSE)</f>
        <v>1.2331999999999999E-2</v>
      </c>
      <c r="L581" t="str">
        <f t="shared" si="18"/>
        <v>231</v>
      </c>
      <c r="M581" t="str">
        <f t="shared" si="19"/>
        <v>231016</v>
      </c>
    </row>
    <row r="582" spans="1:13" x14ac:dyDescent="0.25">
      <c r="A582">
        <v>2110020322</v>
      </c>
      <c r="B582" t="s">
        <v>1122</v>
      </c>
      <c r="C582">
        <v>2310160354</v>
      </c>
      <c r="D582" t="s">
        <v>2408</v>
      </c>
      <c r="E582">
        <v>2410090300</v>
      </c>
      <c r="F582" t="s">
        <v>111</v>
      </c>
      <c r="G582" t="s">
        <v>89</v>
      </c>
      <c r="H582">
        <v>0.2044</v>
      </c>
      <c r="I582">
        <v>3</v>
      </c>
      <c r="J582">
        <v>8000</v>
      </c>
      <c r="K582">
        <f>+VLOOKUP(E582,Costos!$A$1:$I$7161,9,FALSE)</f>
        <v>17.620238000000001</v>
      </c>
      <c r="L582" t="str">
        <f t="shared" ref="L582:L645" si="20">+LEFT(E582,3)</f>
        <v>241</v>
      </c>
      <c r="M582" t="str">
        <f t="shared" ref="M582:M645" si="21">+LEFT(E582,6)</f>
        <v>241009</v>
      </c>
    </row>
    <row r="583" spans="1:13" x14ac:dyDescent="0.25">
      <c r="A583">
        <v>2110020322</v>
      </c>
      <c r="B583" t="s">
        <v>1122</v>
      </c>
      <c r="C583">
        <v>2310160354</v>
      </c>
      <c r="D583" t="s">
        <v>2408</v>
      </c>
      <c r="E583">
        <v>2410290626</v>
      </c>
      <c r="F583" t="s">
        <v>92</v>
      </c>
      <c r="G583" t="s">
        <v>89</v>
      </c>
      <c r="H583">
        <v>10.222200000000001</v>
      </c>
      <c r="I583">
        <v>3</v>
      </c>
      <c r="J583">
        <v>8000</v>
      </c>
      <c r="K583">
        <f>+VLOOKUP(E583,Costos!$A$1:$I$7161,9,FALSE)</f>
        <v>4.362679</v>
      </c>
      <c r="L583" t="str">
        <f t="shared" si="20"/>
        <v>241</v>
      </c>
      <c r="M583" t="str">
        <f t="shared" si="21"/>
        <v>241029</v>
      </c>
    </row>
    <row r="584" spans="1:13" x14ac:dyDescent="0.25">
      <c r="A584">
        <v>2110020322</v>
      </c>
      <c r="B584" t="s">
        <v>1122</v>
      </c>
      <c r="C584">
        <v>2310210160</v>
      </c>
      <c r="D584" t="s">
        <v>2575</v>
      </c>
      <c r="E584">
        <v>2310180045</v>
      </c>
      <c r="F584" t="s">
        <v>83</v>
      </c>
      <c r="G584" t="s">
        <v>36</v>
      </c>
      <c r="H584">
        <v>25.333300000000001</v>
      </c>
      <c r="I584">
        <v>2</v>
      </c>
      <c r="J584">
        <v>8000</v>
      </c>
      <c r="K584">
        <f>+VLOOKUP(E584,Costos!$A$1:$I$7161,9,FALSE)</f>
        <v>6.6236490000000003</v>
      </c>
      <c r="L584" t="str">
        <f t="shared" si="20"/>
        <v>231</v>
      </c>
      <c r="M584" t="str">
        <f t="shared" si="21"/>
        <v>231018</v>
      </c>
    </row>
    <row r="585" spans="1:13" x14ac:dyDescent="0.25">
      <c r="A585">
        <v>2110020322</v>
      </c>
      <c r="B585" t="s">
        <v>1122</v>
      </c>
      <c r="C585">
        <v>2310180045</v>
      </c>
      <c r="D585" t="s">
        <v>83</v>
      </c>
      <c r="E585">
        <v>2430450001</v>
      </c>
      <c r="F585" t="s">
        <v>93</v>
      </c>
      <c r="G585" t="s">
        <v>89</v>
      </c>
      <c r="H585">
        <v>2.5333000000000001</v>
      </c>
      <c r="I585">
        <v>3</v>
      </c>
      <c r="J585">
        <v>8000</v>
      </c>
      <c r="K585">
        <f>+VLOOKUP(E585,Costos!$A$1:$I$7161,9,FALSE)</f>
        <v>5.0953559999999998</v>
      </c>
      <c r="L585" t="str">
        <f t="shared" si="20"/>
        <v>243</v>
      </c>
      <c r="M585" t="str">
        <f t="shared" si="21"/>
        <v>243045</v>
      </c>
    </row>
    <row r="586" spans="1:13" x14ac:dyDescent="0.25">
      <c r="A586">
        <v>2110020322</v>
      </c>
      <c r="B586" t="s">
        <v>1122</v>
      </c>
      <c r="C586">
        <v>2310180045</v>
      </c>
      <c r="D586" t="s">
        <v>83</v>
      </c>
      <c r="E586">
        <v>2310180048</v>
      </c>
      <c r="F586" t="s">
        <v>94</v>
      </c>
      <c r="G586" t="s">
        <v>89</v>
      </c>
      <c r="H586">
        <v>3.1667000000000001</v>
      </c>
      <c r="I586">
        <v>3</v>
      </c>
      <c r="J586">
        <v>8000</v>
      </c>
      <c r="K586">
        <f>+VLOOKUP(E586,Costos!$A$1:$I$7161,9,FALSE)</f>
        <v>2.7850670000000002</v>
      </c>
      <c r="L586" t="str">
        <f t="shared" si="20"/>
        <v>231</v>
      </c>
      <c r="M586" t="str">
        <f t="shared" si="21"/>
        <v>231018</v>
      </c>
    </row>
    <row r="587" spans="1:13" x14ac:dyDescent="0.25">
      <c r="A587">
        <v>2110020322</v>
      </c>
      <c r="B587" t="s">
        <v>1122</v>
      </c>
      <c r="C587">
        <v>2310180048</v>
      </c>
      <c r="D587" t="s">
        <v>94</v>
      </c>
      <c r="E587">
        <v>2410210019</v>
      </c>
      <c r="F587" t="s">
        <v>113</v>
      </c>
      <c r="G587" t="s">
        <v>89</v>
      </c>
      <c r="H587">
        <v>6.3299999999999995E-2</v>
      </c>
      <c r="I587">
        <v>4</v>
      </c>
      <c r="J587">
        <v>8000</v>
      </c>
      <c r="K587">
        <f>+VLOOKUP(E587,Costos!$A$1:$I$7161,9,FALSE)</f>
        <v>7.5043049999999996</v>
      </c>
      <c r="L587" t="str">
        <f t="shared" si="20"/>
        <v>241</v>
      </c>
      <c r="M587" t="str">
        <f t="shared" si="21"/>
        <v>241021</v>
      </c>
    </row>
    <row r="588" spans="1:13" x14ac:dyDescent="0.25">
      <c r="A588">
        <v>2110020322</v>
      </c>
      <c r="B588" t="s">
        <v>1122</v>
      </c>
      <c r="C588">
        <v>2310180048</v>
      </c>
      <c r="D588" t="s">
        <v>94</v>
      </c>
      <c r="E588">
        <v>2430930001</v>
      </c>
      <c r="F588" t="s">
        <v>114</v>
      </c>
      <c r="G588" t="s">
        <v>89</v>
      </c>
      <c r="H588">
        <v>1.615</v>
      </c>
      <c r="I588">
        <v>4</v>
      </c>
      <c r="J588">
        <v>8000</v>
      </c>
      <c r="K588">
        <f>+VLOOKUP(E588,Costos!$A$1:$I$7161,9,FALSE)</f>
        <v>4.7685019999999998</v>
      </c>
      <c r="L588" t="str">
        <f t="shared" si="20"/>
        <v>243</v>
      </c>
      <c r="M588" t="str">
        <f t="shared" si="21"/>
        <v>243093</v>
      </c>
    </row>
    <row r="589" spans="1:13" x14ac:dyDescent="0.25">
      <c r="A589">
        <v>2110020322</v>
      </c>
      <c r="B589" t="s">
        <v>1122</v>
      </c>
      <c r="C589">
        <v>2310180048</v>
      </c>
      <c r="D589" t="s">
        <v>94</v>
      </c>
      <c r="E589">
        <v>2430880022</v>
      </c>
      <c r="F589" t="s">
        <v>115</v>
      </c>
      <c r="G589" t="s">
        <v>89</v>
      </c>
      <c r="H589">
        <v>9.4999999999999998E-3</v>
      </c>
      <c r="I589">
        <v>4</v>
      </c>
      <c r="J589">
        <v>8000</v>
      </c>
      <c r="K589">
        <f>+VLOOKUP(E589,Costos!$A$1:$I$7161,9,FALSE)</f>
        <v>5.3984490000000003</v>
      </c>
      <c r="L589" t="str">
        <f t="shared" si="20"/>
        <v>243</v>
      </c>
      <c r="M589" t="str">
        <f t="shared" si="21"/>
        <v>243088</v>
      </c>
    </row>
    <row r="590" spans="1:13" x14ac:dyDescent="0.25">
      <c r="A590">
        <v>2110020322</v>
      </c>
      <c r="B590" t="s">
        <v>1122</v>
      </c>
      <c r="C590">
        <v>2310180045</v>
      </c>
      <c r="D590" t="s">
        <v>83</v>
      </c>
      <c r="E590">
        <v>2410210003</v>
      </c>
      <c r="F590" t="s">
        <v>95</v>
      </c>
      <c r="G590" t="s">
        <v>89</v>
      </c>
      <c r="H590">
        <v>5.0667</v>
      </c>
      <c r="I590">
        <v>3</v>
      </c>
      <c r="J590">
        <v>8000</v>
      </c>
      <c r="K590">
        <f>+VLOOKUP(E590,Costos!$A$1:$I$7161,9,FALSE)</f>
        <v>5.0519999999999996</v>
      </c>
      <c r="L590" t="str">
        <f t="shared" si="20"/>
        <v>241</v>
      </c>
      <c r="M590" t="str">
        <f t="shared" si="21"/>
        <v>241021</v>
      </c>
    </row>
    <row r="591" spans="1:13" x14ac:dyDescent="0.25">
      <c r="A591">
        <v>2110020322</v>
      </c>
      <c r="B591" t="s">
        <v>1122</v>
      </c>
      <c r="C591">
        <v>2310180045</v>
      </c>
      <c r="D591" t="s">
        <v>83</v>
      </c>
      <c r="E591">
        <v>2410090268</v>
      </c>
      <c r="F591" t="s">
        <v>97</v>
      </c>
      <c r="G591" t="s">
        <v>89</v>
      </c>
      <c r="H591">
        <v>9.1200000000000003E-2</v>
      </c>
      <c r="I591">
        <v>3</v>
      </c>
      <c r="J591">
        <v>8000</v>
      </c>
      <c r="K591">
        <f>+VLOOKUP(E591,Costos!$A$1:$I$7161,9,FALSE)</f>
        <v>138.307931</v>
      </c>
      <c r="L591" t="str">
        <f t="shared" si="20"/>
        <v>241</v>
      </c>
      <c r="M591" t="str">
        <f t="shared" si="21"/>
        <v>241009</v>
      </c>
    </row>
    <row r="592" spans="1:13" x14ac:dyDescent="0.25">
      <c r="A592">
        <v>2110020322</v>
      </c>
      <c r="B592" t="s">
        <v>1122</v>
      </c>
      <c r="C592">
        <v>2310180045</v>
      </c>
      <c r="D592" t="s">
        <v>83</v>
      </c>
      <c r="E592">
        <v>2410090265</v>
      </c>
      <c r="F592" t="s">
        <v>103</v>
      </c>
      <c r="G592" t="s">
        <v>89</v>
      </c>
      <c r="H592">
        <v>0.83599999999999997</v>
      </c>
      <c r="I592">
        <v>3</v>
      </c>
      <c r="J592">
        <v>8000</v>
      </c>
      <c r="K592">
        <f>+VLOOKUP(E592,Costos!$A$1:$I$7161,9,FALSE)</f>
        <v>88.803754999999995</v>
      </c>
      <c r="L592" t="str">
        <f t="shared" si="20"/>
        <v>241</v>
      </c>
      <c r="M592" t="str">
        <f t="shared" si="21"/>
        <v>241009</v>
      </c>
    </row>
    <row r="593" spans="1:13" x14ac:dyDescent="0.25">
      <c r="A593">
        <v>2110020322</v>
      </c>
      <c r="B593" t="s">
        <v>1122</v>
      </c>
      <c r="C593">
        <v>2110020322</v>
      </c>
      <c r="D593" t="s">
        <v>1122</v>
      </c>
      <c r="E593">
        <v>2310210159</v>
      </c>
      <c r="F593" t="s">
        <v>2574</v>
      </c>
      <c r="G593" t="s">
        <v>20</v>
      </c>
      <c r="H593">
        <v>8000</v>
      </c>
      <c r="I593">
        <v>1</v>
      </c>
      <c r="J593">
        <v>8000</v>
      </c>
      <c r="K593">
        <f>+VLOOKUP(E593,Costos!$A$1:$I$7161,9,FALSE)</f>
        <v>0.22520999999999999</v>
      </c>
      <c r="L593" t="str">
        <f t="shared" si="20"/>
        <v>231</v>
      </c>
      <c r="M593" t="str">
        <f t="shared" si="21"/>
        <v>231021</v>
      </c>
    </row>
    <row r="594" spans="1:13" x14ac:dyDescent="0.25">
      <c r="A594">
        <v>2110020322</v>
      </c>
      <c r="B594" t="s">
        <v>1122</v>
      </c>
      <c r="C594">
        <v>2310210159</v>
      </c>
      <c r="D594" t="s">
        <v>2574</v>
      </c>
      <c r="E594">
        <v>2410170233</v>
      </c>
      <c r="F594" t="s">
        <v>3351</v>
      </c>
      <c r="G594" t="s">
        <v>36</v>
      </c>
      <c r="H594">
        <v>8000</v>
      </c>
      <c r="I594">
        <v>2</v>
      </c>
      <c r="J594">
        <v>8000</v>
      </c>
      <c r="K594">
        <f>+VLOOKUP(E594,Costos!$A$1:$I$7161,9,FALSE)</f>
        <v>2.9669999999999998E-2</v>
      </c>
      <c r="L594" t="str">
        <f t="shared" si="20"/>
        <v>241</v>
      </c>
      <c r="M594" t="str">
        <f t="shared" si="21"/>
        <v>241017</v>
      </c>
    </row>
    <row r="595" spans="1:13" x14ac:dyDescent="0.25">
      <c r="A595">
        <v>2110020322</v>
      </c>
      <c r="B595" t="s">
        <v>1122</v>
      </c>
      <c r="C595">
        <v>2310210159</v>
      </c>
      <c r="D595" t="s">
        <v>2574</v>
      </c>
      <c r="E595">
        <v>2310090502</v>
      </c>
      <c r="F595" t="s">
        <v>2323</v>
      </c>
      <c r="G595" t="s">
        <v>36</v>
      </c>
      <c r="H595">
        <v>8000</v>
      </c>
      <c r="I595">
        <v>2</v>
      </c>
      <c r="J595">
        <v>8000</v>
      </c>
      <c r="K595">
        <f>+VLOOKUP(E595,Costos!$A$1:$I$7161,9,FALSE)</f>
        <v>5.4851999999999998E-2</v>
      </c>
      <c r="L595" t="str">
        <f t="shared" si="20"/>
        <v>231</v>
      </c>
      <c r="M595" t="str">
        <f t="shared" si="21"/>
        <v>231009</v>
      </c>
    </row>
    <row r="596" spans="1:13" x14ac:dyDescent="0.25">
      <c r="A596">
        <v>2110020322</v>
      </c>
      <c r="B596" t="s">
        <v>1122</v>
      </c>
      <c r="C596">
        <v>2310090502</v>
      </c>
      <c r="D596" t="s">
        <v>2323</v>
      </c>
      <c r="E596">
        <v>2410110108</v>
      </c>
      <c r="F596" t="s">
        <v>3313</v>
      </c>
      <c r="G596" t="s">
        <v>89</v>
      </c>
      <c r="H596">
        <v>4.0000000000000001E-3</v>
      </c>
      <c r="I596">
        <v>3</v>
      </c>
      <c r="J596">
        <v>8000</v>
      </c>
      <c r="K596">
        <f>+VLOOKUP(E596,Costos!$A$1:$I$7161,9,FALSE)</f>
        <v>89.025000000000006</v>
      </c>
      <c r="L596" t="str">
        <f t="shared" si="20"/>
        <v>241</v>
      </c>
      <c r="M596" t="str">
        <f t="shared" si="21"/>
        <v>241011</v>
      </c>
    </row>
    <row r="597" spans="1:13" x14ac:dyDescent="0.25">
      <c r="A597">
        <v>2110020322</v>
      </c>
      <c r="B597" t="s">
        <v>1122</v>
      </c>
      <c r="C597">
        <v>2310090502</v>
      </c>
      <c r="D597" t="s">
        <v>2323</v>
      </c>
      <c r="E597">
        <v>2410200005</v>
      </c>
      <c r="F597" t="s">
        <v>3363</v>
      </c>
      <c r="G597" t="s">
        <v>89</v>
      </c>
      <c r="H597">
        <v>4.0000000000000002E-4</v>
      </c>
      <c r="I597">
        <v>3</v>
      </c>
      <c r="J597">
        <v>8000</v>
      </c>
      <c r="K597">
        <f>+VLOOKUP(E597,Costos!$A$1:$I$7161,9,FALSE)</f>
        <v>26.802222</v>
      </c>
      <c r="L597" t="str">
        <f t="shared" si="20"/>
        <v>241</v>
      </c>
      <c r="M597" t="str">
        <f t="shared" si="21"/>
        <v>241020</v>
      </c>
    </row>
    <row r="598" spans="1:13" x14ac:dyDescent="0.25">
      <c r="A598">
        <v>2110020322</v>
      </c>
      <c r="B598" t="s">
        <v>1122</v>
      </c>
      <c r="C598">
        <v>2310090502</v>
      </c>
      <c r="D598" t="s">
        <v>2323</v>
      </c>
      <c r="E598">
        <v>2310090469</v>
      </c>
      <c r="F598" t="s">
        <v>2307</v>
      </c>
      <c r="G598" t="s">
        <v>89</v>
      </c>
      <c r="H598">
        <v>8000</v>
      </c>
      <c r="I598">
        <v>3</v>
      </c>
      <c r="J598">
        <v>8000</v>
      </c>
      <c r="K598">
        <f>+VLOOKUP(E598,Costos!$A$1:$I$7161,9,FALSE)</f>
        <v>4.2980999999999998E-2</v>
      </c>
      <c r="L598" t="str">
        <f t="shared" si="20"/>
        <v>231</v>
      </c>
      <c r="M598" t="str">
        <f t="shared" si="21"/>
        <v>231009</v>
      </c>
    </row>
    <row r="599" spans="1:13" x14ac:dyDescent="0.25">
      <c r="A599">
        <v>2110020322</v>
      </c>
      <c r="B599" t="s">
        <v>1122</v>
      </c>
      <c r="C599">
        <v>2310090469</v>
      </c>
      <c r="D599" t="s">
        <v>2307</v>
      </c>
      <c r="E599">
        <v>2410090166</v>
      </c>
      <c r="F599" t="s">
        <v>112</v>
      </c>
      <c r="G599" t="s">
        <v>89</v>
      </c>
      <c r="H599">
        <v>0.8</v>
      </c>
      <c r="I599">
        <v>4</v>
      </c>
      <c r="J599">
        <v>8000</v>
      </c>
      <c r="K599">
        <f>+VLOOKUP(E599,Costos!$A$1:$I$7161,9,FALSE)</f>
        <v>53.901384</v>
      </c>
      <c r="L599" t="str">
        <f t="shared" si="20"/>
        <v>241</v>
      </c>
      <c r="M599" t="str">
        <f t="shared" si="21"/>
        <v>241009</v>
      </c>
    </row>
    <row r="600" spans="1:13" x14ac:dyDescent="0.25">
      <c r="A600">
        <v>2110020322</v>
      </c>
      <c r="B600" t="s">
        <v>1122</v>
      </c>
      <c r="C600">
        <v>2310090469</v>
      </c>
      <c r="D600" t="s">
        <v>2307</v>
      </c>
      <c r="E600">
        <v>2410290142</v>
      </c>
      <c r="F600" t="s">
        <v>3394</v>
      </c>
      <c r="G600" t="s">
        <v>89</v>
      </c>
      <c r="H600">
        <v>40</v>
      </c>
      <c r="I600">
        <v>4</v>
      </c>
      <c r="J600">
        <v>8000</v>
      </c>
      <c r="K600">
        <f>+VLOOKUP(E600,Costos!$A$1:$I$7161,9,FALSE)</f>
        <v>4.9846349999999999</v>
      </c>
      <c r="L600" t="str">
        <f t="shared" si="20"/>
        <v>241</v>
      </c>
      <c r="M600" t="str">
        <f t="shared" si="21"/>
        <v>241029</v>
      </c>
    </row>
    <row r="601" spans="1:13" x14ac:dyDescent="0.25">
      <c r="A601">
        <v>2110020322</v>
      </c>
      <c r="B601" t="s">
        <v>1122</v>
      </c>
      <c r="C601">
        <v>2310210159</v>
      </c>
      <c r="D601" t="s">
        <v>2574</v>
      </c>
      <c r="E601">
        <v>2310160355</v>
      </c>
      <c r="F601" t="s">
        <v>2409</v>
      </c>
      <c r="G601" t="s">
        <v>36</v>
      </c>
      <c r="H601">
        <v>8000</v>
      </c>
      <c r="I601">
        <v>2</v>
      </c>
      <c r="J601">
        <v>8000</v>
      </c>
      <c r="K601">
        <f>+VLOOKUP(E601,Costos!$A$1:$I$7161,9,FALSE)</f>
        <v>2.2232999999999999E-2</v>
      </c>
      <c r="L601" t="str">
        <f t="shared" si="20"/>
        <v>231</v>
      </c>
      <c r="M601" t="str">
        <f t="shared" si="21"/>
        <v>231016</v>
      </c>
    </row>
    <row r="602" spans="1:13" x14ac:dyDescent="0.25">
      <c r="A602">
        <v>2110020322</v>
      </c>
      <c r="B602" t="s">
        <v>1122</v>
      </c>
      <c r="C602">
        <v>2310160355</v>
      </c>
      <c r="D602" t="s">
        <v>2409</v>
      </c>
      <c r="E602">
        <v>2410290215</v>
      </c>
      <c r="F602" t="s">
        <v>3400</v>
      </c>
      <c r="G602" t="s">
        <v>89</v>
      </c>
      <c r="H602">
        <v>16.64</v>
      </c>
      <c r="I602">
        <v>3</v>
      </c>
      <c r="J602">
        <v>8000</v>
      </c>
      <c r="K602">
        <f>+VLOOKUP(E602,Costos!$A$1:$I$7161,9,FALSE)</f>
        <v>6.2778530000000003</v>
      </c>
      <c r="L602" t="str">
        <f t="shared" si="20"/>
        <v>241</v>
      </c>
      <c r="M602" t="str">
        <f t="shared" si="21"/>
        <v>241029</v>
      </c>
    </row>
    <row r="603" spans="1:13" x14ac:dyDescent="0.25">
      <c r="A603">
        <v>2110020322</v>
      </c>
      <c r="B603" t="s">
        <v>1122</v>
      </c>
      <c r="C603">
        <v>2310160355</v>
      </c>
      <c r="D603" t="s">
        <v>2409</v>
      </c>
      <c r="E603">
        <v>2410090166</v>
      </c>
      <c r="F603" t="s">
        <v>112</v>
      </c>
      <c r="G603" t="s">
        <v>89</v>
      </c>
      <c r="H603">
        <v>0.32800000000000001</v>
      </c>
      <c r="I603">
        <v>3</v>
      </c>
      <c r="J603">
        <v>8000</v>
      </c>
      <c r="K603">
        <f>+VLOOKUP(E603,Costos!$A$1:$I$7161,9,FALSE)</f>
        <v>53.901384</v>
      </c>
      <c r="L603" t="str">
        <f t="shared" si="20"/>
        <v>241</v>
      </c>
      <c r="M603" t="str">
        <f t="shared" si="21"/>
        <v>241009</v>
      </c>
    </row>
    <row r="604" spans="1:13" x14ac:dyDescent="0.25">
      <c r="A604">
        <v>2110020322</v>
      </c>
      <c r="B604" t="s">
        <v>1122</v>
      </c>
      <c r="C604">
        <v>2310210159</v>
      </c>
      <c r="D604" t="s">
        <v>2574</v>
      </c>
      <c r="E604">
        <v>2310160353</v>
      </c>
      <c r="F604" t="s">
        <v>2407</v>
      </c>
      <c r="G604" t="s">
        <v>36</v>
      </c>
      <c r="H604">
        <v>8000</v>
      </c>
      <c r="I604">
        <v>2</v>
      </c>
      <c r="J604">
        <v>8000</v>
      </c>
      <c r="K604">
        <f>+VLOOKUP(E604,Costos!$A$1:$I$7161,9,FALSE)</f>
        <v>1.3925999999999999E-2</v>
      </c>
      <c r="L604" t="str">
        <f t="shared" si="20"/>
        <v>231</v>
      </c>
      <c r="M604" t="str">
        <f t="shared" si="21"/>
        <v>231016</v>
      </c>
    </row>
    <row r="605" spans="1:13" x14ac:dyDescent="0.25">
      <c r="A605">
        <v>2110020322</v>
      </c>
      <c r="B605" t="s">
        <v>1122</v>
      </c>
      <c r="C605">
        <v>2310160353</v>
      </c>
      <c r="D605" t="s">
        <v>2407</v>
      </c>
      <c r="E605">
        <v>2410090166</v>
      </c>
      <c r="F605" t="s">
        <v>112</v>
      </c>
      <c r="G605" t="s">
        <v>89</v>
      </c>
      <c r="H605">
        <v>0.1431</v>
      </c>
      <c r="I605">
        <v>3</v>
      </c>
      <c r="J605">
        <v>8000</v>
      </c>
      <c r="K605">
        <f>+VLOOKUP(E605,Costos!$A$1:$I$7161,9,FALSE)</f>
        <v>53.901384</v>
      </c>
      <c r="L605" t="str">
        <f t="shared" si="20"/>
        <v>241</v>
      </c>
      <c r="M605" t="str">
        <f t="shared" si="21"/>
        <v>241009</v>
      </c>
    </row>
    <row r="606" spans="1:13" x14ac:dyDescent="0.25">
      <c r="A606">
        <v>2110020322</v>
      </c>
      <c r="B606" t="s">
        <v>1122</v>
      </c>
      <c r="C606">
        <v>2310160353</v>
      </c>
      <c r="D606" t="s">
        <v>2407</v>
      </c>
      <c r="E606">
        <v>2410290626</v>
      </c>
      <c r="F606" t="s">
        <v>92</v>
      </c>
      <c r="G606" t="s">
        <v>89</v>
      </c>
      <c r="H606">
        <v>10.222200000000001</v>
      </c>
      <c r="I606">
        <v>3</v>
      </c>
      <c r="J606">
        <v>8000</v>
      </c>
      <c r="K606">
        <f>+VLOOKUP(E606,Costos!$A$1:$I$7161,9,FALSE)</f>
        <v>4.362679</v>
      </c>
      <c r="L606" t="str">
        <f t="shared" si="20"/>
        <v>241</v>
      </c>
      <c r="M606" t="str">
        <f t="shared" si="21"/>
        <v>241029</v>
      </c>
    </row>
    <row r="607" spans="1:13" x14ac:dyDescent="0.25">
      <c r="A607">
        <v>2110020322</v>
      </c>
      <c r="B607" t="s">
        <v>1122</v>
      </c>
      <c r="C607">
        <v>2310210159</v>
      </c>
      <c r="D607" t="s">
        <v>2574</v>
      </c>
      <c r="E607">
        <v>2410170037</v>
      </c>
      <c r="F607" t="s">
        <v>3336</v>
      </c>
      <c r="G607" t="s">
        <v>36</v>
      </c>
      <c r="H607">
        <v>8000</v>
      </c>
      <c r="I607">
        <v>2</v>
      </c>
      <c r="J607">
        <v>8000</v>
      </c>
      <c r="K607">
        <f>+VLOOKUP(E607,Costos!$A$1:$I$7161,9,FALSE)</f>
        <v>4.2382999999999997E-2</v>
      </c>
      <c r="L607" t="str">
        <f t="shared" si="20"/>
        <v>241</v>
      </c>
      <c r="M607" t="str">
        <f t="shared" si="21"/>
        <v>241017</v>
      </c>
    </row>
    <row r="608" spans="1:13" x14ac:dyDescent="0.25">
      <c r="A608">
        <v>2110020322</v>
      </c>
      <c r="B608" t="s">
        <v>1122</v>
      </c>
      <c r="C608">
        <v>2310210159</v>
      </c>
      <c r="D608" t="s">
        <v>2574</v>
      </c>
      <c r="E608">
        <v>2310180040</v>
      </c>
      <c r="F608" t="s">
        <v>87</v>
      </c>
      <c r="G608" t="s">
        <v>36</v>
      </c>
      <c r="H608">
        <v>25.333300000000001</v>
      </c>
      <c r="I608">
        <v>2</v>
      </c>
      <c r="J608">
        <v>8000</v>
      </c>
      <c r="K608">
        <f>+VLOOKUP(E608,Costos!$A$1:$I$7161,9,FALSE)</f>
        <v>4.3330109999999999</v>
      </c>
      <c r="L608" t="str">
        <f t="shared" si="20"/>
        <v>231</v>
      </c>
      <c r="M608" t="str">
        <f t="shared" si="21"/>
        <v>231018</v>
      </c>
    </row>
    <row r="609" spans="1:13" x14ac:dyDescent="0.25">
      <c r="A609">
        <v>2110020322</v>
      </c>
      <c r="B609" t="s">
        <v>1122</v>
      </c>
      <c r="C609">
        <v>2310180040</v>
      </c>
      <c r="D609" t="s">
        <v>87</v>
      </c>
      <c r="E609">
        <v>2430450001</v>
      </c>
      <c r="F609" t="s">
        <v>93</v>
      </c>
      <c r="G609" t="s">
        <v>89</v>
      </c>
      <c r="H609">
        <v>2.5333000000000001</v>
      </c>
      <c r="I609">
        <v>3</v>
      </c>
      <c r="J609">
        <v>8000</v>
      </c>
      <c r="K609">
        <f>+VLOOKUP(E609,Costos!$A$1:$I$7161,9,FALSE)</f>
        <v>5.0953559999999998</v>
      </c>
      <c r="L609" t="str">
        <f t="shared" si="20"/>
        <v>243</v>
      </c>
      <c r="M609" t="str">
        <f t="shared" si="21"/>
        <v>243045</v>
      </c>
    </row>
    <row r="610" spans="1:13" x14ac:dyDescent="0.25">
      <c r="A610">
        <v>2110020322</v>
      </c>
      <c r="B610" t="s">
        <v>1122</v>
      </c>
      <c r="C610">
        <v>2310180040</v>
      </c>
      <c r="D610" t="s">
        <v>87</v>
      </c>
      <c r="E610">
        <v>2310180048</v>
      </c>
      <c r="F610" t="s">
        <v>94</v>
      </c>
      <c r="G610" t="s">
        <v>89</v>
      </c>
      <c r="H610">
        <v>3.1667000000000001</v>
      </c>
      <c r="I610">
        <v>3</v>
      </c>
      <c r="J610">
        <v>8000</v>
      </c>
      <c r="K610">
        <f>+VLOOKUP(E610,Costos!$A$1:$I$7161,9,FALSE)</f>
        <v>2.7850670000000002</v>
      </c>
      <c r="L610" t="str">
        <f t="shared" si="20"/>
        <v>231</v>
      </c>
      <c r="M610" t="str">
        <f t="shared" si="21"/>
        <v>231018</v>
      </c>
    </row>
    <row r="611" spans="1:13" x14ac:dyDescent="0.25">
      <c r="A611">
        <v>2110020322</v>
      </c>
      <c r="B611" t="s">
        <v>1122</v>
      </c>
      <c r="C611">
        <v>2310180048</v>
      </c>
      <c r="D611" t="s">
        <v>94</v>
      </c>
      <c r="E611">
        <v>2410210019</v>
      </c>
      <c r="F611" t="s">
        <v>113</v>
      </c>
      <c r="G611" t="s">
        <v>89</v>
      </c>
      <c r="H611">
        <v>6.3299999999999995E-2</v>
      </c>
      <c r="I611">
        <v>4</v>
      </c>
      <c r="J611">
        <v>8000</v>
      </c>
      <c r="K611">
        <f>+VLOOKUP(E611,Costos!$A$1:$I$7161,9,FALSE)</f>
        <v>7.5043049999999996</v>
      </c>
      <c r="L611" t="str">
        <f t="shared" si="20"/>
        <v>241</v>
      </c>
      <c r="M611" t="str">
        <f t="shared" si="21"/>
        <v>241021</v>
      </c>
    </row>
    <row r="612" spans="1:13" x14ac:dyDescent="0.25">
      <c r="A612">
        <v>2110020322</v>
      </c>
      <c r="B612" t="s">
        <v>1122</v>
      </c>
      <c r="C612">
        <v>2310180048</v>
      </c>
      <c r="D612" t="s">
        <v>94</v>
      </c>
      <c r="E612">
        <v>2430930001</v>
      </c>
      <c r="F612" t="s">
        <v>114</v>
      </c>
      <c r="G612" t="s">
        <v>89</v>
      </c>
      <c r="H612">
        <v>1.615</v>
      </c>
      <c r="I612">
        <v>4</v>
      </c>
      <c r="J612">
        <v>8000</v>
      </c>
      <c r="K612">
        <f>+VLOOKUP(E612,Costos!$A$1:$I$7161,9,FALSE)</f>
        <v>4.7685019999999998</v>
      </c>
      <c r="L612" t="str">
        <f t="shared" si="20"/>
        <v>243</v>
      </c>
      <c r="M612" t="str">
        <f t="shared" si="21"/>
        <v>243093</v>
      </c>
    </row>
    <row r="613" spans="1:13" x14ac:dyDescent="0.25">
      <c r="A613">
        <v>2110020322</v>
      </c>
      <c r="B613" t="s">
        <v>1122</v>
      </c>
      <c r="C613">
        <v>2310180048</v>
      </c>
      <c r="D613" t="s">
        <v>94</v>
      </c>
      <c r="E613">
        <v>2430880022</v>
      </c>
      <c r="F613" t="s">
        <v>115</v>
      </c>
      <c r="G613" t="s">
        <v>89</v>
      </c>
      <c r="H613">
        <v>9.4999999999999998E-3</v>
      </c>
      <c r="I613">
        <v>4</v>
      </c>
      <c r="J613">
        <v>8000</v>
      </c>
      <c r="K613">
        <f>+VLOOKUP(E613,Costos!$A$1:$I$7161,9,FALSE)</f>
        <v>5.3984490000000003</v>
      </c>
      <c r="L613" t="str">
        <f t="shared" si="20"/>
        <v>243</v>
      </c>
      <c r="M613" t="str">
        <f t="shared" si="21"/>
        <v>243088</v>
      </c>
    </row>
    <row r="614" spans="1:13" x14ac:dyDescent="0.25">
      <c r="A614">
        <v>2110020322</v>
      </c>
      <c r="B614" t="s">
        <v>1122</v>
      </c>
      <c r="C614">
        <v>2310180040</v>
      </c>
      <c r="D614" t="s">
        <v>87</v>
      </c>
      <c r="E614">
        <v>2410210003</v>
      </c>
      <c r="F614" t="s">
        <v>95</v>
      </c>
      <c r="G614" t="s">
        <v>89</v>
      </c>
      <c r="H614">
        <v>5.0667</v>
      </c>
      <c r="I614">
        <v>3</v>
      </c>
      <c r="J614">
        <v>8000</v>
      </c>
      <c r="K614">
        <f>+VLOOKUP(E614,Costos!$A$1:$I$7161,9,FALSE)</f>
        <v>5.0519999999999996</v>
      </c>
      <c r="L614" t="str">
        <f t="shared" si="20"/>
        <v>241</v>
      </c>
      <c r="M614" t="str">
        <f t="shared" si="21"/>
        <v>241021</v>
      </c>
    </row>
    <row r="615" spans="1:13" x14ac:dyDescent="0.25">
      <c r="A615">
        <v>2110020322</v>
      </c>
      <c r="B615" t="s">
        <v>1122</v>
      </c>
      <c r="C615">
        <v>2310180040</v>
      </c>
      <c r="D615" t="s">
        <v>87</v>
      </c>
      <c r="E615">
        <v>2410090267</v>
      </c>
      <c r="F615" t="s">
        <v>96</v>
      </c>
      <c r="G615" t="s">
        <v>89</v>
      </c>
      <c r="H615">
        <v>7.5999999999999998E-2</v>
      </c>
      <c r="I615">
        <v>3</v>
      </c>
      <c r="J615">
        <v>8000</v>
      </c>
      <c r="K615">
        <f>+VLOOKUP(E615,Costos!$A$1:$I$7161,9,FALSE)</f>
        <v>125.553377</v>
      </c>
      <c r="L615" t="str">
        <f t="shared" si="20"/>
        <v>241</v>
      </c>
      <c r="M615" t="str">
        <f t="shared" si="21"/>
        <v>241009</v>
      </c>
    </row>
    <row r="616" spans="1:13" x14ac:dyDescent="0.25">
      <c r="A616">
        <v>2110020322</v>
      </c>
      <c r="B616" t="s">
        <v>1122</v>
      </c>
      <c r="C616">
        <v>2310180040</v>
      </c>
      <c r="D616" t="s">
        <v>87</v>
      </c>
      <c r="E616">
        <v>2410090265</v>
      </c>
      <c r="F616" t="s">
        <v>103</v>
      </c>
      <c r="G616" t="s">
        <v>89</v>
      </c>
      <c r="H616">
        <v>2.53E-2</v>
      </c>
      <c r="I616">
        <v>3</v>
      </c>
      <c r="J616">
        <v>8000</v>
      </c>
      <c r="K616">
        <f>+VLOOKUP(E616,Costos!$A$1:$I$7161,9,FALSE)</f>
        <v>88.803754999999995</v>
      </c>
      <c r="L616" t="str">
        <f t="shared" si="20"/>
        <v>241</v>
      </c>
      <c r="M616" t="str">
        <f t="shared" si="21"/>
        <v>241009</v>
      </c>
    </row>
    <row r="617" spans="1:13" x14ac:dyDescent="0.25">
      <c r="A617">
        <v>2110020322</v>
      </c>
      <c r="B617" t="s">
        <v>1122</v>
      </c>
      <c r="C617">
        <v>2110020322</v>
      </c>
      <c r="D617" t="s">
        <v>1122</v>
      </c>
      <c r="E617">
        <v>2500090087</v>
      </c>
      <c r="F617" t="s">
        <v>4015</v>
      </c>
      <c r="G617" t="s">
        <v>20</v>
      </c>
      <c r="H617">
        <v>8000</v>
      </c>
      <c r="I617">
        <v>1</v>
      </c>
      <c r="J617">
        <v>8000</v>
      </c>
      <c r="K617">
        <f>+VLOOKUP(E617,Costos!$A$1:$I$7161,9,FALSE)</f>
        <v>0.25092100000000001</v>
      </c>
      <c r="L617" t="str">
        <f t="shared" si="20"/>
        <v>250</v>
      </c>
      <c r="M617" t="str">
        <f t="shared" si="21"/>
        <v>250009</v>
      </c>
    </row>
    <row r="618" spans="1:13" x14ac:dyDescent="0.25">
      <c r="A618">
        <v>2110020322</v>
      </c>
      <c r="B618" t="s">
        <v>1122</v>
      </c>
      <c r="C618">
        <v>2110020322</v>
      </c>
      <c r="D618" t="s">
        <v>1122</v>
      </c>
      <c r="E618">
        <v>2320050737</v>
      </c>
      <c r="F618" t="s">
        <v>2832</v>
      </c>
      <c r="G618" t="s">
        <v>20</v>
      </c>
      <c r="H618">
        <v>666.8</v>
      </c>
      <c r="I618">
        <v>1</v>
      </c>
      <c r="J618">
        <v>8000</v>
      </c>
      <c r="K618">
        <f>+VLOOKUP(E618,Costos!$A$1:$I$7161,9,FALSE)</f>
        <v>0.969252</v>
      </c>
      <c r="L618" t="str">
        <f t="shared" si="20"/>
        <v>232</v>
      </c>
      <c r="M618" t="str">
        <f t="shared" si="21"/>
        <v>232005</v>
      </c>
    </row>
    <row r="619" spans="1:13" x14ac:dyDescent="0.25">
      <c r="A619">
        <v>2110020322</v>
      </c>
      <c r="B619" t="s">
        <v>1122</v>
      </c>
      <c r="C619">
        <v>2110020322</v>
      </c>
      <c r="D619" t="s">
        <v>1122</v>
      </c>
      <c r="E619">
        <v>2500030258</v>
      </c>
      <c r="F619" t="s">
        <v>3785</v>
      </c>
      <c r="G619" t="s">
        <v>20</v>
      </c>
      <c r="H619">
        <v>167.2</v>
      </c>
      <c r="I619">
        <v>1</v>
      </c>
      <c r="J619">
        <v>8000</v>
      </c>
      <c r="K619">
        <f>+VLOOKUP(E619,Costos!$A$1:$I$7161,9,FALSE)</f>
        <v>2.0778289999999999</v>
      </c>
      <c r="L619" t="str">
        <f t="shared" si="20"/>
        <v>250</v>
      </c>
      <c r="M619" t="str">
        <f t="shared" si="21"/>
        <v>250003</v>
      </c>
    </row>
    <row r="620" spans="1:13" x14ac:dyDescent="0.25">
      <c r="A620">
        <v>2110030001</v>
      </c>
      <c r="B620" t="s">
        <v>1142</v>
      </c>
      <c r="C620">
        <v>2110030001</v>
      </c>
      <c r="D620" t="s">
        <v>1142</v>
      </c>
      <c r="E620">
        <v>2310160007</v>
      </c>
      <c r="F620" t="s">
        <v>2361</v>
      </c>
      <c r="G620" t="s">
        <v>230</v>
      </c>
      <c r="H620">
        <v>56000</v>
      </c>
      <c r="I620">
        <v>1</v>
      </c>
      <c r="J620">
        <v>8000</v>
      </c>
      <c r="K620">
        <f>+VLOOKUP(E620,Costos!$A$1:$I$7161,9,FALSE)</f>
        <v>1.5228999999999999E-2</v>
      </c>
      <c r="L620" t="str">
        <f t="shared" si="20"/>
        <v>231</v>
      </c>
      <c r="M620" t="str">
        <f t="shared" si="21"/>
        <v>231016</v>
      </c>
    </row>
    <row r="621" spans="1:13" x14ac:dyDescent="0.25">
      <c r="A621">
        <v>2110030001</v>
      </c>
      <c r="B621" t="s">
        <v>1142</v>
      </c>
      <c r="C621">
        <v>2310160007</v>
      </c>
      <c r="D621" t="s">
        <v>2361</v>
      </c>
      <c r="E621">
        <v>2410090171</v>
      </c>
      <c r="F621" t="s">
        <v>3235</v>
      </c>
      <c r="G621" t="s">
        <v>36</v>
      </c>
      <c r="H621">
        <v>2.9567000000000001</v>
      </c>
      <c r="I621">
        <v>2</v>
      </c>
      <c r="J621">
        <v>8000</v>
      </c>
      <c r="K621">
        <f>+VLOOKUP(E621,Costos!$A$1:$I$7161,9,FALSE)</f>
        <v>11.097735999999999</v>
      </c>
      <c r="L621" t="str">
        <f t="shared" si="20"/>
        <v>241</v>
      </c>
      <c r="M621" t="str">
        <f t="shared" si="21"/>
        <v>241009</v>
      </c>
    </row>
    <row r="622" spans="1:13" x14ac:dyDescent="0.25">
      <c r="A622">
        <v>2110030001</v>
      </c>
      <c r="B622" t="s">
        <v>1142</v>
      </c>
      <c r="C622">
        <v>2310160007</v>
      </c>
      <c r="D622" t="s">
        <v>2361</v>
      </c>
      <c r="E622">
        <v>2410290624</v>
      </c>
      <c r="F622" t="s">
        <v>91</v>
      </c>
      <c r="G622" t="s">
        <v>36</v>
      </c>
      <c r="H622">
        <v>184.79409999999999</v>
      </c>
      <c r="I622">
        <v>2</v>
      </c>
      <c r="J622">
        <v>8000</v>
      </c>
      <c r="K622">
        <f>+VLOOKUP(E622,Costos!$A$1:$I$7161,9,FALSE)</f>
        <v>4.3038160000000003</v>
      </c>
      <c r="L622" t="str">
        <f t="shared" si="20"/>
        <v>241</v>
      </c>
      <c r="M622" t="str">
        <f t="shared" si="21"/>
        <v>241029</v>
      </c>
    </row>
    <row r="623" spans="1:13" x14ac:dyDescent="0.25">
      <c r="A623">
        <v>2110030001</v>
      </c>
      <c r="B623" t="s">
        <v>1142</v>
      </c>
      <c r="C623">
        <v>2110030001</v>
      </c>
      <c r="D623" t="s">
        <v>1142</v>
      </c>
      <c r="E623">
        <v>2310230002</v>
      </c>
      <c r="F623" t="s">
        <v>2611</v>
      </c>
      <c r="G623" t="s">
        <v>230</v>
      </c>
      <c r="H623">
        <v>56000</v>
      </c>
      <c r="I623">
        <v>1</v>
      </c>
      <c r="J623">
        <v>8000</v>
      </c>
      <c r="K623">
        <f>+VLOOKUP(E623,Costos!$A$1:$I$7161,9,FALSE)</f>
        <v>3.1022999999999998E-2</v>
      </c>
      <c r="L623" t="str">
        <f t="shared" si="20"/>
        <v>231</v>
      </c>
      <c r="M623" t="str">
        <f t="shared" si="21"/>
        <v>231023</v>
      </c>
    </row>
    <row r="624" spans="1:13" x14ac:dyDescent="0.25">
      <c r="A624">
        <v>2110030001</v>
      </c>
      <c r="B624" t="s">
        <v>1142</v>
      </c>
      <c r="C624">
        <v>2310230002</v>
      </c>
      <c r="D624" t="s">
        <v>2611</v>
      </c>
      <c r="E624">
        <v>2410290575</v>
      </c>
      <c r="F624" t="s">
        <v>3422</v>
      </c>
      <c r="G624" t="s">
        <v>36</v>
      </c>
      <c r="H624">
        <v>324.8</v>
      </c>
      <c r="I624">
        <v>2</v>
      </c>
      <c r="J624">
        <v>8000</v>
      </c>
      <c r="K624">
        <f>+VLOOKUP(E624,Costos!$A$1:$I$7161,9,FALSE)</f>
        <v>4.782578</v>
      </c>
      <c r="L624" t="str">
        <f t="shared" si="20"/>
        <v>241</v>
      </c>
      <c r="M624" t="str">
        <f t="shared" si="21"/>
        <v>241029</v>
      </c>
    </row>
    <row r="625" spans="1:13" x14ac:dyDescent="0.25">
      <c r="A625">
        <v>2110030001</v>
      </c>
      <c r="B625" t="s">
        <v>1142</v>
      </c>
      <c r="C625">
        <v>2110030001</v>
      </c>
      <c r="D625" t="s">
        <v>1142</v>
      </c>
      <c r="E625">
        <v>2410290111</v>
      </c>
      <c r="F625" t="s">
        <v>3392</v>
      </c>
      <c r="G625" t="s">
        <v>230</v>
      </c>
      <c r="H625">
        <v>8000</v>
      </c>
      <c r="I625">
        <v>1</v>
      </c>
      <c r="J625">
        <v>8000</v>
      </c>
      <c r="K625">
        <f>+VLOOKUP(E625,Costos!$A$1:$I$7161,9,FALSE)</f>
        <v>0.10156900000000001</v>
      </c>
      <c r="L625" t="str">
        <f t="shared" si="20"/>
        <v>241</v>
      </c>
      <c r="M625" t="str">
        <f t="shared" si="21"/>
        <v>241029</v>
      </c>
    </row>
    <row r="626" spans="1:13" x14ac:dyDescent="0.25">
      <c r="A626">
        <v>2110030001</v>
      </c>
      <c r="B626" t="s">
        <v>1142</v>
      </c>
      <c r="C626">
        <v>2110030001</v>
      </c>
      <c r="D626" t="s">
        <v>1142</v>
      </c>
      <c r="E626">
        <v>2410100014</v>
      </c>
      <c r="F626" t="s">
        <v>3270</v>
      </c>
      <c r="G626" t="s">
        <v>230</v>
      </c>
      <c r="H626">
        <v>8000</v>
      </c>
      <c r="I626">
        <v>1</v>
      </c>
      <c r="J626">
        <v>8000</v>
      </c>
      <c r="K626">
        <f>+VLOOKUP(E626,Costos!$A$1:$I$7161,9,FALSE)</f>
        <v>6.1440000000000002E-2</v>
      </c>
      <c r="L626" t="str">
        <f t="shared" si="20"/>
        <v>241</v>
      </c>
      <c r="M626" t="str">
        <f t="shared" si="21"/>
        <v>241010</v>
      </c>
    </row>
    <row r="627" spans="1:13" x14ac:dyDescent="0.25">
      <c r="A627">
        <v>2110030001</v>
      </c>
      <c r="B627" t="s">
        <v>1142</v>
      </c>
      <c r="C627">
        <v>2110030001</v>
      </c>
      <c r="D627" t="s">
        <v>1142</v>
      </c>
      <c r="E627">
        <v>2320050052</v>
      </c>
      <c r="F627" t="s">
        <v>2765</v>
      </c>
      <c r="G627" t="s">
        <v>230</v>
      </c>
      <c r="H627">
        <v>8000</v>
      </c>
      <c r="I627">
        <v>1</v>
      </c>
      <c r="J627">
        <v>8000</v>
      </c>
      <c r="K627">
        <f>+VLOOKUP(E627,Costos!$A$1:$I$7161,9,FALSE)</f>
        <v>0.16999800000000001</v>
      </c>
      <c r="L627" t="str">
        <f t="shared" si="20"/>
        <v>232</v>
      </c>
      <c r="M627" t="str">
        <f t="shared" si="21"/>
        <v>232005</v>
      </c>
    </row>
    <row r="628" spans="1:13" x14ac:dyDescent="0.25">
      <c r="A628">
        <v>2110030001</v>
      </c>
      <c r="B628" t="s">
        <v>1142</v>
      </c>
      <c r="C628">
        <v>2110030001</v>
      </c>
      <c r="D628" t="s">
        <v>1142</v>
      </c>
      <c r="E628">
        <v>2500030223</v>
      </c>
      <c r="F628" t="s">
        <v>3775</v>
      </c>
      <c r="G628" t="s">
        <v>230</v>
      </c>
      <c r="H628">
        <v>133.6</v>
      </c>
      <c r="I628">
        <v>1</v>
      </c>
      <c r="J628">
        <v>8000</v>
      </c>
      <c r="K628">
        <f>+VLOOKUP(E628,Costos!$A$1:$I$7161,9,FALSE)</f>
        <v>1.9941409999999999</v>
      </c>
      <c r="L628" t="str">
        <f t="shared" si="20"/>
        <v>250</v>
      </c>
      <c r="M628" t="str">
        <f t="shared" si="21"/>
        <v>250003</v>
      </c>
    </row>
    <row r="629" spans="1:13" x14ac:dyDescent="0.25">
      <c r="A629">
        <v>2110030001</v>
      </c>
      <c r="B629" t="s">
        <v>1142</v>
      </c>
      <c r="C629">
        <v>2110030001</v>
      </c>
      <c r="D629" t="s">
        <v>1142</v>
      </c>
      <c r="E629">
        <v>2310030016</v>
      </c>
      <c r="F629" t="s">
        <v>2155</v>
      </c>
      <c r="G629" t="s">
        <v>230</v>
      </c>
      <c r="H629">
        <v>280</v>
      </c>
      <c r="I629">
        <v>1</v>
      </c>
      <c r="J629">
        <v>8000</v>
      </c>
      <c r="K629">
        <f>+VLOOKUP(E629,Costos!$A$1:$I$7161,9,FALSE)</f>
        <v>2.1651220000000002</v>
      </c>
      <c r="L629" t="str">
        <f t="shared" si="20"/>
        <v>231</v>
      </c>
      <c r="M629" t="str">
        <f t="shared" si="21"/>
        <v>231003</v>
      </c>
    </row>
    <row r="630" spans="1:13" x14ac:dyDescent="0.25">
      <c r="A630">
        <v>2110030001</v>
      </c>
      <c r="B630" t="s">
        <v>1142</v>
      </c>
      <c r="C630">
        <v>2310030016</v>
      </c>
      <c r="D630" t="s">
        <v>2155</v>
      </c>
      <c r="E630">
        <v>2410220004</v>
      </c>
      <c r="F630" t="s">
        <v>3371</v>
      </c>
      <c r="G630" t="s">
        <v>89</v>
      </c>
      <c r="H630">
        <v>8.6199999999999999E-2</v>
      </c>
      <c r="I630">
        <v>2</v>
      </c>
      <c r="J630">
        <v>8000</v>
      </c>
      <c r="K630">
        <f>+VLOOKUP(E630,Costos!$A$1:$I$7161,9,FALSE)</f>
        <v>144.33490800000001</v>
      </c>
      <c r="L630" t="str">
        <f t="shared" si="20"/>
        <v>241</v>
      </c>
      <c r="M630" t="str">
        <f t="shared" si="21"/>
        <v>241022</v>
      </c>
    </row>
    <row r="631" spans="1:13" x14ac:dyDescent="0.25">
      <c r="A631">
        <v>2110030001</v>
      </c>
      <c r="B631" t="s">
        <v>1142</v>
      </c>
      <c r="C631">
        <v>2310030016</v>
      </c>
      <c r="D631" t="s">
        <v>2155</v>
      </c>
      <c r="E631">
        <v>2430850012</v>
      </c>
      <c r="F631" t="s">
        <v>3695</v>
      </c>
      <c r="G631" t="s">
        <v>89</v>
      </c>
      <c r="H631">
        <v>0.34470000000000001</v>
      </c>
      <c r="I631">
        <v>2</v>
      </c>
      <c r="J631">
        <v>8000</v>
      </c>
      <c r="K631">
        <f>+VLOOKUP(E631,Costos!$A$1:$I$7161,9,FALSE)</f>
        <v>13.272031</v>
      </c>
      <c r="L631" t="str">
        <f t="shared" si="20"/>
        <v>243</v>
      </c>
      <c r="M631" t="str">
        <f t="shared" si="21"/>
        <v>243085</v>
      </c>
    </row>
    <row r="632" spans="1:13" x14ac:dyDescent="0.25">
      <c r="A632">
        <v>2110030001</v>
      </c>
      <c r="B632" t="s">
        <v>1142</v>
      </c>
      <c r="C632">
        <v>2310030016</v>
      </c>
      <c r="D632" t="s">
        <v>2155</v>
      </c>
      <c r="E632">
        <v>2430850013</v>
      </c>
      <c r="F632" t="s">
        <v>3696</v>
      </c>
      <c r="G632" t="s">
        <v>89</v>
      </c>
      <c r="H632">
        <v>0.9476</v>
      </c>
      <c r="I632">
        <v>2</v>
      </c>
      <c r="J632">
        <v>8000</v>
      </c>
      <c r="K632">
        <f>+VLOOKUP(E632,Costos!$A$1:$I$7161,9,FALSE)</f>
        <v>5.3988800000000001</v>
      </c>
      <c r="L632" t="str">
        <f t="shared" si="20"/>
        <v>243</v>
      </c>
      <c r="M632" t="str">
        <f t="shared" si="21"/>
        <v>243085</v>
      </c>
    </row>
    <row r="633" spans="1:13" x14ac:dyDescent="0.25">
      <c r="A633">
        <v>2110030001</v>
      </c>
      <c r="B633" t="s">
        <v>1142</v>
      </c>
      <c r="C633">
        <v>2310030016</v>
      </c>
      <c r="D633" t="s">
        <v>2155</v>
      </c>
      <c r="E633">
        <v>2410210019</v>
      </c>
      <c r="F633" t="s">
        <v>113</v>
      </c>
      <c r="G633" t="s">
        <v>89</v>
      </c>
      <c r="H633">
        <v>0.76249999999999996</v>
      </c>
      <c r="I633">
        <v>2</v>
      </c>
      <c r="J633">
        <v>8000</v>
      </c>
      <c r="K633">
        <f>+VLOOKUP(E633,Costos!$A$1:$I$7161,9,FALSE)</f>
        <v>7.5043049999999996</v>
      </c>
      <c r="L633" t="str">
        <f t="shared" si="20"/>
        <v>241</v>
      </c>
      <c r="M633" t="str">
        <f t="shared" si="21"/>
        <v>241021</v>
      </c>
    </row>
    <row r="634" spans="1:13" x14ac:dyDescent="0.25">
      <c r="A634">
        <v>2110030001</v>
      </c>
      <c r="B634" t="s">
        <v>1142</v>
      </c>
      <c r="C634">
        <v>2310030016</v>
      </c>
      <c r="D634" t="s">
        <v>2155</v>
      </c>
      <c r="E634">
        <v>2430880022</v>
      </c>
      <c r="F634" t="s">
        <v>115</v>
      </c>
      <c r="G634" t="s">
        <v>89</v>
      </c>
      <c r="H634">
        <v>1.6463000000000001</v>
      </c>
      <c r="I634">
        <v>2</v>
      </c>
      <c r="J634">
        <v>8000</v>
      </c>
      <c r="K634">
        <f>+VLOOKUP(E634,Costos!$A$1:$I$7161,9,FALSE)</f>
        <v>5.3984490000000003</v>
      </c>
      <c r="L634" t="str">
        <f t="shared" si="20"/>
        <v>243</v>
      </c>
      <c r="M634" t="str">
        <f t="shared" si="21"/>
        <v>243088</v>
      </c>
    </row>
    <row r="635" spans="1:13" x14ac:dyDescent="0.25">
      <c r="A635">
        <v>2110030001</v>
      </c>
      <c r="B635" t="s">
        <v>1142</v>
      </c>
      <c r="C635">
        <v>2310030016</v>
      </c>
      <c r="D635" t="s">
        <v>2155</v>
      </c>
      <c r="E635">
        <v>2430530010</v>
      </c>
      <c r="F635" t="s">
        <v>3634</v>
      </c>
      <c r="G635" t="s">
        <v>89</v>
      </c>
      <c r="H635">
        <v>90.892399999999995</v>
      </c>
      <c r="I635">
        <v>2</v>
      </c>
      <c r="J635">
        <v>8000</v>
      </c>
      <c r="K635">
        <f>+VLOOKUP(E635,Costos!$A$1:$I$7161,9,FALSE)</f>
        <v>0.66962999999999995</v>
      </c>
      <c r="L635" t="str">
        <f t="shared" si="20"/>
        <v>243</v>
      </c>
      <c r="M635" t="str">
        <f t="shared" si="21"/>
        <v>243053</v>
      </c>
    </row>
    <row r="636" spans="1:13" x14ac:dyDescent="0.25">
      <c r="A636">
        <v>2110030001</v>
      </c>
      <c r="B636" t="s">
        <v>1142</v>
      </c>
      <c r="C636">
        <v>2310030016</v>
      </c>
      <c r="D636" t="s">
        <v>2155</v>
      </c>
      <c r="E636">
        <v>2430620001</v>
      </c>
      <c r="F636" t="s">
        <v>3647</v>
      </c>
      <c r="G636" t="s">
        <v>89</v>
      </c>
      <c r="H636">
        <v>4.7815000000000003</v>
      </c>
      <c r="I636">
        <v>2</v>
      </c>
      <c r="J636">
        <v>8000</v>
      </c>
      <c r="K636">
        <f>+VLOOKUP(E636,Costos!$A$1:$I$7161,9,FALSE)</f>
        <v>33.819716999999997</v>
      </c>
      <c r="L636" t="str">
        <f t="shared" si="20"/>
        <v>243</v>
      </c>
      <c r="M636" t="str">
        <f t="shared" si="21"/>
        <v>243062</v>
      </c>
    </row>
    <row r="637" spans="1:13" x14ac:dyDescent="0.25">
      <c r="A637">
        <v>2110030001</v>
      </c>
      <c r="B637" t="s">
        <v>1142</v>
      </c>
      <c r="C637">
        <v>2310030016</v>
      </c>
      <c r="D637" t="s">
        <v>2155</v>
      </c>
      <c r="E637">
        <v>2430350001</v>
      </c>
      <c r="F637" t="s">
        <v>4877</v>
      </c>
      <c r="G637" t="s">
        <v>89</v>
      </c>
      <c r="H637">
        <v>1.2665</v>
      </c>
      <c r="I637">
        <v>2</v>
      </c>
      <c r="J637">
        <v>8000</v>
      </c>
      <c r="K637">
        <f>+VLOOKUP(E637,Costos!$A$1:$I$7161,9,FALSE)</f>
        <v>8.0727779999999996</v>
      </c>
      <c r="L637" t="str">
        <f t="shared" si="20"/>
        <v>243</v>
      </c>
      <c r="M637" t="str">
        <f t="shared" si="21"/>
        <v>243035</v>
      </c>
    </row>
    <row r="638" spans="1:13" x14ac:dyDescent="0.25">
      <c r="A638">
        <v>2110030001</v>
      </c>
      <c r="B638" t="s">
        <v>1142</v>
      </c>
      <c r="C638">
        <v>2310030016</v>
      </c>
      <c r="D638" t="s">
        <v>2155</v>
      </c>
      <c r="E638">
        <v>2430450001</v>
      </c>
      <c r="F638" t="s">
        <v>93</v>
      </c>
      <c r="G638" t="s">
        <v>89</v>
      </c>
      <c r="H638">
        <v>3.36</v>
      </c>
      <c r="I638">
        <v>2</v>
      </c>
      <c r="J638">
        <v>8000</v>
      </c>
      <c r="K638">
        <f>+VLOOKUP(E638,Costos!$A$1:$I$7161,9,FALSE)</f>
        <v>5.0953559999999998</v>
      </c>
      <c r="L638" t="str">
        <f t="shared" si="20"/>
        <v>243</v>
      </c>
      <c r="M638" t="str">
        <f t="shared" si="21"/>
        <v>243045</v>
      </c>
    </row>
    <row r="639" spans="1:13" x14ac:dyDescent="0.25">
      <c r="A639">
        <v>2110030001</v>
      </c>
      <c r="B639" t="s">
        <v>1142</v>
      </c>
      <c r="C639">
        <v>2310030016</v>
      </c>
      <c r="D639" t="s">
        <v>2155</v>
      </c>
      <c r="E639">
        <v>2430390013</v>
      </c>
      <c r="F639" t="s">
        <v>3624</v>
      </c>
      <c r="G639" t="s">
        <v>89</v>
      </c>
      <c r="H639">
        <v>2.5171999999999999</v>
      </c>
      <c r="I639">
        <v>2</v>
      </c>
      <c r="J639">
        <v>8000</v>
      </c>
      <c r="K639">
        <f>+VLOOKUP(E639,Costos!$A$1:$I$7161,9,FALSE)</f>
        <v>26.576163999999999</v>
      </c>
      <c r="L639" t="str">
        <f t="shared" si="20"/>
        <v>243</v>
      </c>
      <c r="M639" t="str">
        <f t="shared" si="21"/>
        <v>243039</v>
      </c>
    </row>
    <row r="640" spans="1:13" x14ac:dyDescent="0.25">
      <c r="A640">
        <v>2110030001</v>
      </c>
      <c r="B640" t="s">
        <v>1142</v>
      </c>
      <c r="C640">
        <v>2310030016</v>
      </c>
      <c r="D640" t="s">
        <v>2155</v>
      </c>
      <c r="E640">
        <v>2310030273</v>
      </c>
      <c r="F640" t="s">
        <v>2181</v>
      </c>
      <c r="G640" t="s">
        <v>89</v>
      </c>
      <c r="H640">
        <v>8.3956</v>
      </c>
      <c r="I640">
        <v>2</v>
      </c>
      <c r="J640">
        <v>8000</v>
      </c>
      <c r="K640">
        <f>+VLOOKUP(E640,Costos!$A$1:$I$7161,9,FALSE)</f>
        <v>3.6945239999999999</v>
      </c>
      <c r="L640" t="str">
        <f t="shared" si="20"/>
        <v>231</v>
      </c>
      <c r="M640" t="str">
        <f t="shared" si="21"/>
        <v>231003</v>
      </c>
    </row>
    <row r="641" spans="1:13" x14ac:dyDescent="0.25">
      <c r="A641">
        <v>2110030001</v>
      </c>
      <c r="B641" t="s">
        <v>1142</v>
      </c>
      <c r="C641">
        <v>2310030273</v>
      </c>
      <c r="D641" t="s">
        <v>2181</v>
      </c>
      <c r="E641">
        <v>2410290596</v>
      </c>
      <c r="F641" t="s">
        <v>3426</v>
      </c>
      <c r="G641" t="s">
        <v>89</v>
      </c>
      <c r="H641">
        <v>0.82410000000000005</v>
      </c>
      <c r="I641">
        <v>3</v>
      </c>
      <c r="J641">
        <v>8000</v>
      </c>
      <c r="K641">
        <f>+VLOOKUP(E641,Costos!$A$1:$I$7161,9,FALSE)</f>
        <v>5.2137989999999999</v>
      </c>
      <c r="L641" t="str">
        <f t="shared" si="20"/>
        <v>241</v>
      </c>
      <c r="M641" t="str">
        <f t="shared" si="21"/>
        <v>241029</v>
      </c>
    </row>
    <row r="642" spans="1:13" x14ac:dyDescent="0.25">
      <c r="A642">
        <v>2110030001</v>
      </c>
      <c r="B642" t="s">
        <v>1142</v>
      </c>
      <c r="C642">
        <v>2310030273</v>
      </c>
      <c r="D642" t="s">
        <v>2181</v>
      </c>
      <c r="E642">
        <v>2430850012</v>
      </c>
      <c r="F642" t="s">
        <v>3695</v>
      </c>
      <c r="G642" t="s">
        <v>89</v>
      </c>
      <c r="H642">
        <v>9.1999999999999998E-3</v>
      </c>
      <c r="I642">
        <v>3</v>
      </c>
      <c r="J642">
        <v>8000</v>
      </c>
      <c r="K642">
        <f>+VLOOKUP(E642,Costos!$A$1:$I$7161,9,FALSE)</f>
        <v>13.272031</v>
      </c>
      <c r="L642" t="str">
        <f t="shared" si="20"/>
        <v>243</v>
      </c>
      <c r="M642" t="str">
        <f t="shared" si="21"/>
        <v>243085</v>
      </c>
    </row>
    <row r="643" spans="1:13" x14ac:dyDescent="0.25">
      <c r="A643">
        <v>2110030001</v>
      </c>
      <c r="B643" t="s">
        <v>1142</v>
      </c>
      <c r="C643">
        <v>2310030273</v>
      </c>
      <c r="D643" t="s">
        <v>2181</v>
      </c>
      <c r="E643">
        <v>2410210019</v>
      </c>
      <c r="F643" t="s">
        <v>113</v>
      </c>
      <c r="G643" t="s">
        <v>89</v>
      </c>
      <c r="H643">
        <v>7.3300000000000004E-2</v>
      </c>
      <c r="I643">
        <v>3</v>
      </c>
      <c r="J643">
        <v>8000</v>
      </c>
      <c r="K643">
        <f>+VLOOKUP(E643,Costos!$A$1:$I$7161,9,FALSE)</f>
        <v>7.5043049999999996</v>
      </c>
      <c r="L643" t="str">
        <f t="shared" si="20"/>
        <v>241</v>
      </c>
      <c r="M643" t="str">
        <f t="shared" si="21"/>
        <v>241021</v>
      </c>
    </row>
    <row r="644" spans="1:13" x14ac:dyDescent="0.25">
      <c r="A644">
        <v>2110030001</v>
      </c>
      <c r="B644" t="s">
        <v>1142</v>
      </c>
      <c r="C644">
        <v>2310030273</v>
      </c>
      <c r="D644" t="s">
        <v>2181</v>
      </c>
      <c r="E644">
        <v>2430950002</v>
      </c>
      <c r="F644" t="s">
        <v>3724</v>
      </c>
      <c r="G644" t="s">
        <v>89</v>
      </c>
      <c r="H644">
        <v>5.4899999999999997E-2</v>
      </c>
      <c r="I644">
        <v>3</v>
      </c>
      <c r="J644">
        <v>8000</v>
      </c>
      <c r="K644">
        <f>+VLOOKUP(E644,Costos!$A$1:$I$7161,9,FALSE)</f>
        <v>17.015674000000001</v>
      </c>
      <c r="L644" t="str">
        <f t="shared" si="20"/>
        <v>243</v>
      </c>
      <c r="M644" t="str">
        <f t="shared" si="21"/>
        <v>243095</v>
      </c>
    </row>
    <row r="645" spans="1:13" x14ac:dyDescent="0.25">
      <c r="A645">
        <v>2110030001</v>
      </c>
      <c r="B645" t="s">
        <v>1142</v>
      </c>
      <c r="C645">
        <v>2310030273</v>
      </c>
      <c r="D645" t="s">
        <v>2181</v>
      </c>
      <c r="E645">
        <v>2410290518</v>
      </c>
      <c r="F645" t="s">
        <v>3410</v>
      </c>
      <c r="G645" t="s">
        <v>89</v>
      </c>
      <c r="H645">
        <v>1.1900000000000001E-2</v>
      </c>
      <c r="I645">
        <v>3</v>
      </c>
      <c r="J645">
        <v>8000</v>
      </c>
      <c r="K645">
        <f>+VLOOKUP(E645,Costos!$A$1:$I$7161,9,FALSE)</f>
        <v>4.220154</v>
      </c>
      <c r="L645" t="str">
        <f t="shared" si="20"/>
        <v>241</v>
      </c>
      <c r="M645" t="str">
        <f t="shared" si="21"/>
        <v>241029</v>
      </c>
    </row>
    <row r="646" spans="1:13" x14ac:dyDescent="0.25">
      <c r="A646">
        <v>2110030001</v>
      </c>
      <c r="B646" t="s">
        <v>1142</v>
      </c>
      <c r="C646">
        <v>2310030273</v>
      </c>
      <c r="D646" t="s">
        <v>2181</v>
      </c>
      <c r="E646">
        <v>2430880022</v>
      </c>
      <c r="F646" t="s">
        <v>115</v>
      </c>
      <c r="G646" t="s">
        <v>89</v>
      </c>
      <c r="H646">
        <v>2.52E-2</v>
      </c>
      <c r="I646">
        <v>3</v>
      </c>
      <c r="J646">
        <v>8000</v>
      </c>
      <c r="K646">
        <f>+VLOOKUP(E646,Costos!$A$1:$I$7161,9,FALSE)</f>
        <v>5.3984490000000003</v>
      </c>
      <c r="L646" t="str">
        <f t="shared" ref="L646:L709" si="22">+LEFT(E646,3)</f>
        <v>243</v>
      </c>
      <c r="M646" t="str">
        <f t="shared" ref="M646:M709" si="23">+LEFT(E646,6)</f>
        <v>243088</v>
      </c>
    </row>
    <row r="647" spans="1:13" x14ac:dyDescent="0.25">
      <c r="A647">
        <v>2110030001</v>
      </c>
      <c r="B647" t="s">
        <v>1142</v>
      </c>
      <c r="C647">
        <v>2310030273</v>
      </c>
      <c r="D647" t="s">
        <v>2181</v>
      </c>
      <c r="E647">
        <v>2410290827</v>
      </c>
      <c r="F647" t="s">
        <v>3524</v>
      </c>
      <c r="G647" t="s">
        <v>89</v>
      </c>
      <c r="H647">
        <v>0.1145</v>
      </c>
      <c r="I647">
        <v>3</v>
      </c>
      <c r="J647">
        <v>8000</v>
      </c>
      <c r="K647">
        <f>+VLOOKUP(E647,Costos!$A$1:$I$7161,9,FALSE)</f>
        <v>8.7861949999999993</v>
      </c>
      <c r="L647" t="str">
        <f t="shared" si="22"/>
        <v>241</v>
      </c>
      <c r="M647" t="str">
        <f t="shared" si="23"/>
        <v>241029</v>
      </c>
    </row>
    <row r="648" spans="1:13" x14ac:dyDescent="0.25">
      <c r="A648">
        <v>2110030001</v>
      </c>
      <c r="B648" t="s">
        <v>1142</v>
      </c>
      <c r="C648">
        <v>2310030273</v>
      </c>
      <c r="D648" t="s">
        <v>2181</v>
      </c>
      <c r="E648">
        <v>2430390013</v>
      </c>
      <c r="F648" t="s">
        <v>3624</v>
      </c>
      <c r="G648" t="s">
        <v>89</v>
      </c>
      <c r="H648">
        <v>4.58E-2</v>
      </c>
      <c r="I648">
        <v>3</v>
      </c>
      <c r="J648">
        <v>8000</v>
      </c>
      <c r="K648">
        <f>+VLOOKUP(E648,Costos!$A$1:$I$7161,9,FALSE)</f>
        <v>26.576163999999999</v>
      </c>
      <c r="L648" t="str">
        <f t="shared" si="22"/>
        <v>243</v>
      </c>
      <c r="M648" t="str">
        <f t="shared" si="23"/>
        <v>243039</v>
      </c>
    </row>
    <row r="649" spans="1:13" x14ac:dyDescent="0.25">
      <c r="A649">
        <v>2110030001</v>
      </c>
      <c r="B649" t="s">
        <v>1142</v>
      </c>
      <c r="C649">
        <v>2310030273</v>
      </c>
      <c r="D649" t="s">
        <v>2181</v>
      </c>
      <c r="E649">
        <v>2430850037</v>
      </c>
      <c r="F649" t="s">
        <v>3702</v>
      </c>
      <c r="G649" t="s">
        <v>89</v>
      </c>
      <c r="H649">
        <v>7.3300000000000004E-2</v>
      </c>
      <c r="I649">
        <v>3</v>
      </c>
      <c r="J649">
        <v>8000</v>
      </c>
      <c r="K649">
        <f>+VLOOKUP(E649,Costos!$A$1:$I$7161,9,FALSE)</f>
        <v>5.186795</v>
      </c>
      <c r="L649" t="str">
        <f t="shared" si="22"/>
        <v>243</v>
      </c>
      <c r="M649" t="str">
        <f t="shared" si="23"/>
        <v>243085</v>
      </c>
    </row>
    <row r="650" spans="1:13" x14ac:dyDescent="0.25">
      <c r="A650">
        <v>2110030001</v>
      </c>
      <c r="B650" t="s">
        <v>1142</v>
      </c>
      <c r="C650">
        <v>2310030273</v>
      </c>
      <c r="D650" t="s">
        <v>2181</v>
      </c>
      <c r="E650">
        <v>2410290516</v>
      </c>
      <c r="F650" t="s">
        <v>3408</v>
      </c>
      <c r="G650" t="s">
        <v>89</v>
      </c>
      <c r="H650">
        <v>3.4794999999999998</v>
      </c>
      <c r="I650">
        <v>3</v>
      </c>
      <c r="J650">
        <v>8000</v>
      </c>
      <c r="K650">
        <f>+VLOOKUP(E650,Costos!$A$1:$I$7161,9,FALSE)</f>
        <v>4.2173800000000004</v>
      </c>
      <c r="L650" t="str">
        <f t="shared" si="22"/>
        <v>241</v>
      </c>
      <c r="M650" t="str">
        <f t="shared" si="23"/>
        <v>241029</v>
      </c>
    </row>
    <row r="651" spans="1:13" x14ac:dyDescent="0.25">
      <c r="A651">
        <v>2110030001</v>
      </c>
      <c r="B651" t="s">
        <v>1142</v>
      </c>
      <c r="C651">
        <v>2310030273</v>
      </c>
      <c r="D651" t="s">
        <v>2181</v>
      </c>
      <c r="E651">
        <v>2410290517</v>
      </c>
      <c r="F651" t="s">
        <v>3409</v>
      </c>
      <c r="G651" t="s">
        <v>89</v>
      </c>
      <c r="H651">
        <v>8.6999999999999994E-3</v>
      </c>
      <c r="I651">
        <v>3</v>
      </c>
      <c r="J651">
        <v>8000</v>
      </c>
      <c r="K651">
        <f>+VLOOKUP(E651,Costos!$A$1:$I$7161,9,FALSE)</f>
        <v>5.2654350000000001</v>
      </c>
      <c r="L651" t="str">
        <f t="shared" si="22"/>
        <v>241</v>
      </c>
      <c r="M651" t="str">
        <f t="shared" si="23"/>
        <v>241029</v>
      </c>
    </row>
    <row r="652" spans="1:13" x14ac:dyDescent="0.25">
      <c r="A652">
        <v>2110030001</v>
      </c>
      <c r="B652" t="s">
        <v>1142</v>
      </c>
      <c r="C652">
        <v>2310030273</v>
      </c>
      <c r="D652" t="s">
        <v>2181</v>
      </c>
      <c r="E652">
        <v>2410210003</v>
      </c>
      <c r="F652" t="s">
        <v>95</v>
      </c>
      <c r="G652" t="s">
        <v>89</v>
      </c>
      <c r="H652">
        <v>6.8699999999999997E-2</v>
      </c>
      <c r="I652">
        <v>3</v>
      </c>
      <c r="J652">
        <v>8000</v>
      </c>
      <c r="K652">
        <f>+VLOOKUP(E652,Costos!$A$1:$I$7161,9,FALSE)</f>
        <v>5.0519999999999996</v>
      </c>
      <c r="L652" t="str">
        <f t="shared" si="22"/>
        <v>241</v>
      </c>
      <c r="M652" t="str">
        <f t="shared" si="23"/>
        <v>241021</v>
      </c>
    </row>
    <row r="653" spans="1:13" x14ac:dyDescent="0.25">
      <c r="A653">
        <v>2110030001</v>
      </c>
      <c r="B653" t="s">
        <v>1142</v>
      </c>
      <c r="C653">
        <v>2310030016</v>
      </c>
      <c r="D653" t="s">
        <v>2155</v>
      </c>
      <c r="E653">
        <v>2430600005</v>
      </c>
      <c r="F653" t="s">
        <v>3644</v>
      </c>
      <c r="G653" t="s">
        <v>89</v>
      </c>
      <c r="H653">
        <v>0.21529999999999999</v>
      </c>
      <c r="I653">
        <v>2</v>
      </c>
      <c r="J653">
        <v>8000</v>
      </c>
      <c r="K653">
        <f>+VLOOKUP(E653,Costos!$A$1:$I$7161,9,FALSE)</f>
        <v>6.0274340000000004</v>
      </c>
      <c r="L653" t="str">
        <f t="shared" si="22"/>
        <v>243</v>
      </c>
      <c r="M653" t="str">
        <f t="shared" si="23"/>
        <v>243060</v>
      </c>
    </row>
    <row r="654" spans="1:13" x14ac:dyDescent="0.25">
      <c r="A654">
        <v>2110030001</v>
      </c>
      <c r="B654" t="s">
        <v>1142</v>
      </c>
      <c r="C654">
        <v>2310030016</v>
      </c>
      <c r="D654" t="s">
        <v>2155</v>
      </c>
      <c r="E654">
        <v>2410210003</v>
      </c>
      <c r="F654" t="s">
        <v>95</v>
      </c>
      <c r="G654" t="s">
        <v>89</v>
      </c>
      <c r="H654">
        <v>5.1691000000000003</v>
      </c>
      <c r="I654">
        <v>2</v>
      </c>
      <c r="J654">
        <v>8000</v>
      </c>
      <c r="K654">
        <f>+VLOOKUP(E654,Costos!$A$1:$I$7161,9,FALSE)</f>
        <v>5.0519999999999996</v>
      </c>
      <c r="L654" t="str">
        <f t="shared" si="22"/>
        <v>241</v>
      </c>
      <c r="M654" t="str">
        <f t="shared" si="23"/>
        <v>241021</v>
      </c>
    </row>
    <row r="655" spans="1:13" x14ac:dyDescent="0.25">
      <c r="A655">
        <v>2110030001</v>
      </c>
      <c r="B655" t="s">
        <v>1142</v>
      </c>
      <c r="C655">
        <v>2310030016</v>
      </c>
      <c r="D655" t="s">
        <v>2155</v>
      </c>
      <c r="E655">
        <v>2430810004</v>
      </c>
      <c r="F655" t="s">
        <v>3687</v>
      </c>
      <c r="G655" t="s">
        <v>89</v>
      </c>
      <c r="H655">
        <v>0.62219999999999998</v>
      </c>
      <c r="I655">
        <v>2</v>
      </c>
      <c r="J655">
        <v>8000</v>
      </c>
      <c r="K655">
        <f>+VLOOKUP(E655,Costos!$A$1:$I$7161,9,FALSE)</f>
        <v>5.5637780000000001</v>
      </c>
      <c r="L655" t="str">
        <f t="shared" si="22"/>
        <v>243</v>
      </c>
      <c r="M655" t="str">
        <f t="shared" si="23"/>
        <v>243081</v>
      </c>
    </row>
    <row r="656" spans="1:13" x14ac:dyDescent="0.25">
      <c r="A656">
        <v>2110030001</v>
      </c>
      <c r="B656" t="s">
        <v>1142</v>
      </c>
      <c r="C656">
        <v>2310030016</v>
      </c>
      <c r="D656" t="s">
        <v>2155</v>
      </c>
      <c r="E656">
        <v>2430870004</v>
      </c>
      <c r="F656" t="s">
        <v>3707</v>
      </c>
      <c r="G656" t="s">
        <v>89</v>
      </c>
      <c r="H656">
        <v>0.14219999999999999</v>
      </c>
      <c r="I656">
        <v>2</v>
      </c>
      <c r="J656">
        <v>8000</v>
      </c>
      <c r="K656">
        <f>+VLOOKUP(E656,Costos!$A$1:$I$7161,9,FALSE)</f>
        <v>11.1012</v>
      </c>
      <c r="L656" t="str">
        <f t="shared" si="22"/>
        <v>243</v>
      </c>
      <c r="M656" t="str">
        <f t="shared" si="23"/>
        <v>243087</v>
      </c>
    </row>
    <row r="657" spans="1:13" x14ac:dyDescent="0.25">
      <c r="A657">
        <v>2110030001</v>
      </c>
      <c r="B657" t="s">
        <v>1142</v>
      </c>
      <c r="C657">
        <v>2110030001</v>
      </c>
      <c r="D657" t="s">
        <v>1142</v>
      </c>
      <c r="E657">
        <v>2310030019</v>
      </c>
      <c r="F657" t="s">
        <v>2158</v>
      </c>
      <c r="G657" t="s">
        <v>230</v>
      </c>
      <c r="H657">
        <v>280</v>
      </c>
      <c r="I657">
        <v>1</v>
      </c>
      <c r="J657">
        <v>8000</v>
      </c>
      <c r="K657">
        <f>+VLOOKUP(E657,Costos!$A$1:$I$7161,9,FALSE)</f>
        <v>2.1127959999999999</v>
      </c>
      <c r="L657" t="str">
        <f t="shared" si="22"/>
        <v>231</v>
      </c>
      <c r="M657" t="str">
        <f t="shared" si="23"/>
        <v>231003</v>
      </c>
    </row>
    <row r="658" spans="1:13" x14ac:dyDescent="0.25">
      <c r="A658">
        <v>2110030001</v>
      </c>
      <c r="B658" t="s">
        <v>1142</v>
      </c>
      <c r="C658">
        <v>2310030019</v>
      </c>
      <c r="D658" t="s">
        <v>2158</v>
      </c>
      <c r="E658">
        <v>2410220004</v>
      </c>
      <c r="F658" t="s">
        <v>3371</v>
      </c>
      <c r="G658" t="s">
        <v>89</v>
      </c>
      <c r="H658">
        <v>8.6199999999999999E-2</v>
      </c>
      <c r="I658">
        <v>2</v>
      </c>
      <c r="J658">
        <v>8000</v>
      </c>
      <c r="K658">
        <f>+VLOOKUP(E658,Costos!$A$1:$I$7161,9,FALSE)</f>
        <v>144.33490800000001</v>
      </c>
      <c r="L658" t="str">
        <f t="shared" si="22"/>
        <v>241</v>
      </c>
      <c r="M658" t="str">
        <f t="shared" si="23"/>
        <v>241022</v>
      </c>
    </row>
    <row r="659" spans="1:13" x14ac:dyDescent="0.25">
      <c r="A659">
        <v>2110030001</v>
      </c>
      <c r="B659" t="s">
        <v>1142</v>
      </c>
      <c r="C659">
        <v>2310030019</v>
      </c>
      <c r="D659" t="s">
        <v>2158</v>
      </c>
      <c r="E659">
        <v>2430850012</v>
      </c>
      <c r="F659" t="s">
        <v>3695</v>
      </c>
      <c r="G659" t="s">
        <v>89</v>
      </c>
      <c r="H659">
        <v>0.34470000000000001</v>
      </c>
      <c r="I659">
        <v>2</v>
      </c>
      <c r="J659">
        <v>8000</v>
      </c>
      <c r="K659">
        <f>+VLOOKUP(E659,Costos!$A$1:$I$7161,9,FALSE)</f>
        <v>13.272031</v>
      </c>
      <c r="L659" t="str">
        <f t="shared" si="22"/>
        <v>243</v>
      </c>
      <c r="M659" t="str">
        <f t="shared" si="23"/>
        <v>243085</v>
      </c>
    </row>
    <row r="660" spans="1:13" x14ac:dyDescent="0.25">
      <c r="A660">
        <v>2110030001</v>
      </c>
      <c r="B660" t="s">
        <v>1142</v>
      </c>
      <c r="C660">
        <v>2310030019</v>
      </c>
      <c r="D660" t="s">
        <v>2158</v>
      </c>
      <c r="E660">
        <v>2430850013</v>
      </c>
      <c r="F660" t="s">
        <v>3696</v>
      </c>
      <c r="G660" t="s">
        <v>89</v>
      </c>
      <c r="H660">
        <v>0.86150000000000004</v>
      </c>
      <c r="I660">
        <v>2</v>
      </c>
      <c r="J660">
        <v>8000</v>
      </c>
      <c r="K660">
        <f>+VLOOKUP(E660,Costos!$A$1:$I$7161,9,FALSE)</f>
        <v>5.3988800000000001</v>
      </c>
      <c r="L660" t="str">
        <f t="shared" si="22"/>
        <v>243</v>
      </c>
      <c r="M660" t="str">
        <f t="shared" si="23"/>
        <v>243085</v>
      </c>
    </row>
    <row r="661" spans="1:13" x14ac:dyDescent="0.25">
      <c r="A661">
        <v>2110030001</v>
      </c>
      <c r="B661" t="s">
        <v>1142</v>
      </c>
      <c r="C661">
        <v>2310030019</v>
      </c>
      <c r="D661" t="s">
        <v>2158</v>
      </c>
      <c r="E661">
        <v>2410210019</v>
      </c>
      <c r="F661" t="s">
        <v>113</v>
      </c>
      <c r="G661" t="s">
        <v>89</v>
      </c>
      <c r="H661">
        <v>1.8050999999999999</v>
      </c>
      <c r="I661">
        <v>2</v>
      </c>
      <c r="J661">
        <v>8000</v>
      </c>
      <c r="K661">
        <f>+VLOOKUP(E661,Costos!$A$1:$I$7161,9,FALSE)</f>
        <v>7.5043049999999996</v>
      </c>
      <c r="L661" t="str">
        <f t="shared" si="22"/>
        <v>241</v>
      </c>
      <c r="M661" t="str">
        <f t="shared" si="23"/>
        <v>241021</v>
      </c>
    </row>
    <row r="662" spans="1:13" x14ac:dyDescent="0.25">
      <c r="A662">
        <v>2110030001</v>
      </c>
      <c r="B662" t="s">
        <v>1142</v>
      </c>
      <c r="C662">
        <v>2310030019</v>
      </c>
      <c r="D662" t="s">
        <v>2158</v>
      </c>
      <c r="E662">
        <v>2430880022</v>
      </c>
      <c r="F662" t="s">
        <v>115</v>
      </c>
      <c r="G662" t="s">
        <v>89</v>
      </c>
      <c r="H662">
        <v>1.3351</v>
      </c>
      <c r="I662">
        <v>2</v>
      </c>
      <c r="J662">
        <v>8000</v>
      </c>
      <c r="K662">
        <f>+VLOOKUP(E662,Costos!$A$1:$I$7161,9,FALSE)</f>
        <v>5.3984490000000003</v>
      </c>
      <c r="L662" t="str">
        <f t="shared" si="22"/>
        <v>243</v>
      </c>
      <c r="M662" t="str">
        <f t="shared" si="23"/>
        <v>243088</v>
      </c>
    </row>
    <row r="663" spans="1:13" x14ac:dyDescent="0.25">
      <c r="A663">
        <v>2110030001</v>
      </c>
      <c r="B663" t="s">
        <v>1142</v>
      </c>
      <c r="C663">
        <v>2310030019</v>
      </c>
      <c r="D663" t="s">
        <v>2158</v>
      </c>
      <c r="E663">
        <v>2430530010</v>
      </c>
      <c r="F663" t="s">
        <v>3634</v>
      </c>
      <c r="G663" t="s">
        <v>89</v>
      </c>
      <c r="H663">
        <v>88.9709</v>
      </c>
      <c r="I663">
        <v>2</v>
      </c>
      <c r="J663">
        <v>8000</v>
      </c>
      <c r="K663">
        <f>+VLOOKUP(E663,Costos!$A$1:$I$7161,9,FALSE)</f>
        <v>0.66962999999999995</v>
      </c>
      <c r="L663" t="str">
        <f t="shared" si="22"/>
        <v>243</v>
      </c>
      <c r="M663" t="str">
        <f t="shared" si="23"/>
        <v>243053</v>
      </c>
    </row>
    <row r="664" spans="1:13" x14ac:dyDescent="0.25">
      <c r="A664">
        <v>2110030001</v>
      </c>
      <c r="B664" t="s">
        <v>1142</v>
      </c>
      <c r="C664">
        <v>2310030019</v>
      </c>
      <c r="D664" t="s">
        <v>2158</v>
      </c>
      <c r="E664">
        <v>2310030236</v>
      </c>
      <c r="F664" t="s">
        <v>2173</v>
      </c>
      <c r="G664" t="s">
        <v>89</v>
      </c>
      <c r="H664">
        <v>6.8491</v>
      </c>
      <c r="I664">
        <v>2</v>
      </c>
      <c r="J664">
        <v>8000</v>
      </c>
      <c r="K664">
        <f>+VLOOKUP(E664,Costos!$A$1:$I$7161,9,FALSE)</f>
        <v>18.024685000000002</v>
      </c>
      <c r="L664" t="str">
        <f t="shared" si="22"/>
        <v>231</v>
      </c>
      <c r="M664" t="str">
        <f t="shared" si="23"/>
        <v>231003</v>
      </c>
    </row>
    <row r="665" spans="1:13" x14ac:dyDescent="0.25">
      <c r="A665">
        <v>2110030001</v>
      </c>
      <c r="B665" t="s">
        <v>1142</v>
      </c>
      <c r="C665">
        <v>2310030236</v>
      </c>
      <c r="D665" t="s">
        <v>2173</v>
      </c>
      <c r="E665">
        <v>2430850012</v>
      </c>
      <c r="F665" t="s">
        <v>3695</v>
      </c>
      <c r="G665" t="s">
        <v>89</v>
      </c>
      <c r="H665">
        <v>1.4500000000000001E-2</v>
      </c>
      <c r="I665">
        <v>3</v>
      </c>
      <c r="J665">
        <v>8000</v>
      </c>
      <c r="K665">
        <f>+VLOOKUP(E665,Costos!$A$1:$I$7161,9,FALSE)</f>
        <v>13.272031</v>
      </c>
      <c r="L665" t="str">
        <f t="shared" si="22"/>
        <v>243</v>
      </c>
      <c r="M665" t="str">
        <f t="shared" si="23"/>
        <v>243085</v>
      </c>
    </row>
    <row r="666" spans="1:13" x14ac:dyDescent="0.25">
      <c r="A666">
        <v>2110030001</v>
      </c>
      <c r="B666" t="s">
        <v>1142</v>
      </c>
      <c r="C666">
        <v>2310030236</v>
      </c>
      <c r="D666" t="s">
        <v>2173</v>
      </c>
      <c r="E666">
        <v>2410210019</v>
      </c>
      <c r="F666" t="s">
        <v>113</v>
      </c>
      <c r="G666" t="s">
        <v>89</v>
      </c>
      <c r="H666">
        <v>0.61080000000000001</v>
      </c>
      <c r="I666">
        <v>3</v>
      </c>
      <c r="J666">
        <v>8000</v>
      </c>
      <c r="K666">
        <f>+VLOOKUP(E666,Costos!$A$1:$I$7161,9,FALSE)</f>
        <v>7.5043049999999996</v>
      </c>
      <c r="L666" t="str">
        <f t="shared" si="22"/>
        <v>241</v>
      </c>
      <c r="M666" t="str">
        <f t="shared" si="23"/>
        <v>241021</v>
      </c>
    </row>
    <row r="667" spans="1:13" x14ac:dyDescent="0.25">
      <c r="A667">
        <v>2110030001</v>
      </c>
      <c r="B667" t="s">
        <v>1142</v>
      </c>
      <c r="C667">
        <v>2310030236</v>
      </c>
      <c r="D667" t="s">
        <v>2173</v>
      </c>
      <c r="E667">
        <v>2430880022</v>
      </c>
      <c r="F667" t="s">
        <v>115</v>
      </c>
      <c r="G667" t="s">
        <v>89</v>
      </c>
      <c r="H667">
        <v>2.0400000000000001E-2</v>
      </c>
      <c r="I667">
        <v>3</v>
      </c>
      <c r="J667">
        <v>8000</v>
      </c>
      <c r="K667">
        <f>+VLOOKUP(E667,Costos!$A$1:$I$7161,9,FALSE)</f>
        <v>5.3984490000000003</v>
      </c>
      <c r="L667" t="str">
        <f t="shared" si="22"/>
        <v>243</v>
      </c>
      <c r="M667" t="str">
        <f t="shared" si="23"/>
        <v>243088</v>
      </c>
    </row>
    <row r="668" spans="1:13" x14ac:dyDescent="0.25">
      <c r="A668">
        <v>2110030001</v>
      </c>
      <c r="B668" t="s">
        <v>1142</v>
      </c>
      <c r="C668">
        <v>2310030236</v>
      </c>
      <c r="D668" t="s">
        <v>2173</v>
      </c>
      <c r="E668">
        <v>2430450001</v>
      </c>
      <c r="F668" t="s">
        <v>93</v>
      </c>
      <c r="G668" t="s">
        <v>89</v>
      </c>
      <c r="H668">
        <v>0.33739999999999998</v>
      </c>
      <c r="I668">
        <v>3</v>
      </c>
      <c r="J668">
        <v>8000</v>
      </c>
      <c r="K668">
        <f>+VLOOKUP(E668,Costos!$A$1:$I$7161,9,FALSE)</f>
        <v>5.0953559999999998</v>
      </c>
      <c r="L668" t="str">
        <f t="shared" si="22"/>
        <v>243</v>
      </c>
      <c r="M668" t="str">
        <f t="shared" si="23"/>
        <v>243045</v>
      </c>
    </row>
    <row r="669" spans="1:13" x14ac:dyDescent="0.25">
      <c r="A669">
        <v>2110030001</v>
      </c>
      <c r="B669" t="s">
        <v>1142</v>
      </c>
      <c r="C669">
        <v>2310030236</v>
      </c>
      <c r="D669" t="s">
        <v>2173</v>
      </c>
      <c r="E669">
        <v>2430710003</v>
      </c>
      <c r="F669" t="s">
        <v>3672</v>
      </c>
      <c r="G669" t="s">
        <v>89</v>
      </c>
      <c r="H669">
        <v>2.7046999999999999</v>
      </c>
      <c r="I669">
        <v>3</v>
      </c>
      <c r="J669">
        <v>8000</v>
      </c>
      <c r="K669">
        <f>+VLOOKUP(E669,Costos!$A$1:$I$7161,9,FALSE)</f>
        <v>31.113872000000001</v>
      </c>
      <c r="L669" t="str">
        <f t="shared" si="22"/>
        <v>243</v>
      </c>
      <c r="M669" t="str">
        <f t="shared" si="23"/>
        <v>243071</v>
      </c>
    </row>
    <row r="670" spans="1:13" x14ac:dyDescent="0.25">
      <c r="A670">
        <v>2110030001</v>
      </c>
      <c r="B670" t="s">
        <v>1142</v>
      </c>
      <c r="C670">
        <v>2310030236</v>
      </c>
      <c r="D670" t="s">
        <v>2173</v>
      </c>
      <c r="E670">
        <v>2410210003</v>
      </c>
      <c r="F670" t="s">
        <v>95</v>
      </c>
      <c r="G670" t="s">
        <v>89</v>
      </c>
      <c r="H670">
        <v>0.93940000000000001</v>
      </c>
      <c r="I670">
        <v>3</v>
      </c>
      <c r="J670">
        <v>8000</v>
      </c>
      <c r="K670">
        <f>+VLOOKUP(E670,Costos!$A$1:$I$7161,9,FALSE)</f>
        <v>5.0519999999999996</v>
      </c>
      <c r="L670" t="str">
        <f t="shared" si="22"/>
        <v>241</v>
      </c>
      <c r="M670" t="str">
        <f t="shared" si="23"/>
        <v>241021</v>
      </c>
    </row>
    <row r="671" spans="1:13" x14ac:dyDescent="0.25">
      <c r="A671">
        <v>2110030001</v>
      </c>
      <c r="B671" t="s">
        <v>1142</v>
      </c>
      <c r="C671">
        <v>2310030236</v>
      </c>
      <c r="D671" t="s">
        <v>2173</v>
      </c>
      <c r="E671">
        <v>2430810004</v>
      </c>
      <c r="F671" t="s">
        <v>3687</v>
      </c>
      <c r="G671" t="s">
        <v>89</v>
      </c>
      <c r="H671">
        <v>8.72E-2</v>
      </c>
      <c r="I671">
        <v>3</v>
      </c>
      <c r="J671">
        <v>8000</v>
      </c>
      <c r="K671">
        <f>+VLOOKUP(E671,Costos!$A$1:$I$7161,9,FALSE)</f>
        <v>5.5637780000000001</v>
      </c>
      <c r="L671" t="str">
        <f t="shared" si="22"/>
        <v>243</v>
      </c>
      <c r="M671" t="str">
        <f t="shared" si="23"/>
        <v>243081</v>
      </c>
    </row>
    <row r="672" spans="1:13" x14ac:dyDescent="0.25">
      <c r="A672">
        <v>2110030001</v>
      </c>
      <c r="B672" t="s">
        <v>1142</v>
      </c>
      <c r="C672">
        <v>2310030236</v>
      </c>
      <c r="D672" t="s">
        <v>2173</v>
      </c>
      <c r="E672">
        <v>2410200020</v>
      </c>
      <c r="F672" t="s">
        <v>3365</v>
      </c>
      <c r="G672" t="s">
        <v>89</v>
      </c>
      <c r="H672">
        <v>0.70089999999999997</v>
      </c>
      <c r="I672">
        <v>3</v>
      </c>
      <c r="J672">
        <v>8000</v>
      </c>
      <c r="K672">
        <f>+VLOOKUP(E672,Costos!$A$1:$I$7161,9,FALSE)</f>
        <v>2.074649</v>
      </c>
      <c r="L672" t="str">
        <f t="shared" si="22"/>
        <v>241</v>
      </c>
      <c r="M672" t="str">
        <f t="shared" si="23"/>
        <v>241020</v>
      </c>
    </row>
    <row r="673" spans="1:13" x14ac:dyDescent="0.25">
      <c r="A673">
        <v>2110030001</v>
      </c>
      <c r="B673" t="s">
        <v>1142</v>
      </c>
      <c r="C673">
        <v>2310030019</v>
      </c>
      <c r="D673" t="s">
        <v>2158</v>
      </c>
      <c r="E673">
        <v>2430350001</v>
      </c>
      <c r="F673" t="s">
        <v>4877</v>
      </c>
      <c r="G673" t="s">
        <v>89</v>
      </c>
      <c r="H673">
        <v>2.4079999999999999</v>
      </c>
      <c r="I673">
        <v>2</v>
      </c>
      <c r="J673">
        <v>8000</v>
      </c>
      <c r="K673">
        <f>+VLOOKUP(E673,Costos!$A$1:$I$7161,9,FALSE)</f>
        <v>8.0727779999999996</v>
      </c>
      <c r="L673" t="str">
        <f t="shared" si="22"/>
        <v>243</v>
      </c>
      <c r="M673" t="str">
        <f t="shared" si="23"/>
        <v>243035</v>
      </c>
    </row>
    <row r="674" spans="1:13" x14ac:dyDescent="0.25">
      <c r="A674">
        <v>2110030001</v>
      </c>
      <c r="B674" t="s">
        <v>1142</v>
      </c>
      <c r="C674">
        <v>2310030019</v>
      </c>
      <c r="D674" t="s">
        <v>2158</v>
      </c>
      <c r="E674">
        <v>2430390013</v>
      </c>
      <c r="F674" t="s">
        <v>3624</v>
      </c>
      <c r="G674" t="s">
        <v>89</v>
      </c>
      <c r="H674">
        <v>2.2686999999999999</v>
      </c>
      <c r="I674">
        <v>2</v>
      </c>
      <c r="J674">
        <v>8000</v>
      </c>
      <c r="K674">
        <f>+VLOOKUP(E674,Costos!$A$1:$I$7161,9,FALSE)</f>
        <v>26.576163999999999</v>
      </c>
      <c r="L674" t="str">
        <f t="shared" si="22"/>
        <v>243</v>
      </c>
      <c r="M674" t="str">
        <f t="shared" si="23"/>
        <v>243039</v>
      </c>
    </row>
    <row r="675" spans="1:13" x14ac:dyDescent="0.25">
      <c r="A675">
        <v>2110030001</v>
      </c>
      <c r="B675" t="s">
        <v>1142</v>
      </c>
      <c r="C675">
        <v>2310030019</v>
      </c>
      <c r="D675" t="s">
        <v>2158</v>
      </c>
      <c r="E675">
        <v>2310030273</v>
      </c>
      <c r="F675" t="s">
        <v>2181</v>
      </c>
      <c r="G675" t="s">
        <v>89</v>
      </c>
      <c r="H675">
        <v>8.3828999999999994</v>
      </c>
      <c r="I675">
        <v>2</v>
      </c>
      <c r="J675">
        <v>8000</v>
      </c>
      <c r="K675">
        <f>+VLOOKUP(E675,Costos!$A$1:$I$7161,9,FALSE)</f>
        <v>3.6945239999999999</v>
      </c>
      <c r="L675" t="str">
        <f t="shared" si="22"/>
        <v>231</v>
      </c>
      <c r="M675" t="str">
        <f t="shared" si="23"/>
        <v>231003</v>
      </c>
    </row>
    <row r="676" spans="1:13" x14ac:dyDescent="0.25">
      <c r="A676">
        <v>2110030001</v>
      </c>
      <c r="B676" t="s">
        <v>1142</v>
      </c>
      <c r="C676">
        <v>2310030273</v>
      </c>
      <c r="D676" t="s">
        <v>2181</v>
      </c>
      <c r="E676">
        <v>2410290596</v>
      </c>
      <c r="F676" t="s">
        <v>3426</v>
      </c>
      <c r="G676" t="s">
        <v>89</v>
      </c>
      <c r="H676">
        <v>0.82279999999999998</v>
      </c>
      <c r="I676">
        <v>3</v>
      </c>
      <c r="J676">
        <v>8000</v>
      </c>
      <c r="K676">
        <f>+VLOOKUP(E676,Costos!$A$1:$I$7161,9,FALSE)</f>
        <v>5.2137989999999999</v>
      </c>
      <c r="L676" t="str">
        <f t="shared" si="22"/>
        <v>241</v>
      </c>
      <c r="M676" t="str">
        <f t="shared" si="23"/>
        <v>241029</v>
      </c>
    </row>
    <row r="677" spans="1:13" x14ac:dyDescent="0.25">
      <c r="A677">
        <v>2110030001</v>
      </c>
      <c r="B677" t="s">
        <v>1142</v>
      </c>
      <c r="C677">
        <v>2310030273</v>
      </c>
      <c r="D677" t="s">
        <v>2181</v>
      </c>
      <c r="E677">
        <v>2430850012</v>
      </c>
      <c r="F677" t="s">
        <v>3695</v>
      </c>
      <c r="G677" t="s">
        <v>89</v>
      </c>
      <c r="H677">
        <v>9.1000000000000004E-3</v>
      </c>
      <c r="I677">
        <v>3</v>
      </c>
      <c r="J677">
        <v>8000</v>
      </c>
      <c r="K677">
        <f>+VLOOKUP(E677,Costos!$A$1:$I$7161,9,FALSE)</f>
        <v>13.272031</v>
      </c>
      <c r="L677" t="str">
        <f t="shared" si="22"/>
        <v>243</v>
      </c>
      <c r="M677" t="str">
        <f t="shared" si="23"/>
        <v>243085</v>
      </c>
    </row>
    <row r="678" spans="1:13" x14ac:dyDescent="0.25">
      <c r="A678">
        <v>2110030001</v>
      </c>
      <c r="B678" t="s">
        <v>1142</v>
      </c>
      <c r="C678">
        <v>2310030273</v>
      </c>
      <c r="D678" t="s">
        <v>2181</v>
      </c>
      <c r="E678">
        <v>2410210019</v>
      </c>
      <c r="F678" t="s">
        <v>113</v>
      </c>
      <c r="G678" t="s">
        <v>89</v>
      </c>
      <c r="H678">
        <v>7.3099999999999998E-2</v>
      </c>
      <c r="I678">
        <v>3</v>
      </c>
      <c r="J678">
        <v>8000</v>
      </c>
      <c r="K678">
        <f>+VLOOKUP(E678,Costos!$A$1:$I$7161,9,FALSE)</f>
        <v>7.5043049999999996</v>
      </c>
      <c r="L678" t="str">
        <f t="shared" si="22"/>
        <v>241</v>
      </c>
      <c r="M678" t="str">
        <f t="shared" si="23"/>
        <v>241021</v>
      </c>
    </row>
    <row r="679" spans="1:13" x14ac:dyDescent="0.25">
      <c r="A679">
        <v>2110030001</v>
      </c>
      <c r="B679" t="s">
        <v>1142</v>
      </c>
      <c r="C679">
        <v>2310030273</v>
      </c>
      <c r="D679" t="s">
        <v>2181</v>
      </c>
      <c r="E679">
        <v>2430950002</v>
      </c>
      <c r="F679" t="s">
        <v>3724</v>
      </c>
      <c r="G679" t="s">
        <v>89</v>
      </c>
      <c r="H679">
        <v>5.4899999999999997E-2</v>
      </c>
      <c r="I679">
        <v>3</v>
      </c>
      <c r="J679">
        <v>8000</v>
      </c>
      <c r="K679">
        <f>+VLOOKUP(E679,Costos!$A$1:$I$7161,9,FALSE)</f>
        <v>17.015674000000001</v>
      </c>
      <c r="L679" t="str">
        <f t="shared" si="22"/>
        <v>243</v>
      </c>
      <c r="M679" t="str">
        <f t="shared" si="23"/>
        <v>243095</v>
      </c>
    </row>
    <row r="680" spans="1:13" x14ac:dyDescent="0.25">
      <c r="A680">
        <v>2110030001</v>
      </c>
      <c r="B680" t="s">
        <v>1142</v>
      </c>
      <c r="C680">
        <v>2310030273</v>
      </c>
      <c r="D680" t="s">
        <v>2181</v>
      </c>
      <c r="E680">
        <v>2410290518</v>
      </c>
      <c r="F680" t="s">
        <v>3410</v>
      </c>
      <c r="G680" t="s">
        <v>89</v>
      </c>
      <c r="H680">
        <v>1.1900000000000001E-2</v>
      </c>
      <c r="I680">
        <v>3</v>
      </c>
      <c r="J680">
        <v>8000</v>
      </c>
      <c r="K680">
        <f>+VLOOKUP(E680,Costos!$A$1:$I$7161,9,FALSE)</f>
        <v>4.220154</v>
      </c>
      <c r="L680" t="str">
        <f t="shared" si="22"/>
        <v>241</v>
      </c>
      <c r="M680" t="str">
        <f t="shared" si="23"/>
        <v>241029</v>
      </c>
    </row>
    <row r="681" spans="1:13" x14ac:dyDescent="0.25">
      <c r="A681">
        <v>2110030001</v>
      </c>
      <c r="B681" t="s">
        <v>1142</v>
      </c>
      <c r="C681">
        <v>2310030273</v>
      </c>
      <c r="D681" t="s">
        <v>2181</v>
      </c>
      <c r="E681">
        <v>2430880022</v>
      </c>
      <c r="F681" t="s">
        <v>115</v>
      </c>
      <c r="G681" t="s">
        <v>89</v>
      </c>
      <c r="H681">
        <v>2.5100000000000001E-2</v>
      </c>
      <c r="I681">
        <v>3</v>
      </c>
      <c r="J681">
        <v>8000</v>
      </c>
      <c r="K681">
        <f>+VLOOKUP(E681,Costos!$A$1:$I$7161,9,FALSE)</f>
        <v>5.3984490000000003</v>
      </c>
      <c r="L681" t="str">
        <f t="shared" si="22"/>
        <v>243</v>
      </c>
      <c r="M681" t="str">
        <f t="shared" si="23"/>
        <v>243088</v>
      </c>
    </row>
    <row r="682" spans="1:13" x14ac:dyDescent="0.25">
      <c r="A682">
        <v>2110030001</v>
      </c>
      <c r="B682" t="s">
        <v>1142</v>
      </c>
      <c r="C682">
        <v>2310030273</v>
      </c>
      <c r="D682" t="s">
        <v>2181</v>
      </c>
      <c r="E682">
        <v>2410290827</v>
      </c>
      <c r="F682" t="s">
        <v>3524</v>
      </c>
      <c r="G682" t="s">
        <v>89</v>
      </c>
      <c r="H682">
        <v>0.1143</v>
      </c>
      <c r="I682">
        <v>3</v>
      </c>
      <c r="J682">
        <v>8000</v>
      </c>
      <c r="K682">
        <f>+VLOOKUP(E682,Costos!$A$1:$I$7161,9,FALSE)</f>
        <v>8.7861949999999993</v>
      </c>
      <c r="L682" t="str">
        <f t="shared" si="22"/>
        <v>241</v>
      </c>
      <c r="M682" t="str">
        <f t="shared" si="23"/>
        <v>241029</v>
      </c>
    </row>
    <row r="683" spans="1:13" x14ac:dyDescent="0.25">
      <c r="A683">
        <v>2110030001</v>
      </c>
      <c r="B683" t="s">
        <v>1142</v>
      </c>
      <c r="C683">
        <v>2310030273</v>
      </c>
      <c r="D683" t="s">
        <v>2181</v>
      </c>
      <c r="E683">
        <v>2430390013</v>
      </c>
      <c r="F683" t="s">
        <v>3624</v>
      </c>
      <c r="G683" t="s">
        <v>89</v>
      </c>
      <c r="H683">
        <v>4.5699999999999998E-2</v>
      </c>
      <c r="I683">
        <v>3</v>
      </c>
      <c r="J683">
        <v>8000</v>
      </c>
      <c r="K683">
        <f>+VLOOKUP(E683,Costos!$A$1:$I$7161,9,FALSE)</f>
        <v>26.576163999999999</v>
      </c>
      <c r="L683" t="str">
        <f t="shared" si="22"/>
        <v>243</v>
      </c>
      <c r="M683" t="str">
        <f t="shared" si="23"/>
        <v>243039</v>
      </c>
    </row>
    <row r="684" spans="1:13" x14ac:dyDescent="0.25">
      <c r="A684">
        <v>2110030001</v>
      </c>
      <c r="B684" t="s">
        <v>1142</v>
      </c>
      <c r="C684">
        <v>2310030273</v>
      </c>
      <c r="D684" t="s">
        <v>2181</v>
      </c>
      <c r="E684">
        <v>2430850037</v>
      </c>
      <c r="F684" t="s">
        <v>3702</v>
      </c>
      <c r="G684" t="s">
        <v>89</v>
      </c>
      <c r="H684">
        <v>7.3099999999999998E-2</v>
      </c>
      <c r="I684">
        <v>3</v>
      </c>
      <c r="J684">
        <v>8000</v>
      </c>
      <c r="K684">
        <f>+VLOOKUP(E684,Costos!$A$1:$I$7161,9,FALSE)</f>
        <v>5.186795</v>
      </c>
      <c r="L684" t="str">
        <f t="shared" si="22"/>
        <v>243</v>
      </c>
      <c r="M684" t="str">
        <f t="shared" si="23"/>
        <v>243085</v>
      </c>
    </row>
    <row r="685" spans="1:13" x14ac:dyDescent="0.25">
      <c r="A685">
        <v>2110030001</v>
      </c>
      <c r="B685" t="s">
        <v>1142</v>
      </c>
      <c r="C685">
        <v>2310030273</v>
      </c>
      <c r="D685" t="s">
        <v>2181</v>
      </c>
      <c r="E685">
        <v>2410290516</v>
      </c>
      <c r="F685" t="s">
        <v>3408</v>
      </c>
      <c r="G685" t="s">
        <v>89</v>
      </c>
      <c r="H685">
        <v>3.4742000000000002</v>
      </c>
      <c r="I685">
        <v>3</v>
      </c>
      <c r="J685">
        <v>8000</v>
      </c>
      <c r="K685">
        <f>+VLOOKUP(E685,Costos!$A$1:$I$7161,9,FALSE)</f>
        <v>4.2173800000000004</v>
      </c>
      <c r="L685" t="str">
        <f t="shared" si="22"/>
        <v>241</v>
      </c>
      <c r="M685" t="str">
        <f t="shared" si="23"/>
        <v>241029</v>
      </c>
    </row>
    <row r="686" spans="1:13" x14ac:dyDescent="0.25">
      <c r="A686">
        <v>2110030001</v>
      </c>
      <c r="B686" t="s">
        <v>1142</v>
      </c>
      <c r="C686">
        <v>2310030273</v>
      </c>
      <c r="D686" t="s">
        <v>2181</v>
      </c>
      <c r="E686">
        <v>2410290517</v>
      </c>
      <c r="F686" t="s">
        <v>3409</v>
      </c>
      <c r="G686" t="s">
        <v>89</v>
      </c>
      <c r="H686">
        <v>8.6999999999999994E-3</v>
      </c>
      <c r="I686">
        <v>3</v>
      </c>
      <c r="J686">
        <v>8000</v>
      </c>
      <c r="K686">
        <f>+VLOOKUP(E686,Costos!$A$1:$I$7161,9,FALSE)</f>
        <v>5.2654350000000001</v>
      </c>
      <c r="L686" t="str">
        <f t="shared" si="22"/>
        <v>241</v>
      </c>
      <c r="M686" t="str">
        <f t="shared" si="23"/>
        <v>241029</v>
      </c>
    </row>
    <row r="687" spans="1:13" x14ac:dyDescent="0.25">
      <c r="A687">
        <v>2110030001</v>
      </c>
      <c r="B687" t="s">
        <v>1142</v>
      </c>
      <c r="C687">
        <v>2310030273</v>
      </c>
      <c r="D687" t="s">
        <v>2181</v>
      </c>
      <c r="E687">
        <v>2410210003</v>
      </c>
      <c r="F687" t="s">
        <v>95</v>
      </c>
      <c r="G687" t="s">
        <v>89</v>
      </c>
      <c r="H687">
        <v>6.8599999999999994E-2</v>
      </c>
      <c r="I687">
        <v>3</v>
      </c>
      <c r="J687">
        <v>8000</v>
      </c>
      <c r="K687">
        <f>+VLOOKUP(E687,Costos!$A$1:$I$7161,9,FALSE)</f>
        <v>5.0519999999999996</v>
      </c>
      <c r="L687" t="str">
        <f t="shared" si="22"/>
        <v>241</v>
      </c>
      <c r="M687" t="str">
        <f t="shared" si="23"/>
        <v>241021</v>
      </c>
    </row>
    <row r="688" spans="1:13" x14ac:dyDescent="0.25">
      <c r="A688">
        <v>2110030001</v>
      </c>
      <c r="B688" t="s">
        <v>1142</v>
      </c>
      <c r="C688">
        <v>2310030019</v>
      </c>
      <c r="D688" t="s">
        <v>2158</v>
      </c>
      <c r="E688">
        <v>2410210003</v>
      </c>
      <c r="F688" t="s">
        <v>95</v>
      </c>
      <c r="G688" t="s">
        <v>89</v>
      </c>
      <c r="H688">
        <v>9.7784999999999993</v>
      </c>
      <c r="I688">
        <v>2</v>
      </c>
      <c r="J688">
        <v>8000</v>
      </c>
      <c r="K688">
        <f>+VLOOKUP(E688,Costos!$A$1:$I$7161,9,FALSE)</f>
        <v>5.0519999999999996</v>
      </c>
      <c r="L688" t="str">
        <f t="shared" si="22"/>
        <v>241</v>
      </c>
      <c r="M688" t="str">
        <f t="shared" si="23"/>
        <v>241021</v>
      </c>
    </row>
    <row r="689" spans="1:13" x14ac:dyDescent="0.25">
      <c r="A689">
        <v>2110030001</v>
      </c>
      <c r="B689" t="s">
        <v>1142</v>
      </c>
      <c r="C689">
        <v>2310030019</v>
      </c>
      <c r="D689" t="s">
        <v>2158</v>
      </c>
      <c r="E689">
        <v>2430810004</v>
      </c>
      <c r="F689" t="s">
        <v>3687</v>
      </c>
      <c r="G689" t="s">
        <v>89</v>
      </c>
      <c r="H689">
        <v>1.0338000000000001</v>
      </c>
      <c r="I689">
        <v>2</v>
      </c>
      <c r="J689">
        <v>8000</v>
      </c>
      <c r="K689">
        <f>+VLOOKUP(E689,Costos!$A$1:$I$7161,9,FALSE)</f>
        <v>5.5637780000000001</v>
      </c>
      <c r="L689" t="str">
        <f t="shared" si="22"/>
        <v>243</v>
      </c>
      <c r="M689" t="str">
        <f t="shared" si="23"/>
        <v>243081</v>
      </c>
    </row>
    <row r="690" spans="1:13" x14ac:dyDescent="0.25">
      <c r="A690">
        <v>2110030001</v>
      </c>
      <c r="B690" t="s">
        <v>1142</v>
      </c>
      <c r="C690">
        <v>2310030019</v>
      </c>
      <c r="D690" t="s">
        <v>2158</v>
      </c>
      <c r="E690">
        <v>2430870004</v>
      </c>
      <c r="F690" t="s">
        <v>3707</v>
      </c>
      <c r="G690" t="s">
        <v>89</v>
      </c>
      <c r="H690">
        <v>0.14219999999999999</v>
      </c>
      <c r="I690">
        <v>2</v>
      </c>
      <c r="J690">
        <v>8000</v>
      </c>
      <c r="K690">
        <f>+VLOOKUP(E690,Costos!$A$1:$I$7161,9,FALSE)</f>
        <v>11.1012</v>
      </c>
      <c r="L690" t="str">
        <f t="shared" si="22"/>
        <v>243</v>
      </c>
      <c r="M690" t="str">
        <f t="shared" si="23"/>
        <v>243087</v>
      </c>
    </row>
    <row r="691" spans="1:13" x14ac:dyDescent="0.25">
      <c r="A691">
        <v>2110030001</v>
      </c>
      <c r="B691" t="s">
        <v>1142</v>
      </c>
      <c r="C691">
        <v>2110030001</v>
      </c>
      <c r="D691" t="s">
        <v>1142</v>
      </c>
      <c r="E691">
        <v>2310030020</v>
      </c>
      <c r="F691" t="s">
        <v>2159</v>
      </c>
      <c r="G691" t="s">
        <v>230</v>
      </c>
      <c r="H691">
        <v>304</v>
      </c>
      <c r="I691">
        <v>1</v>
      </c>
      <c r="J691">
        <v>8000</v>
      </c>
      <c r="K691">
        <f>+VLOOKUP(E691,Costos!$A$1:$I$7161,9,FALSE)</f>
        <v>2.0455239999999999</v>
      </c>
      <c r="L691" t="str">
        <f t="shared" si="22"/>
        <v>231</v>
      </c>
      <c r="M691" t="str">
        <f t="shared" si="23"/>
        <v>231003</v>
      </c>
    </row>
    <row r="692" spans="1:13" x14ac:dyDescent="0.25">
      <c r="A692">
        <v>2110030001</v>
      </c>
      <c r="B692" t="s">
        <v>1142</v>
      </c>
      <c r="C692">
        <v>2310030020</v>
      </c>
      <c r="D692" t="s">
        <v>2159</v>
      </c>
      <c r="E692">
        <v>2410220004</v>
      </c>
      <c r="F692" t="s">
        <v>3371</v>
      </c>
      <c r="G692" t="s">
        <v>89</v>
      </c>
      <c r="H692">
        <v>0.14860000000000001</v>
      </c>
      <c r="I692">
        <v>2</v>
      </c>
      <c r="J692">
        <v>8000</v>
      </c>
      <c r="K692">
        <f>+VLOOKUP(E692,Costos!$A$1:$I$7161,9,FALSE)</f>
        <v>144.33490800000001</v>
      </c>
      <c r="L692" t="str">
        <f t="shared" si="22"/>
        <v>241</v>
      </c>
      <c r="M692" t="str">
        <f t="shared" si="23"/>
        <v>241022</v>
      </c>
    </row>
    <row r="693" spans="1:13" x14ac:dyDescent="0.25">
      <c r="A693">
        <v>2110030001</v>
      </c>
      <c r="B693" t="s">
        <v>1142</v>
      </c>
      <c r="C693">
        <v>2310030020</v>
      </c>
      <c r="D693" t="s">
        <v>2159</v>
      </c>
      <c r="E693">
        <v>2430850012</v>
      </c>
      <c r="F693" t="s">
        <v>3695</v>
      </c>
      <c r="G693" t="s">
        <v>89</v>
      </c>
      <c r="H693">
        <v>0.33150000000000002</v>
      </c>
      <c r="I693">
        <v>2</v>
      </c>
      <c r="J693">
        <v>8000</v>
      </c>
      <c r="K693">
        <f>+VLOOKUP(E693,Costos!$A$1:$I$7161,9,FALSE)</f>
        <v>13.272031</v>
      </c>
      <c r="L693" t="str">
        <f t="shared" si="22"/>
        <v>243</v>
      </c>
      <c r="M693" t="str">
        <f t="shared" si="23"/>
        <v>243085</v>
      </c>
    </row>
    <row r="694" spans="1:13" x14ac:dyDescent="0.25">
      <c r="A694">
        <v>2110030001</v>
      </c>
      <c r="B694" t="s">
        <v>1142</v>
      </c>
      <c r="C694">
        <v>2310030020</v>
      </c>
      <c r="D694" t="s">
        <v>2159</v>
      </c>
      <c r="E694">
        <v>2430850013</v>
      </c>
      <c r="F694" t="s">
        <v>3696</v>
      </c>
      <c r="G694" t="s">
        <v>89</v>
      </c>
      <c r="H694">
        <v>0.94650000000000001</v>
      </c>
      <c r="I694">
        <v>2</v>
      </c>
      <c r="J694">
        <v>8000</v>
      </c>
      <c r="K694">
        <f>+VLOOKUP(E694,Costos!$A$1:$I$7161,9,FALSE)</f>
        <v>5.3988800000000001</v>
      </c>
      <c r="L694" t="str">
        <f t="shared" si="22"/>
        <v>243</v>
      </c>
      <c r="M694" t="str">
        <f t="shared" si="23"/>
        <v>243085</v>
      </c>
    </row>
    <row r="695" spans="1:13" x14ac:dyDescent="0.25">
      <c r="A695">
        <v>2110030001</v>
      </c>
      <c r="B695" t="s">
        <v>1142</v>
      </c>
      <c r="C695">
        <v>2310030020</v>
      </c>
      <c r="D695" t="s">
        <v>2159</v>
      </c>
      <c r="E695">
        <v>2410210019</v>
      </c>
      <c r="F695" t="s">
        <v>113</v>
      </c>
      <c r="G695" t="s">
        <v>89</v>
      </c>
      <c r="H695">
        <v>0.86670000000000003</v>
      </c>
      <c r="I695">
        <v>2</v>
      </c>
      <c r="J695">
        <v>8000</v>
      </c>
      <c r="K695">
        <f>+VLOOKUP(E695,Costos!$A$1:$I$7161,9,FALSE)</f>
        <v>7.5043049999999996</v>
      </c>
      <c r="L695" t="str">
        <f t="shared" si="22"/>
        <v>241</v>
      </c>
      <c r="M695" t="str">
        <f t="shared" si="23"/>
        <v>241021</v>
      </c>
    </row>
    <row r="696" spans="1:13" x14ac:dyDescent="0.25">
      <c r="A696">
        <v>2110030001</v>
      </c>
      <c r="B696" t="s">
        <v>1142</v>
      </c>
      <c r="C696">
        <v>2310030020</v>
      </c>
      <c r="D696" t="s">
        <v>2159</v>
      </c>
      <c r="E696">
        <v>2430880022</v>
      </c>
      <c r="F696" t="s">
        <v>115</v>
      </c>
      <c r="G696" t="s">
        <v>89</v>
      </c>
      <c r="H696">
        <v>1.6876</v>
      </c>
      <c r="I696">
        <v>2</v>
      </c>
      <c r="J696">
        <v>8000</v>
      </c>
      <c r="K696">
        <f>+VLOOKUP(E696,Costos!$A$1:$I$7161,9,FALSE)</f>
        <v>5.3984490000000003</v>
      </c>
      <c r="L696" t="str">
        <f t="shared" si="22"/>
        <v>243</v>
      </c>
      <c r="M696" t="str">
        <f t="shared" si="23"/>
        <v>243088</v>
      </c>
    </row>
    <row r="697" spans="1:13" x14ac:dyDescent="0.25">
      <c r="A697">
        <v>2110030001</v>
      </c>
      <c r="B697" t="s">
        <v>1142</v>
      </c>
      <c r="C697">
        <v>2310030020</v>
      </c>
      <c r="D697" t="s">
        <v>2159</v>
      </c>
      <c r="E697">
        <v>2430530010</v>
      </c>
      <c r="F697" t="s">
        <v>3634</v>
      </c>
      <c r="G697" t="s">
        <v>89</v>
      </c>
      <c r="H697">
        <v>81.3673</v>
      </c>
      <c r="I697">
        <v>2</v>
      </c>
      <c r="J697">
        <v>8000</v>
      </c>
      <c r="K697">
        <f>+VLOOKUP(E697,Costos!$A$1:$I$7161,9,FALSE)</f>
        <v>0.66962999999999995</v>
      </c>
      <c r="L697" t="str">
        <f t="shared" si="22"/>
        <v>243</v>
      </c>
      <c r="M697" t="str">
        <f t="shared" si="23"/>
        <v>243053</v>
      </c>
    </row>
    <row r="698" spans="1:13" x14ac:dyDescent="0.25">
      <c r="A698">
        <v>2110030001</v>
      </c>
      <c r="B698" t="s">
        <v>1142</v>
      </c>
      <c r="C698">
        <v>2310030020</v>
      </c>
      <c r="D698" t="s">
        <v>2159</v>
      </c>
      <c r="E698">
        <v>2430520005</v>
      </c>
      <c r="F698" t="s">
        <v>3631</v>
      </c>
      <c r="G698" t="s">
        <v>89</v>
      </c>
      <c r="H698">
        <v>16.5748</v>
      </c>
      <c r="I698">
        <v>2</v>
      </c>
      <c r="J698">
        <v>8000</v>
      </c>
      <c r="K698">
        <f>+VLOOKUP(E698,Costos!$A$1:$I$7161,9,FALSE)</f>
        <v>10.514614</v>
      </c>
      <c r="L698" t="str">
        <f t="shared" si="22"/>
        <v>243</v>
      </c>
      <c r="M698" t="str">
        <f t="shared" si="23"/>
        <v>243052</v>
      </c>
    </row>
    <row r="699" spans="1:13" x14ac:dyDescent="0.25">
      <c r="A699">
        <v>2110030001</v>
      </c>
      <c r="B699" t="s">
        <v>1142</v>
      </c>
      <c r="C699">
        <v>2310030020</v>
      </c>
      <c r="D699" t="s">
        <v>2159</v>
      </c>
      <c r="E699">
        <v>2430350001</v>
      </c>
      <c r="F699" t="s">
        <v>4877</v>
      </c>
      <c r="G699" t="s">
        <v>89</v>
      </c>
      <c r="H699">
        <v>1.64</v>
      </c>
      <c r="I699">
        <v>2</v>
      </c>
      <c r="J699">
        <v>8000</v>
      </c>
      <c r="K699">
        <f>+VLOOKUP(E699,Costos!$A$1:$I$7161,9,FALSE)</f>
        <v>8.0727779999999996</v>
      </c>
      <c r="L699" t="str">
        <f t="shared" si="22"/>
        <v>243</v>
      </c>
      <c r="M699" t="str">
        <f t="shared" si="23"/>
        <v>243035</v>
      </c>
    </row>
    <row r="700" spans="1:13" x14ac:dyDescent="0.25">
      <c r="A700">
        <v>2110030001</v>
      </c>
      <c r="B700" t="s">
        <v>1142</v>
      </c>
      <c r="C700">
        <v>2310030020</v>
      </c>
      <c r="D700" t="s">
        <v>2159</v>
      </c>
      <c r="E700">
        <v>2430450001</v>
      </c>
      <c r="F700" t="s">
        <v>93</v>
      </c>
      <c r="G700" t="s">
        <v>89</v>
      </c>
      <c r="H700">
        <v>3.6093999999999999</v>
      </c>
      <c r="I700">
        <v>2</v>
      </c>
      <c r="J700">
        <v>8000</v>
      </c>
      <c r="K700">
        <f>+VLOOKUP(E700,Costos!$A$1:$I$7161,9,FALSE)</f>
        <v>5.0953559999999998</v>
      </c>
      <c r="L700" t="str">
        <f t="shared" si="22"/>
        <v>243</v>
      </c>
      <c r="M700" t="str">
        <f t="shared" si="23"/>
        <v>243045</v>
      </c>
    </row>
    <row r="701" spans="1:13" x14ac:dyDescent="0.25">
      <c r="A701">
        <v>2110030001</v>
      </c>
      <c r="B701" t="s">
        <v>1142</v>
      </c>
      <c r="C701">
        <v>2310030020</v>
      </c>
      <c r="D701" t="s">
        <v>2159</v>
      </c>
      <c r="E701">
        <v>2430390013</v>
      </c>
      <c r="F701" t="s">
        <v>3624</v>
      </c>
      <c r="G701" t="s">
        <v>89</v>
      </c>
      <c r="H701">
        <v>2.5615999999999999</v>
      </c>
      <c r="I701">
        <v>2</v>
      </c>
      <c r="J701">
        <v>8000</v>
      </c>
      <c r="K701">
        <f>+VLOOKUP(E701,Costos!$A$1:$I$7161,9,FALSE)</f>
        <v>26.576163999999999</v>
      </c>
      <c r="L701" t="str">
        <f t="shared" si="22"/>
        <v>243</v>
      </c>
      <c r="M701" t="str">
        <f t="shared" si="23"/>
        <v>243039</v>
      </c>
    </row>
    <row r="702" spans="1:13" x14ac:dyDescent="0.25">
      <c r="A702">
        <v>2110030001</v>
      </c>
      <c r="B702" t="s">
        <v>1142</v>
      </c>
      <c r="C702">
        <v>2310030020</v>
      </c>
      <c r="D702" t="s">
        <v>2159</v>
      </c>
      <c r="E702">
        <v>2310030273</v>
      </c>
      <c r="F702" t="s">
        <v>2181</v>
      </c>
      <c r="G702" t="s">
        <v>89</v>
      </c>
      <c r="H702">
        <v>8.6324000000000005</v>
      </c>
      <c r="I702">
        <v>2</v>
      </c>
      <c r="J702">
        <v>8000</v>
      </c>
      <c r="K702">
        <f>+VLOOKUP(E702,Costos!$A$1:$I$7161,9,FALSE)</f>
        <v>3.6945239999999999</v>
      </c>
      <c r="L702" t="str">
        <f t="shared" si="22"/>
        <v>231</v>
      </c>
      <c r="M702" t="str">
        <f t="shared" si="23"/>
        <v>231003</v>
      </c>
    </row>
    <row r="703" spans="1:13" x14ac:dyDescent="0.25">
      <c r="A703">
        <v>2110030001</v>
      </c>
      <c r="B703" t="s">
        <v>1142</v>
      </c>
      <c r="C703">
        <v>2310030273</v>
      </c>
      <c r="D703" t="s">
        <v>2181</v>
      </c>
      <c r="E703">
        <v>2410290596</v>
      </c>
      <c r="F703" t="s">
        <v>3426</v>
      </c>
      <c r="G703" t="s">
        <v>89</v>
      </c>
      <c r="H703">
        <v>0.84730000000000005</v>
      </c>
      <c r="I703">
        <v>3</v>
      </c>
      <c r="J703">
        <v>8000</v>
      </c>
      <c r="K703">
        <f>+VLOOKUP(E703,Costos!$A$1:$I$7161,9,FALSE)</f>
        <v>5.2137989999999999</v>
      </c>
      <c r="L703" t="str">
        <f t="shared" si="22"/>
        <v>241</v>
      </c>
      <c r="M703" t="str">
        <f t="shared" si="23"/>
        <v>241029</v>
      </c>
    </row>
    <row r="704" spans="1:13" x14ac:dyDescent="0.25">
      <c r="A704">
        <v>2110030001</v>
      </c>
      <c r="B704" t="s">
        <v>1142</v>
      </c>
      <c r="C704">
        <v>2310030273</v>
      </c>
      <c r="D704" t="s">
        <v>2181</v>
      </c>
      <c r="E704">
        <v>2430850012</v>
      </c>
      <c r="F704" t="s">
        <v>3695</v>
      </c>
      <c r="G704" t="s">
        <v>89</v>
      </c>
      <c r="H704">
        <v>9.4000000000000004E-3</v>
      </c>
      <c r="I704">
        <v>3</v>
      </c>
      <c r="J704">
        <v>8000</v>
      </c>
      <c r="K704">
        <f>+VLOOKUP(E704,Costos!$A$1:$I$7161,9,FALSE)</f>
        <v>13.272031</v>
      </c>
      <c r="L704" t="str">
        <f t="shared" si="22"/>
        <v>243</v>
      </c>
      <c r="M704" t="str">
        <f t="shared" si="23"/>
        <v>243085</v>
      </c>
    </row>
    <row r="705" spans="1:13" x14ac:dyDescent="0.25">
      <c r="A705">
        <v>2110030001</v>
      </c>
      <c r="B705" t="s">
        <v>1142</v>
      </c>
      <c r="C705">
        <v>2310030273</v>
      </c>
      <c r="D705" t="s">
        <v>2181</v>
      </c>
      <c r="E705">
        <v>2410210019</v>
      </c>
      <c r="F705" t="s">
        <v>113</v>
      </c>
      <c r="G705" t="s">
        <v>89</v>
      </c>
      <c r="H705">
        <v>7.5300000000000006E-2</v>
      </c>
      <c r="I705">
        <v>3</v>
      </c>
      <c r="J705">
        <v>8000</v>
      </c>
      <c r="K705">
        <f>+VLOOKUP(E705,Costos!$A$1:$I$7161,9,FALSE)</f>
        <v>7.5043049999999996</v>
      </c>
      <c r="L705" t="str">
        <f t="shared" si="22"/>
        <v>241</v>
      </c>
      <c r="M705" t="str">
        <f t="shared" si="23"/>
        <v>241021</v>
      </c>
    </row>
    <row r="706" spans="1:13" x14ac:dyDescent="0.25">
      <c r="A706">
        <v>2110030001</v>
      </c>
      <c r="B706" t="s">
        <v>1142</v>
      </c>
      <c r="C706">
        <v>2310030273</v>
      </c>
      <c r="D706" t="s">
        <v>2181</v>
      </c>
      <c r="E706">
        <v>2430950002</v>
      </c>
      <c r="F706" t="s">
        <v>3724</v>
      </c>
      <c r="G706" t="s">
        <v>89</v>
      </c>
      <c r="H706">
        <v>5.6500000000000002E-2</v>
      </c>
      <c r="I706">
        <v>3</v>
      </c>
      <c r="J706">
        <v>8000</v>
      </c>
      <c r="K706">
        <f>+VLOOKUP(E706,Costos!$A$1:$I$7161,9,FALSE)</f>
        <v>17.015674000000001</v>
      </c>
      <c r="L706" t="str">
        <f t="shared" si="22"/>
        <v>243</v>
      </c>
      <c r="M706" t="str">
        <f t="shared" si="23"/>
        <v>243095</v>
      </c>
    </row>
    <row r="707" spans="1:13" x14ac:dyDescent="0.25">
      <c r="A707">
        <v>2110030001</v>
      </c>
      <c r="B707" t="s">
        <v>1142</v>
      </c>
      <c r="C707">
        <v>2310030273</v>
      </c>
      <c r="D707" t="s">
        <v>2181</v>
      </c>
      <c r="E707">
        <v>2410290518</v>
      </c>
      <c r="F707" t="s">
        <v>3410</v>
      </c>
      <c r="G707" t="s">
        <v>89</v>
      </c>
      <c r="H707">
        <v>1.2200000000000001E-2</v>
      </c>
      <c r="I707">
        <v>3</v>
      </c>
      <c r="J707">
        <v>8000</v>
      </c>
      <c r="K707">
        <f>+VLOOKUP(E707,Costos!$A$1:$I$7161,9,FALSE)</f>
        <v>4.220154</v>
      </c>
      <c r="L707" t="str">
        <f t="shared" si="22"/>
        <v>241</v>
      </c>
      <c r="M707" t="str">
        <f t="shared" si="23"/>
        <v>241029</v>
      </c>
    </row>
    <row r="708" spans="1:13" x14ac:dyDescent="0.25">
      <c r="A708">
        <v>2110030001</v>
      </c>
      <c r="B708" t="s">
        <v>1142</v>
      </c>
      <c r="C708">
        <v>2310030273</v>
      </c>
      <c r="D708" t="s">
        <v>2181</v>
      </c>
      <c r="E708">
        <v>2430880022</v>
      </c>
      <c r="F708" t="s">
        <v>115</v>
      </c>
      <c r="G708" t="s">
        <v>89</v>
      </c>
      <c r="H708">
        <v>2.5899999999999999E-2</v>
      </c>
      <c r="I708">
        <v>3</v>
      </c>
      <c r="J708">
        <v>8000</v>
      </c>
      <c r="K708">
        <f>+VLOOKUP(E708,Costos!$A$1:$I$7161,9,FALSE)</f>
        <v>5.3984490000000003</v>
      </c>
      <c r="L708" t="str">
        <f t="shared" si="22"/>
        <v>243</v>
      </c>
      <c r="M708" t="str">
        <f t="shared" si="23"/>
        <v>243088</v>
      </c>
    </row>
    <row r="709" spans="1:13" x14ac:dyDescent="0.25">
      <c r="A709">
        <v>2110030001</v>
      </c>
      <c r="B709" t="s">
        <v>1142</v>
      </c>
      <c r="C709">
        <v>2310030273</v>
      </c>
      <c r="D709" t="s">
        <v>2181</v>
      </c>
      <c r="E709">
        <v>2410290827</v>
      </c>
      <c r="F709" t="s">
        <v>3524</v>
      </c>
      <c r="G709" t="s">
        <v>89</v>
      </c>
      <c r="H709">
        <v>0.1177</v>
      </c>
      <c r="I709">
        <v>3</v>
      </c>
      <c r="J709">
        <v>8000</v>
      </c>
      <c r="K709">
        <f>+VLOOKUP(E709,Costos!$A$1:$I$7161,9,FALSE)</f>
        <v>8.7861949999999993</v>
      </c>
      <c r="L709" t="str">
        <f t="shared" si="22"/>
        <v>241</v>
      </c>
      <c r="M709" t="str">
        <f t="shared" si="23"/>
        <v>241029</v>
      </c>
    </row>
    <row r="710" spans="1:13" x14ac:dyDescent="0.25">
      <c r="A710">
        <v>2110030001</v>
      </c>
      <c r="B710" t="s">
        <v>1142</v>
      </c>
      <c r="C710">
        <v>2310030273</v>
      </c>
      <c r="D710" t="s">
        <v>2181</v>
      </c>
      <c r="E710">
        <v>2430390013</v>
      </c>
      <c r="F710" t="s">
        <v>3624</v>
      </c>
      <c r="G710" t="s">
        <v>89</v>
      </c>
      <c r="H710">
        <v>4.7100000000000003E-2</v>
      </c>
      <c r="I710">
        <v>3</v>
      </c>
      <c r="J710">
        <v>8000</v>
      </c>
      <c r="K710">
        <f>+VLOOKUP(E710,Costos!$A$1:$I$7161,9,FALSE)</f>
        <v>26.576163999999999</v>
      </c>
      <c r="L710" t="str">
        <f t="shared" ref="L710:L773" si="24">+LEFT(E710,3)</f>
        <v>243</v>
      </c>
      <c r="M710" t="str">
        <f t="shared" ref="M710:M773" si="25">+LEFT(E710,6)</f>
        <v>243039</v>
      </c>
    </row>
    <row r="711" spans="1:13" x14ac:dyDescent="0.25">
      <c r="A711">
        <v>2110030001</v>
      </c>
      <c r="B711" t="s">
        <v>1142</v>
      </c>
      <c r="C711">
        <v>2310030273</v>
      </c>
      <c r="D711" t="s">
        <v>2181</v>
      </c>
      <c r="E711">
        <v>2430850037</v>
      </c>
      <c r="F711" t="s">
        <v>3702</v>
      </c>
      <c r="G711" t="s">
        <v>89</v>
      </c>
      <c r="H711">
        <v>7.5300000000000006E-2</v>
      </c>
      <c r="I711">
        <v>3</v>
      </c>
      <c r="J711">
        <v>8000</v>
      </c>
      <c r="K711">
        <f>+VLOOKUP(E711,Costos!$A$1:$I$7161,9,FALSE)</f>
        <v>5.186795</v>
      </c>
      <c r="L711" t="str">
        <f t="shared" si="24"/>
        <v>243</v>
      </c>
      <c r="M711" t="str">
        <f t="shared" si="25"/>
        <v>243085</v>
      </c>
    </row>
    <row r="712" spans="1:13" x14ac:dyDescent="0.25">
      <c r="A712">
        <v>2110030001</v>
      </c>
      <c r="B712" t="s">
        <v>1142</v>
      </c>
      <c r="C712">
        <v>2310030273</v>
      </c>
      <c r="D712" t="s">
        <v>2181</v>
      </c>
      <c r="E712">
        <v>2410290516</v>
      </c>
      <c r="F712" t="s">
        <v>3408</v>
      </c>
      <c r="G712" t="s">
        <v>89</v>
      </c>
      <c r="H712">
        <v>3.5775999999999999</v>
      </c>
      <c r="I712">
        <v>3</v>
      </c>
      <c r="J712">
        <v>8000</v>
      </c>
      <c r="K712">
        <f>+VLOOKUP(E712,Costos!$A$1:$I$7161,9,FALSE)</f>
        <v>4.2173800000000004</v>
      </c>
      <c r="L712" t="str">
        <f t="shared" si="24"/>
        <v>241</v>
      </c>
      <c r="M712" t="str">
        <f t="shared" si="25"/>
        <v>241029</v>
      </c>
    </row>
    <row r="713" spans="1:13" x14ac:dyDescent="0.25">
      <c r="A713">
        <v>2110030001</v>
      </c>
      <c r="B713" t="s">
        <v>1142</v>
      </c>
      <c r="C713">
        <v>2310030273</v>
      </c>
      <c r="D713" t="s">
        <v>2181</v>
      </c>
      <c r="E713">
        <v>2410290517</v>
      </c>
      <c r="F713" t="s">
        <v>3409</v>
      </c>
      <c r="G713" t="s">
        <v>89</v>
      </c>
      <c r="H713">
        <v>8.8999999999999999E-3</v>
      </c>
      <c r="I713">
        <v>3</v>
      </c>
      <c r="J713">
        <v>8000</v>
      </c>
      <c r="K713">
        <f>+VLOOKUP(E713,Costos!$A$1:$I$7161,9,FALSE)</f>
        <v>5.2654350000000001</v>
      </c>
      <c r="L713" t="str">
        <f t="shared" si="24"/>
        <v>241</v>
      </c>
      <c r="M713" t="str">
        <f t="shared" si="25"/>
        <v>241029</v>
      </c>
    </row>
    <row r="714" spans="1:13" x14ac:dyDescent="0.25">
      <c r="A714">
        <v>2110030001</v>
      </c>
      <c r="B714" t="s">
        <v>1142</v>
      </c>
      <c r="C714">
        <v>2310030273</v>
      </c>
      <c r="D714" t="s">
        <v>2181</v>
      </c>
      <c r="E714">
        <v>2410210003</v>
      </c>
      <c r="F714" t="s">
        <v>95</v>
      </c>
      <c r="G714" t="s">
        <v>89</v>
      </c>
      <c r="H714">
        <v>7.0599999999999996E-2</v>
      </c>
      <c r="I714">
        <v>3</v>
      </c>
      <c r="J714">
        <v>8000</v>
      </c>
      <c r="K714">
        <f>+VLOOKUP(E714,Costos!$A$1:$I$7161,9,FALSE)</f>
        <v>5.0519999999999996</v>
      </c>
      <c r="L714" t="str">
        <f t="shared" si="24"/>
        <v>241</v>
      </c>
      <c r="M714" t="str">
        <f t="shared" si="25"/>
        <v>241021</v>
      </c>
    </row>
    <row r="715" spans="1:13" x14ac:dyDescent="0.25">
      <c r="A715">
        <v>2110030001</v>
      </c>
      <c r="B715" t="s">
        <v>1142</v>
      </c>
      <c r="C715">
        <v>2310030020</v>
      </c>
      <c r="D715" t="s">
        <v>2159</v>
      </c>
      <c r="E715">
        <v>2430700001</v>
      </c>
      <c r="F715" t="s">
        <v>3666</v>
      </c>
      <c r="G715" t="s">
        <v>89</v>
      </c>
      <c r="H715">
        <v>1.7600000000000001E-2</v>
      </c>
      <c r="I715">
        <v>2</v>
      </c>
      <c r="J715">
        <v>8000</v>
      </c>
      <c r="K715">
        <f>+VLOOKUP(E715,Costos!$A$1:$I$7161,9,FALSE)</f>
        <v>21.535326999999999</v>
      </c>
      <c r="L715" t="str">
        <f t="shared" si="24"/>
        <v>243</v>
      </c>
      <c r="M715" t="str">
        <f t="shared" si="25"/>
        <v>243070</v>
      </c>
    </row>
    <row r="716" spans="1:13" x14ac:dyDescent="0.25">
      <c r="A716">
        <v>2110030001</v>
      </c>
      <c r="B716" t="s">
        <v>1142</v>
      </c>
      <c r="C716">
        <v>2310030020</v>
      </c>
      <c r="D716" t="s">
        <v>2159</v>
      </c>
      <c r="E716">
        <v>2410210003</v>
      </c>
      <c r="F716" t="s">
        <v>95</v>
      </c>
      <c r="G716" t="s">
        <v>89</v>
      </c>
      <c r="H716">
        <v>3.6093999999999999</v>
      </c>
      <c r="I716">
        <v>2</v>
      </c>
      <c r="J716">
        <v>8000</v>
      </c>
      <c r="K716">
        <f>+VLOOKUP(E716,Costos!$A$1:$I$7161,9,FALSE)</f>
        <v>5.0519999999999996</v>
      </c>
      <c r="L716" t="str">
        <f t="shared" si="24"/>
        <v>241</v>
      </c>
      <c r="M716" t="str">
        <f t="shared" si="25"/>
        <v>241021</v>
      </c>
    </row>
    <row r="717" spans="1:13" x14ac:dyDescent="0.25">
      <c r="A717">
        <v>2110030001</v>
      </c>
      <c r="B717" t="s">
        <v>1142</v>
      </c>
      <c r="C717">
        <v>2310030020</v>
      </c>
      <c r="D717" t="s">
        <v>2159</v>
      </c>
      <c r="E717">
        <v>2430810004</v>
      </c>
      <c r="F717" t="s">
        <v>3687</v>
      </c>
      <c r="G717" t="s">
        <v>89</v>
      </c>
      <c r="H717">
        <v>0.75700000000000001</v>
      </c>
      <c r="I717">
        <v>2</v>
      </c>
      <c r="J717">
        <v>8000</v>
      </c>
      <c r="K717">
        <f>+VLOOKUP(E717,Costos!$A$1:$I$7161,9,FALSE)</f>
        <v>5.5637780000000001</v>
      </c>
      <c r="L717" t="str">
        <f t="shared" si="24"/>
        <v>243</v>
      </c>
      <c r="M717" t="str">
        <f t="shared" si="25"/>
        <v>243081</v>
      </c>
    </row>
    <row r="718" spans="1:13" x14ac:dyDescent="0.25">
      <c r="A718">
        <v>2110030001</v>
      </c>
      <c r="B718" t="s">
        <v>1142</v>
      </c>
      <c r="C718">
        <v>2310030020</v>
      </c>
      <c r="D718" t="s">
        <v>2159</v>
      </c>
      <c r="E718">
        <v>2430870004</v>
      </c>
      <c r="F718" t="s">
        <v>3707</v>
      </c>
      <c r="G718" t="s">
        <v>89</v>
      </c>
      <c r="H718">
        <v>0.13589999999999999</v>
      </c>
      <c r="I718">
        <v>2</v>
      </c>
      <c r="J718">
        <v>8000</v>
      </c>
      <c r="K718">
        <f>+VLOOKUP(E718,Costos!$A$1:$I$7161,9,FALSE)</f>
        <v>11.1012</v>
      </c>
      <c r="L718" t="str">
        <f t="shared" si="24"/>
        <v>243</v>
      </c>
      <c r="M718" t="str">
        <f t="shared" si="25"/>
        <v>243087</v>
      </c>
    </row>
    <row r="719" spans="1:13" x14ac:dyDescent="0.25">
      <c r="A719">
        <v>2110030001</v>
      </c>
      <c r="B719" t="s">
        <v>1142</v>
      </c>
      <c r="C719">
        <v>2110030001</v>
      </c>
      <c r="D719" t="s">
        <v>1142</v>
      </c>
      <c r="E719">
        <v>2310030021</v>
      </c>
      <c r="F719" t="s">
        <v>2160</v>
      </c>
      <c r="G719" t="s">
        <v>230</v>
      </c>
      <c r="H719">
        <v>280</v>
      </c>
      <c r="I719">
        <v>1</v>
      </c>
      <c r="J719">
        <v>8000</v>
      </c>
      <c r="K719">
        <f>+VLOOKUP(E719,Costos!$A$1:$I$7161,9,FALSE)</f>
        <v>2.332398</v>
      </c>
      <c r="L719" t="str">
        <f t="shared" si="24"/>
        <v>231</v>
      </c>
      <c r="M719" t="str">
        <f t="shared" si="25"/>
        <v>231003</v>
      </c>
    </row>
    <row r="720" spans="1:13" x14ac:dyDescent="0.25">
      <c r="A720">
        <v>2110030001</v>
      </c>
      <c r="B720" t="s">
        <v>1142</v>
      </c>
      <c r="C720">
        <v>2310030021</v>
      </c>
      <c r="D720" t="s">
        <v>2160</v>
      </c>
      <c r="E720">
        <v>2410220004</v>
      </c>
      <c r="F720" t="s">
        <v>3371</v>
      </c>
      <c r="G720" t="s">
        <v>89</v>
      </c>
      <c r="H720">
        <v>8.6199999999999999E-2</v>
      </c>
      <c r="I720">
        <v>2</v>
      </c>
      <c r="J720">
        <v>8000</v>
      </c>
      <c r="K720">
        <f>+VLOOKUP(E720,Costos!$A$1:$I$7161,9,FALSE)</f>
        <v>144.33490800000001</v>
      </c>
      <c r="L720" t="str">
        <f t="shared" si="24"/>
        <v>241</v>
      </c>
      <c r="M720" t="str">
        <f t="shared" si="25"/>
        <v>241022</v>
      </c>
    </row>
    <row r="721" spans="1:13" x14ac:dyDescent="0.25">
      <c r="A721">
        <v>2110030001</v>
      </c>
      <c r="B721" t="s">
        <v>1142</v>
      </c>
      <c r="C721">
        <v>2310030021</v>
      </c>
      <c r="D721" t="s">
        <v>2160</v>
      </c>
      <c r="E721">
        <v>2430850012</v>
      </c>
      <c r="F721" t="s">
        <v>3695</v>
      </c>
      <c r="G721" t="s">
        <v>89</v>
      </c>
      <c r="H721">
        <v>0.34470000000000001</v>
      </c>
      <c r="I721">
        <v>2</v>
      </c>
      <c r="J721">
        <v>8000</v>
      </c>
      <c r="K721">
        <f>+VLOOKUP(E721,Costos!$A$1:$I$7161,9,FALSE)</f>
        <v>13.272031</v>
      </c>
      <c r="L721" t="str">
        <f t="shared" si="24"/>
        <v>243</v>
      </c>
      <c r="M721" t="str">
        <f t="shared" si="25"/>
        <v>243085</v>
      </c>
    </row>
    <row r="722" spans="1:13" x14ac:dyDescent="0.25">
      <c r="A722">
        <v>2110030001</v>
      </c>
      <c r="B722" t="s">
        <v>1142</v>
      </c>
      <c r="C722">
        <v>2310030021</v>
      </c>
      <c r="D722" t="s">
        <v>2160</v>
      </c>
      <c r="E722">
        <v>2430850013</v>
      </c>
      <c r="F722" t="s">
        <v>3696</v>
      </c>
      <c r="G722" t="s">
        <v>89</v>
      </c>
      <c r="H722">
        <v>0.93489999999999995</v>
      </c>
      <c r="I722">
        <v>2</v>
      </c>
      <c r="J722">
        <v>8000</v>
      </c>
      <c r="K722">
        <f>+VLOOKUP(E722,Costos!$A$1:$I$7161,9,FALSE)</f>
        <v>5.3988800000000001</v>
      </c>
      <c r="L722" t="str">
        <f t="shared" si="24"/>
        <v>243</v>
      </c>
      <c r="M722" t="str">
        <f t="shared" si="25"/>
        <v>243085</v>
      </c>
    </row>
    <row r="723" spans="1:13" x14ac:dyDescent="0.25">
      <c r="A723">
        <v>2110030001</v>
      </c>
      <c r="B723" t="s">
        <v>1142</v>
      </c>
      <c r="C723">
        <v>2310030021</v>
      </c>
      <c r="D723" t="s">
        <v>2160</v>
      </c>
      <c r="E723">
        <v>2410210019</v>
      </c>
      <c r="F723" t="s">
        <v>113</v>
      </c>
      <c r="G723" t="s">
        <v>89</v>
      </c>
      <c r="H723">
        <v>1.2924</v>
      </c>
      <c r="I723">
        <v>2</v>
      </c>
      <c r="J723">
        <v>8000</v>
      </c>
      <c r="K723">
        <f>+VLOOKUP(E723,Costos!$A$1:$I$7161,9,FALSE)</f>
        <v>7.5043049999999996</v>
      </c>
      <c r="L723" t="str">
        <f t="shared" si="24"/>
        <v>241</v>
      </c>
      <c r="M723" t="str">
        <f t="shared" si="25"/>
        <v>241021</v>
      </c>
    </row>
    <row r="724" spans="1:13" x14ac:dyDescent="0.25">
      <c r="A724">
        <v>2110030001</v>
      </c>
      <c r="B724" t="s">
        <v>1142</v>
      </c>
      <c r="C724">
        <v>2310030021</v>
      </c>
      <c r="D724" t="s">
        <v>2160</v>
      </c>
      <c r="E724">
        <v>2430880022</v>
      </c>
      <c r="F724" t="s">
        <v>115</v>
      </c>
      <c r="G724" t="s">
        <v>89</v>
      </c>
      <c r="H724">
        <v>1.3351</v>
      </c>
      <c r="I724">
        <v>2</v>
      </c>
      <c r="J724">
        <v>8000</v>
      </c>
      <c r="K724">
        <f>+VLOOKUP(E724,Costos!$A$1:$I$7161,9,FALSE)</f>
        <v>5.3984490000000003</v>
      </c>
      <c r="L724" t="str">
        <f t="shared" si="24"/>
        <v>243</v>
      </c>
      <c r="M724" t="str">
        <f t="shared" si="25"/>
        <v>243088</v>
      </c>
    </row>
    <row r="725" spans="1:13" x14ac:dyDescent="0.25">
      <c r="A725">
        <v>2110030001</v>
      </c>
      <c r="B725" t="s">
        <v>1142</v>
      </c>
      <c r="C725">
        <v>2310030021</v>
      </c>
      <c r="D725" t="s">
        <v>2160</v>
      </c>
      <c r="E725">
        <v>2430530010</v>
      </c>
      <c r="F725" t="s">
        <v>3634</v>
      </c>
      <c r="G725" t="s">
        <v>89</v>
      </c>
      <c r="H725">
        <v>69.6404</v>
      </c>
      <c r="I725">
        <v>2</v>
      </c>
      <c r="J725">
        <v>8000</v>
      </c>
      <c r="K725">
        <f>+VLOOKUP(E725,Costos!$A$1:$I$7161,9,FALSE)</f>
        <v>0.66962999999999995</v>
      </c>
      <c r="L725" t="str">
        <f t="shared" si="24"/>
        <v>243</v>
      </c>
      <c r="M725" t="str">
        <f t="shared" si="25"/>
        <v>243053</v>
      </c>
    </row>
    <row r="726" spans="1:13" x14ac:dyDescent="0.25">
      <c r="A726">
        <v>2110030001</v>
      </c>
      <c r="B726" t="s">
        <v>1142</v>
      </c>
      <c r="C726">
        <v>2310030021</v>
      </c>
      <c r="D726" t="s">
        <v>2160</v>
      </c>
      <c r="E726">
        <v>2430580001</v>
      </c>
      <c r="F726" t="s">
        <v>3641</v>
      </c>
      <c r="G726" t="s">
        <v>89</v>
      </c>
      <c r="H726">
        <v>1.5767</v>
      </c>
      <c r="I726">
        <v>2</v>
      </c>
      <c r="J726">
        <v>8000</v>
      </c>
      <c r="K726">
        <f>+VLOOKUP(E726,Costos!$A$1:$I$7161,9,FALSE)</f>
        <v>18.246950999999999</v>
      </c>
      <c r="L726" t="str">
        <f t="shared" si="24"/>
        <v>243</v>
      </c>
      <c r="M726" t="str">
        <f t="shared" si="25"/>
        <v>243058</v>
      </c>
    </row>
    <row r="727" spans="1:13" x14ac:dyDescent="0.25">
      <c r="A727">
        <v>2110030001</v>
      </c>
      <c r="B727" t="s">
        <v>1142</v>
      </c>
      <c r="C727">
        <v>2310030021</v>
      </c>
      <c r="D727" t="s">
        <v>2160</v>
      </c>
      <c r="E727">
        <v>2430350001</v>
      </c>
      <c r="F727" t="s">
        <v>4877</v>
      </c>
      <c r="G727" t="s">
        <v>89</v>
      </c>
      <c r="H727">
        <v>2.3691</v>
      </c>
      <c r="I727">
        <v>2</v>
      </c>
      <c r="J727">
        <v>8000</v>
      </c>
      <c r="K727">
        <f>+VLOOKUP(E727,Costos!$A$1:$I$7161,9,FALSE)</f>
        <v>8.0727779999999996</v>
      </c>
      <c r="L727" t="str">
        <f t="shared" si="24"/>
        <v>243</v>
      </c>
      <c r="M727" t="str">
        <f t="shared" si="25"/>
        <v>243035</v>
      </c>
    </row>
    <row r="728" spans="1:13" x14ac:dyDescent="0.25">
      <c r="A728">
        <v>2110030001</v>
      </c>
      <c r="B728" t="s">
        <v>1142</v>
      </c>
      <c r="C728">
        <v>2310030021</v>
      </c>
      <c r="D728" t="s">
        <v>2160</v>
      </c>
      <c r="E728">
        <v>2430450001</v>
      </c>
      <c r="F728" t="s">
        <v>93</v>
      </c>
      <c r="G728" t="s">
        <v>89</v>
      </c>
      <c r="H728">
        <v>4.3075999999999999</v>
      </c>
      <c r="I728">
        <v>2</v>
      </c>
      <c r="J728">
        <v>8000</v>
      </c>
      <c r="K728">
        <f>+VLOOKUP(E728,Costos!$A$1:$I$7161,9,FALSE)</f>
        <v>5.0953559999999998</v>
      </c>
      <c r="L728" t="str">
        <f t="shared" si="24"/>
        <v>243</v>
      </c>
      <c r="M728" t="str">
        <f t="shared" si="25"/>
        <v>243045</v>
      </c>
    </row>
    <row r="729" spans="1:13" x14ac:dyDescent="0.25">
      <c r="A729">
        <v>2110030001</v>
      </c>
      <c r="B729" t="s">
        <v>1142</v>
      </c>
      <c r="C729">
        <v>2310030021</v>
      </c>
      <c r="D729" t="s">
        <v>2160</v>
      </c>
      <c r="E729">
        <v>2430390013</v>
      </c>
      <c r="F729" t="s">
        <v>3624</v>
      </c>
      <c r="G729" t="s">
        <v>89</v>
      </c>
      <c r="H729">
        <v>2.4525999999999999</v>
      </c>
      <c r="I729">
        <v>2</v>
      </c>
      <c r="J729">
        <v>8000</v>
      </c>
      <c r="K729">
        <f>+VLOOKUP(E729,Costos!$A$1:$I$7161,9,FALSE)</f>
        <v>26.576163999999999</v>
      </c>
      <c r="L729" t="str">
        <f t="shared" si="24"/>
        <v>243</v>
      </c>
      <c r="M729" t="str">
        <f t="shared" si="25"/>
        <v>243039</v>
      </c>
    </row>
    <row r="730" spans="1:13" x14ac:dyDescent="0.25">
      <c r="A730">
        <v>2110030001</v>
      </c>
      <c r="B730" t="s">
        <v>1142</v>
      </c>
      <c r="C730">
        <v>2310030021</v>
      </c>
      <c r="D730" t="s">
        <v>2160</v>
      </c>
      <c r="E730">
        <v>2310030273</v>
      </c>
      <c r="F730" t="s">
        <v>2181</v>
      </c>
      <c r="G730" t="s">
        <v>89</v>
      </c>
      <c r="H730">
        <v>8.3576999999999995</v>
      </c>
      <c r="I730">
        <v>2</v>
      </c>
      <c r="J730">
        <v>8000</v>
      </c>
      <c r="K730">
        <f>+VLOOKUP(E730,Costos!$A$1:$I$7161,9,FALSE)</f>
        <v>3.6945239999999999</v>
      </c>
      <c r="L730" t="str">
        <f t="shared" si="24"/>
        <v>231</v>
      </c>
      <c r="M730" t="str">
        <f t="shared" si="25"/>
        <v>231003</v>
      </c>
    </row>
    <row r="731" spans="1:13" x14ac:dyDescent="0.25">
      <c r="A731">
        <v>2110030001</v>
      </c>
      <c r="B731" t="s">
        <v>1142</v>
      </c>
      <c r="C731">
        <v>2310030273</v>
      </c>
      <c r="D731" t="s">
        <v>2181</v>
      </c>
      <c r="E731">
        <v>2410290596</v>
      </c>
      <c r="F731" t="s">
        <v>3426</v>
      </c>
      <c r="G731" t="s">
        <v>89</v>
      </c>
      <c r="H731">
        <v>0.82040000000000002</v>
      </c>
      <c r="I731">
        <v>3</v>
      </c>
      <c r="J731">
        <v>8000</v>
      </c>
      <c r="K731">
        <f>+VLOOKUP(E731,Costos!$A$1:$I$7161,9,FALSE)</f>
        <v>5.2137989999999999</v>
      </c>
      <c r="L731" t="str">
        <f t="shared" si="24"/>
        <v>241</v>
      </c>
      <c r="M731" t="str">
        <f t="shared" si="25"/>
        <v>241029</v>
      </c>
    </row>
    <row r="732" spans="1:13" x14ac:dyDescent="0.25">
      <c r="A732">
        <v>2110030001</v>
      </c>
      <c r="B732" t="s">
        <v>1142</v>
      </c>
      <c r="C732">
        <v>2310030273</v>
      </c>
      <c r="D732" t="s">
        <v>2181</v>
      </c>
      <c r="E732">
        <v>2430850012</v>
      </c>
      <c r="F732" t="s">
        <v>3695</v>
      </c>
      <c r="G732" t="s">
        <v>89</v>
      </c>
      <c r="H732">
        <v>9.1000000000000004E-3</v>
      </c>
      <c r="I732">
        <v>3</v>
      </c>
      <c r="J732">
        <v>8000</v>
      </c>
      <c r="K732">
        <f>+VLOOKUP(E732,Costos!$A$1:$I$7161,9,FALSE)</f>
        <v>13.272031</v>
      </c>
      <c r="L732" t="str">
        <f t="shared" si="24"/>
        <v>243</v>
      </c>
      <c r="M732" t="str">
        <f t="shared" si="25"/>
        <v>243085</v>
      </c>
    </row>
    <row r="733" spans="1:13" x14ac:dyDescent="0.25">
      <c r="A733">
        <v>2110030001</v>
      </c>
      <c r="B733" t="s">
        <v>1142</v>
      </c>
      <c r="C733">
        <v>2310030273</v>
      </c>
      <c r="D733" t="s">
        <v>2181</v>
      </c>
      <c r="E733">
        <v>2410210019</v>
      </c>
      <c r="F733" t="s">
        <v>113</v>
      </c>
      <c r="G733" t="s">
        <v>89</v>
      </c>
      <c r="H733">
        <v>7.2900000000000006E-2</v>
      </c>
      <c r="I733">
        <v>3</v>
      </c>
      <c r="J733">
        <v>8000</v>
      </c>
      <c r="K733">
        <f>+VLOOKUP(E733,Costos!$A$1:$I$7161,9,FALSE)</f>
        <v>7.5043049999999996</v>
      </c>
      <c r="L733" t="str">
        <f t="shared" si="24"/>
        <v>241</v>
      </c>
      <c r="M733" t="str">
        <f t="shared" si="25"/>
        <v>241021</v>
      </c>
    </row>
    <row r="734" spans="1:13" x14ac:dyDescent="0.25">
      <c r="A734">
        <v>2110030001</v>
      </c>
      <c r="B734" t="s">
        <v>1142</v>
      </c>
      <c r="C734">
        <v>2310030273</v>
      </c>
      <c r="D734" t="s">
        <v>2181</v>
      </c>
      <c r="E734">
        <v>2430950002</v>
      </c>
      <c r="F734" t="s">
        <v>3724</v>
      </c>
      <c r="G734" t="s">
        <v>89</v>
      </c>
      <c r="H734">
        <v>5.4699999999999999E-2</v>
      </c>
      <c r="I734">
        <v>3</v>
      </c>
      <c r="J734">
        <v>8000</v>
      </c>
      <c r="K734">
        <f>+VLOOKUP(E734,Costos!$A$1:$I$7161,9,FALSE)</f>
        <v>17.015674000000001</v>
      </c>
      <c r="L734" t="str">
        <f t="shared" si="24"/>
        <v>243</v>
      </c>
      <c r="M734" t="str">
        <f t="shared" si="25"/>
        <v>243095</v>
      </c>
    </row>
    <row r="735" spans="1:13" x14ac:dyDescent="0.25">
      <c r="A735">
        <v>2110030001</v>
      </c>
      <c r="B735" t="s">
        <v>1142</v>
      </c>
      <c r="C735">
        <v>2310030273</v>
      </c>
      <c r="D735" t="s">
        <v>2181</v>
      </c>
      <c r="E735">
        <v>2410290518</v>
      </c>
      <c r="F735" t="s">
        <v>3410</v>
      </c>
      <c r="G735" t="s">
        <v>89</v>
      </c>
      <c r="H735">
        <v>1.18E-2</v>
      </c>
      <c r="I735">
        <v>3</v>
      </c>
      <c r="J735">
        <v>8000</v>
      </c>
      <c r="K735">
        <f>+VLOOKUP(E735,Costos!$A$1:$I$7161,9,FALSE)</f>
        <v>4.220154</v>
      </c>
      <c r="L735" t="str">
        <f t="shared" si="24"/>
        <v>241</v>
      </c>
      <c r="M735" t="str">
        <f t="shared" si="25"/>
        <v>241029</v>
      </c>
    </row>
    <row r="736" spans="1:13" x14ac:dyDescent="0.25">
      <c r="A736">
        <v>2110030001</v>
      </c>
      <c r="B736" t="s">
        <v>1142</v>
      </c>
      <c r="C736">
        <v>2310030273</v>
      </c>
      <c r="D736" t="s">
        <v>2181</v>
      </c>
      <c r="E736">
        <v>2430880022</v>
      </c>
      <c r="F736" t="s">
        <v>115</v>
      </c>
      <c r="G736" t="s">
        <v>89</v>
      </c>
      <c r="H736">
        <v>2.5100000000000001E-2</v>
      </c>
      <c r="I736">
        <v>3</v>
      </c>
      <c r="J736">
        <v>8000</v>
      </c>
      <c r="K736">
        <f>+VLOOKUP(E736,Costos!$A$1:$I$7161,9,FALSE)</f>
        <v>5.3984490000000003</v>
      </c>
      <c r="L736" t="str">
        <f t="shared" si="24"/>
        <v>243</v>
      </c>
      <c r="M736" t="str">
        <f t="shared" si="25"/>
        <v>243088</v>
      </c>
    </row>
    <row r="737" spans="1:13" x14ac:dyDescent="0.25">
      <c r="A737">
        <v>2110030001</v>
      </c>
      <c r="B737" t="s">
        <v>1142</v>
      </c>
      <c r="C737">
        <v>2310030273</v>
      </c>
      <c r="D737" t="s">
        <v>2181</v>
      </c>
      <c r="E737">
        <v>2410290827</v>
      </c>
      <c r="F737" t="s">
        <v>3524</v>
      </c>
      <c r="G737" t="s">
        <v>89</v>
      </c>
      <c r="H737">
        <v>0.1139</v>
      </c>
      <c r="I737">
        <v>3</v>
      </c>
      <c r="J737">
        <v>8000</v>
      </c>
      <c r="K737">
        <f>+VLOOKUP(E737,Costos!$A$1:$I$7161,9,FALSE)</f>
        <v>8.7861949999999993</v>
      </c>
      <c r="L737" t="str">
        <f t="shared" si="24"/>
        <v>241</v>
      </c>
      <c r="M737" t="str">
        <f t="shared" si="25"/>
        <v>241029</v>
      </c>
    </row>
    <row r="738" spans="1:13" x14ac:dyDescent="0.25">
      <c r="A738">
        <v>2110030001</v>
      </c>
      <c r="B738" t="s">
        <v>1142</v>
      </c>
      <c r="C738">
        <v>2310030273</v>
      </c>
      <c r="D738" t="s">
        <v>2181</v>
      </c>
      <c r="E738">
        <v>2430390013</v>
      </c>
      <c r="F738" t="s">
        <v>3624</v>
      </c>
      <c r="G738" t="s">
        <v>89</v>
      </c>
      <c r="H738">
        <v>4.5600000000000002E-2</v>
      </c>
      <c r="I738">
        <v>3</v>
      </c>
      <c r="J738">
        <v>8000</v>
      </c>
      <c r="K738">
        <f>+VLOOKUP(E738,Costos!$A$1:$I$7161,9,FALSE)</f>
        <v>26.576163999999999</v>
      </c>
      <c r="L738" t="str">
        <f t="shared" si="24"/>
        <v>243</v>
      </c>
      <c r="M738" t="str">
        <f t="shared" si="25"/>
        <v>243039</v>
      </c>
    </row>
    <row r="739" spans="1:13" x14ac:dyDescent="0.25">
      <c r="A739">
        <v>2110030001</v>
      </c>
      <c r="B739" t="s">
        <v>1142</v>
      </c>
      <c r="C739">
        <v>2310030273</v>
      </c>
      <c r="D739" t="s">
        <v>2181</v>
      </c>
      <c r="E739">
        <v>2430850037</v>
      </c>
      <c r="F739" t="s">
        <v>3702</v>
      </c>
      <c r="G739" t="s">
        <v>89</v>
      </c>
      <c r="H739">
        <v>7.2900000000000006E-2</v>
      </c>
      <c r="I739">
        <v>3</v>
      </c>
      <c r="J739">
        <v>8000</v>
      </c>
      <c r="K739">
        <f>+VLOOKUP(E739,Costos!$A$1:$I$7161,9,FALSE)</f>
        <v>5.186795</v>
      </c>
      <c r="L739" t="str">
        <f t="shared" si="24"/>
        <v>243</v>
      </c>
      <c r="M739" t="str">
        <f t="shared" si="25"/>
        <v>243085</v>
      </c>
    </row>
    <row r="740" spans="1:13" x14ac:dyDescent="0.25">
      <c r="A740">
        <v>2110030001</v>
      </c>
      <c r="B740" t="s">
        <v>1142</v>
      </c>
      <c r="C740">
        <v>2310030273</v>
      </c>
      <c r="D740" t="s">
        <v>2181</v>
      </c>
      <c r="E740">
        <v>2410290516</v>
      </c>
      <c r="F740" t="s">
        <v>3408</v>
      </c>
      <c r="G740" t="s">
        <v>89</v>
      </c>
      <c r="H740">
        <v>3.4638</v>
      </c>
      <c r="I740">
        <v>3</v>
      </c>
      <c r="J740">
        <v>8000</v>
      </c>
      <c r="K740">
        <f>+VLOOKUP(E740,Costos!$A$1:$I$7161,9,FALSE)</f>
        <v>4.2173800000000004</v>
      </c>
      <c r="L740" t="str">
        <f t="shared" si="24"/>
        <v>241</v>
      </c>
      <c r="M740" t="str">
        <f t="shared" si="25"/>
        <v>241029</v>
      </c>
    </row>
    <row r="741" spans="1:13" x14ac:dyDescent="0.25">
      <c r="A741">
        <v>2110030001</v>
      </c>
      <c r="B741" t="s">
        <v>1142</v>
      </c>
      <c r="C741">
        <v>2310030273</v>
      </c>
      <c r="D741" t="s">
        <v>2181</v>
      </c>
      <c r="E741">
        <v>2410290517</v>
      </c>
      <c r="F741" t="s">
        <v>3409</v>
      </c>
      <c r="G741" t="s">
        <v>89</v>
      </c>
      <c r="H741">
        <v>8.6999999999999994E-3</v>
      </c>
      <c r="I741">
        <v>3</v>
      </c>
      <c r="J741">
        <v>8000</v>
      </c>
      <c r="K741">
        <f>+VLOOKUP(E741,Costos!$A$1:$I$7161,9,FALSE)</f>
        <v>5.2654350000000001</v>
      </c>
      <c r="L741" t="str">
        <f t="shared" si="24"/>
        <v>241</v>
      </c>
      <c r="M741" t="str">
        <f t="shared" si="25"/>
        <v>241029</v>
      </c>
    </row>
    <row r="742" spans="1:13" x14ac:dyDescent="0.25">
      <c r="A742">
        <v>2110030001</v>
      </c>
      <c r="B742" t="s">
        <v>1142</v>
      </c>
      <c r="C742">
        <v>2310030273</v>
      </c>
      <c r="D742" t="s">
        <v>2181</v>
      </c>
      <c r="E742">
        <v>2410210003</v>
      </c>
      <c r="F742" t="s">
        <v>95</v>
      </c>
      <c r="G742" t="s">
        <v>89</v>
      </c>
      <c r="H742">
        <v>6.8400000000000002E-2</v>
      </c>
      <c r="I742">
        <v>3</v>
      </c>
      <c r="J742">
        <v>8000</v>
      </c>
      <c r="K742">
        <f>+VLOOKUP(E742,Costos!$A$1:$I$7161,9,FALSE)</f>
        <v>5.0519999999999996</v>
      </c>
      <c r="L742" t="str">
        <f t="shared" si="24"/>
        <v>241</v>
      </c>
      <c r="M742" t="str">
        <f t="shared" si="25"/>
        <v>241021</v>
      </c>
    </row>
    <row r="743" spans="1:13" x14ac:dyDescent="0.25">
      <c r="A743">
        <v>2110030001</v>
      </c>
      <c r="B743" t="s">
        <v>1142</v>
      </c>
      <c r="C743">
        <v>2310030021</v>
      </c>
      <c r="D743" t="s">
        <v>2160</v>
      </c>
      <c r="E743">
        <v>2430600005</v>
      </c>
      <c r="F743" t="s">
        <v>3644</v>
      </c>
      <c r="G743" t="s">
        <v>89</v>
      </c>
      <c r="H743">
        <v>4.7232000000000003</v>
      </c>
      <c r="I743">
        <v>2</v>
      </c>
      <c r="J743">
        <v>8000</v>
      </c>
      <c r="K743">
        <f>+VLOOKUP(E743,Costos!$A$1:$I$7161,9,FALSE)</f>
        <v>6.0274340000000004</v>
      </c>
      <c r="L743" t="str">
        <f t="shared" si="24"/>
        <v>243</v>
      </c>
      <c r="M743" t="str">
        <f t="shared" si="25"/>
        <v>243060</v>
      </c>
    </row>
    <row r="744" spans="1:13" x14ac:dyDescent="0.25">
      <c r="A744">
        <v>2110030001</v>
      </c>
      <c r="B744" t="s">
        <v>1142</v>
      </c>
      <c r="C744">
        <v>2310030021</v>
      </c>
      <c r="D744" t="s">
        <v>2160</v>
      </c>
      <c r="E744">
        <v>2430660006</v>
      </c>
      <c r="F744" t="s">
        <v>3657</v>
      </c>
      <c r="G744" t="s">
        <v>89</v>
      </c>
      <c r="H744">
        <v>12.036899999999999</v>
      </c>
      <c r="I744">
        <v>2</v>
      </c>
      <c r="J744">
        <v>8000</v>
      </c>
      <c r="K744">
        <f>+VLOOKUP(E744,Costos!$A$1:$I$7161,9,FALSE)</f>
        <v>5.0693349999999997</v>
      </c>
      <c r="L744" t="str">
        <f t="shared" si="24"/>
        <v>243</v>
      </c>
      <c r="M744" t="str">
        <f t="shared" si="25"/>
        <v>243066</v>
      </c>
    </row>
    <row r="745" spans="1:13" x14ac:dyDescent="0.25">
      <c r="A745">
        <v>2110030001</v>
      </c>
      <c r="B745" t="s">
        <v>1142</v>
      </c>
      <c r="C745">
        <v>2310030021</v>
      </c>
      <c r="D745" t="s">
        <v>2160</v>
      </c>
      <c r="E745">
        <v>2410210003</v>
      </c>
      <c r="F745" t="s">
        <v>95</v>
      </c>
      <c r="G745" t="s">
        <v>89</v>
      </c>
      <c r="H745">
        <v>3.2309000000000001</v>
      </c>
      <c r="I745">
        <v>2</v>
      </c>
      <c r="J745">
        <v>8000</v>
      </c>
      <c r="K745">
        <f>+VLOOKUP(E745,Costos!$A$1:$I$7161,9,FALSE)</f>
        <v>5.0519999999999996</v>
      </c>
      <c r="L745" t="str">
        <f t="shared" si="24"/>
        <v>241</v>
      </c>
      <c r="M745" t="str">
        <f t="shared" si="25"/>
        <v>241021</v>
      </c>
    </row>
    <row r="746" spans="1:13" x14ac:dyDescent="0.25">
      <c r="A746">
        <v>2110030001</v>
      </c>
      <c r="B746" t="s">
        <v>1142</v>
      </c>
      <c r="C746">
        <v>2310030021</v>
      </c>
      <c r="D746" t="s">
        <v>2160</v>
      </c>
      <c r="E746">
        <v>2430810004</v>
      </c>
      <c r="F746" t="s">
        <v>3687</v>
      </c>
      <c r="G746" t="s">
        <v>89</v>
      </c>
      <c r="H746">
        <v>1.3991</v>
      </c>
      <c r="I746">
        <v>2</v>
      </c>
      <c r="J746">
        <v>8000</v>
      </c>
      <c r="K746">
        <f>+VLOOKUP(E746,Costos!$A$1:$I$7161,9,FALSE)</f>
        <v>5.5637780000000001</v>
      </c>
      <c r="L746" t="str">
        <f t="shared" si="24"/>
        <v>243</v>
      </c>
      <c r="M746" t="str">
        <f t="shared" si="25"/>
        <v>243081</v>
      </c>
    </row>
    <row r="747" spans="1:13" x14ac:dyDescent="0.25">
      <c r="A747">
        <v>2110030001</v>
      </c>
      <c r="B747" t="s">
        <v>1142</v>
      </c>
      <c r="C747">
        <v>2310030021</v>
      </c>
      <c r="D747" t="s">
        <v>2160</v>
      </c>
      <c r="E747">
        <v>2430870004</v>
      </c>
      <c r="F747" t="s">
        <v>3707</v>
      </c>
      <c r="G747" t="s">
        <v>89</v>
      </c>
      <c r="H747">
        <v>0.14219999999999999</v>
      </c>
      <c r="I747">
        <v>2</v>
      </c>
      <c r="J747">
        <v>8000</v>
      </c>
      <c r="K747">
        <f>+VLOOKUP(E747,Costos!$A$1:$I$7161,9,FALSE)</f>
        <v>11.1012</v>
      </c>
      <c r="L747" t="str">
        <f t="shared" si="24"/>
        <v>243</v>
      </c>
      <c r="M747" t="str">
        <f t="shared" si="25"/>
        <v>243087</v>
      </c>
    </row>
    <row r="748" spans="1:13" x14ac:dyDescent="0.25">
      <c r="A748">
        <v>2110030001</v>
      </c>
      <c r="B748" t="s">
        <v>1142</v>
      </c>
      <c r="C748">
        <v>2110030001</v>
      </c>
      <c r="D748" t="s">
        <v>1142</v>
      </c>
      <c r="E748">
        <v>2310030015</v>
      </c>
      <c r="F748" t="s">
        <v>2154</v>
      </c>
      <c r="G748" t="s">
        <v>230</v>
      </c>
      <c r="H748">
        <v>280</v>
      </c>
      <c r="I748">
        <v>1</v>
      </c>
      <c r="J748">
        <v>8000</v>
      </c>
      <c r="K748">
        <f>+VLOOKUP(E748,Costos!$A$1:$I$7161,9,FALSE)</f>
        <v>2.1219049999999999</v>
      </c>
      <c r="L748" t="str">
        <f t="shared" si="24"/>
        <v>231</v>
      </c>
      <c r="M748" t="str">
        <f t="shared" si="25"/>
        <v>231003</v>
      </c>
    </row>
    <row r="749" spans="1:13" x14ac:dyDescent="0.25">
      <c r="A749">
        <v>2110030001</v>
      </c>
      <c r="B749" t="s">
        <v>1142</v>
      </c>
      <c r="C749">
        <v>2310030015</v>
      </c>
      <c r="D749" t="s">
        <v>2154</v>
      </c>
      <c r="E749">
        <v>2410220004</v>
      </c>
      <c r="F749" t="s">
        <v>3371</v>
      </c>
      <c r="G749" t="s">
        <v>89</v>
      </c>
      <c r="H749">
        <v>8.6199999999999999E-2</v>
      </c>
      <c r="I749">
        <v>2</v>
      </c>
      <c r="J749">
        <v>8000</v>
      </c>
      <c r="K749">
        <f>+VLOOKUP(E749,Costos!$A$1:$I$7161,9,FALSE)</f>
        <v>144.33490800000001</v>
      </c>
      <c r="L749" t="str">
        <f t="shared" si="24"/>
        <v>241</v>
      </c>
      <c r="M749" t="str">
        <f t="shared" si="25"/>
        <v>241022</v>
      </c>
    </row>
    <row r="750" spans="1:13" x14ac:dyDescent="0.25">
      <c r="A750">
        <v>2110030001</v>
      </c>
      <c r="B750" t="s">
        <v>1142</v>
      </c>
      <c r="C750">
        <v>2310030015</v>
      </c>
      <c r="D750" t="s">
        <v>2154</v>
      </c>
      <c r="E750">
        <v>2430850012</v>
      </c>
      <c r="F750" t="s">
        <v>3695</v>
      </c>
      <c r="G750" t="s">
        <v>89</v>
      </c>
      <c r="H750">
        <v>0.34460000000000002</v>
      </c>
      <c r="I750">
        <v>2</v>
      </c>
      <c r="J750">
        <v>8000</v>
      </c>
      <c r="K750">
        <f>+VLOOKUP(E750,Costos!$A$1:$I$7161,9,FALSE)</f>
        <v>13.272031</v>
      </c>
      <c r="L750" t="str">
        <f t="shared" si="24"/>
        <v>243</v>
      </c>
      <c r="M750" t="str">
        <f t="shared" si="25"/>
        <v>243085</v>
      </c>
    </row>
    <row r="751" spans="1:13" x14ac:dyDescent="0.25">
      <c r="A751">
        <v>2110030001</v>
      </c>
      <c r="B751" t="s">
        <v>1142</v>
      </c>
      <c r="C751">
        <v>2310030015</v>
      </c>
      <c r="D751" t="s">
        <v>2154</v>
      </c>
      <c r="E751">
        <v>2430850013</v>
      </c>
      <c r="F751" t="s">
        <v>3696</v>
      </c>
      <c r="G751" t="s">
        <v>89</v>
      </c>
      <c r="H751">
        <v>0.93489999999999995</v>
      </c>
      <c r="I751">
        <v>2</v>
      </c>
      <c r="J751">
        <v>8000</v>
      </c>
      <c r="K751">
        <f>+VLOOKUP(E751,Costos!$A$1:$I$7161,9,FALSE)</f>
        <v>5.3988800000000001</v>
      </c>
      <c r="L751" t="str">
        <f t="shared" si="24"/>
        <v>243</v>
      </c>
      <c r="M751" t="str">
        <f t="shared" si="25"/>
        <v>243085</v>
      </c>
    </row>
    <row r="752" spans="1:13" x14ac:dyDescent="0.25">
      <c r="A752">
        <v>2110030001</v>
      </c>
      <c r="B752" t="s">
        <v>1142</v>
      </c>
      <c r="C752">
        <v>2310030015</v>
      </c>
      <c r="D752" t="s">
        <v>2154</v>
      </c>
      <c r="E752">
        <v>2410210019</v>
      </c>
      <c r="F752" t="s">
        <v>113</v>
      </c>
      <c r="G752" t="s">
        <v>89</v>
      </c>
      <c r="H752">
        <v>0.80659999999999998</v>
      </c>
      <c r="I752">
        <v>2</v>
      </c>
      <c r="J752">
        <v>8000</v>
      </c>
      <c r="K752">
        <f>+VLOOKUP(E752,Costos!$A$1:$I$7161,9,FALSE)</f>
        <v>7.5043049999999996</v>
      </c>
      <c r="L752" t="str">
        <f t="shared" si="24"/>
        <v>241</v>
      </c>
      <c r="M752" t="str">
        <f t="shared" si="25"/>
        <v>241021</v>
      </c>
    </row>
    <row r="753" spans="1:13" x14ac:dyDescent="0.25">
      <c r="A753">
        <v>2110030001</v>
      </c>
      <c r="B753" t="s">
        <v>1142</v>
      </c>
      <c r="C753">
        <v>2310030015</v>
      </c>
      <c r="D753" t="s">
        <v>2154</v>
      </c>
      <c r="E753">
        <v>2430880022</v>
      </c>
      <c r="F753" t="s">
        <v>115</v>
      </c>
      <c r="G753" t="s">
        <v>89</v>
      </c>
      <c r="H753">
        <v>1.3351</v>
      </c>
      <c r="I753">
        <v>2</v>
      </c>
      <c r="J753">
        <v>8000</v>
      </c>
      <c r="K753">
        <f>+VLOOKUP(E753,Costos!$A$1:$I$7161,9,FALSE)</f>
        <v>5.3984490000000003</v>
      </c>
      <c r="L753" t="str">
        <f t="shared" si="24"/>
        <v>243</v>
      </c>
      <c r="M753" t="str">
        <f t="shared" si="25"/>
        <v>243088</v>
      </c>
    </row>
    <row r="754" spans="1:13" x14ac:dyDescent="0.25">
      <c r="A754">
        <v>2110030001</v>
      </c>
      <c r="B754" t="s">
        <v>1142</v>
      </c>
      <c r="C754">
        <v>2310030015</v>
      </c>
      <c r="D754" t="s">
        <v>2154</v>
      </c>
      <c r="E754">
        <v>2430530010</v>
      </c>
      <c r="F754" t="s">
        <v>3634</v>
      </c>
      <c r="G754" t="s">
        <v>89</v>
      </c>
      <c r="H754">
        <v>89.143799999999999</v>
      </c>
      <c r="I754">
        <v>2</v>
      </c>
      <c r="J754">
        <v>8000</v>
      </c>
      <c r="K754">
        <f>+VLOOKUP(E754,Costos!$A$1:$I$7161,9,FALSE)</f>
        <v>0.66962999999999995</v>
      </c>
      <c r="L754" t="str">
        <f t="shared" si="24"/>
        <v>243</v>
      </c>
      <c r="M754" t="str">
        <f t="shared" si="25"/>
        <v>243053</v>
      </c>
    </row>
    <row r="755" spans="1:13" x14ac:dyDescent="0.25">
      <c r="A755">
        <v>2110030001</v>
      </c>
      <c r="B755" t="s">
        <v>1142</v>
      </c>
      <c r="C755">
        <v>2310030015</v>
      </c>
      <c r="D755" t="s">
        <v>2154</v>
      </c>
      <c r="E755">
        <v>2430580001</v>
      </c>
      <c r="F755" t="s">
        <v>3641</v>
      </c>
      <c r="G755" t="s">
        <v>89</v>
      </c>
      <c r="H755">
        <v>8.3571000000000009</v>
      </c>
      <c r="I755">
        <v>2</v>
      </c>
      <c r="J755">
        <v>8000</v>
      </c>
      <c r="K755">
        <f>+VLOOKUP(E755,Costos!$A$1:$I$7161,9,FALSE)</f>
        <v>18.246950999999999</v>
      </c>
      <c r="L755" t="str">
        <f t="shared" si="24"/>
        <v>243</v>
      </c>
      <c r="M755" t="str">
        <f t="shared" si="25"/>
        <v>243058</v>
      </c>
    </row>
    <row r="756" spans="1:13" x14ac:dyDescent="0.25">
      <c r="A756">
        <v>2110030001</v>
      </c>
      <c r="B756" t="s">
        <v>1142</v>
      </c>
      <c r="C756">
        <v>2310030015</v>
      </c>
      <c r="D756" t="s">
        <v>2154</v>
      </c>
      <c r="E756">
        <v>2430350001</v>
      </c>
      <c r="F756" t="s">
        <v>4877</v>
      </c>
      <c r="G756" t="s">
        <v>89</v>
      </c>
      <c r="H756">
        <v>1.1200000000000001</v>
      </c>
      <c r="I756">
        <v>2</v>
      </c>
      <c r="J756">
        <v>8000</v>
      </c>
      <c r="K756">
        <f>+VLOOKUP(E756,Costos!$A$1:$I$7161,9,FALSE)</f>
        <v>8.0727779999999996</v>
      </c>
      <c r="L756" t="str">
        <f t="shared" si="24"/>
        <v>243</v>
      </c>
      <c r="M756" t="str">
        <f t="shared" si="25"/>
        <v>243035</v>
      </c>
    </row>
    <row r="757" spans="1:13" x14ac:dyDescent="0.25">
      <c r="A757">
        <v>2110030001</v>
      </c>
      <c r="B757" t="s">
        <v>1142</v>
      </c>
      <c r="C757">
        <v>2310030015</v>
      </c>
      <c r="D757" t="s">
        <v>2154</v>
      </c>
      <c r="E757">
        <v>2430390013</v>
      </c>
      <c r="F757" t="s">
        <v>3624</v>
      </c>
      <c r="G757" t="s">
        <v>89</v>
      </c>
      <c r="H757">
        <v>2.5568</v>
      </c>
      <c r="I757">
        <v>2</v>
      </c>
      <c r="J757">
        <v>8000</v>
      </c>
      <c r="K757">
        <f>+VLOOKUP(E757,Costos!$A$1:$I$7161,9,FALSE)</f>
        <v>26.576163999999999</v>
      </c>
      <c r="L757" t="str">
        <f t="shared" si="24"/>
        <v>243</v>
      </c>
      <c r="M757" t="str">
        <f t="shared" si="25"/>
        <v>243039</v>
      </c>
    </row>
    <row r="758" spans="1:13" x14ac:dyDescent="0.25">
      <c r="A758">
        <v>2110030001</v>
      </c>
      <c r="B758" t="s">
        <v>1142</v>
      </c>
      <c r="C758">
        <v>2310030015</v>
      </c>
      <c r="D758" t="s">
        <v>2154</v>
      </c>
      <c r="E758">
        <v>2310030273</v>
      </c>
      <c r="F758" t="s">
        <v>2181</v>
      </c>
      <c r="G758" t="s">
        <v>89</v>
      </c>
      <c r="H758">
        <v>8.3571000000000009</v>
      </c>
      <c r="I758">
        <v>2</v>
      </c>
      <c r="J758">
        <v>8000</v>
      </c>
      <c r="K758">
        <f>+VLOOKUP(E758,Costos!$A$1:$I$7161,9,FALSE)</f>
        <v>3.6945239999999999</v>
      </c>
      <c r="L758" t="str">
        <f t="shared" si="24"/>
        <v>231</v>
      </c>
      <c r="M758" t="str">
        <f t="shared" si="25"/>
        <v>231003</v>
      </c>
    </row>
    <row r="759" spans="1:13" x14ac:dyDescent="0.25">
      <c r="A759">
        <v>2110030001</v>
      </c>
      <c r="B759" t="s">
        <v>1142</v>
      </c>
      <c r="C759">
        <v>2310030273</v>
      </c>
      <c r="D759" t="s">
        <v>2181</v>
      </c>
      <c r="E759">
        <v>2410290596</v>
      </c>
      <c r="F759" t="s">
        <v>3426</v>
      </c>
      <c r="G759" t="s">
        <v>89</v>
      </c>
      <c r="H759">
        <v>0.82030000000000003</v>
      </c>
      <c r="I759">
        <v>3</v>
      </c>
      <c r="J759">
        <v>8000</v>
      </c>
      <c r="K759">
        <f>+VLOOKUP(E759,Costos!$A$1:$I$7161,9,FALSE)</f>
        <v>5.2137989999999999</v>
      </c>
      <c r="L759" t="str">
        <f t="shared" si="24"/>
        <v>241</v>
      </c>
      <c r="M759" t="str">
        <f t="shared" si="25"/>
        <v>241029</v>
      </c>
    </row>
    <row r="760" spans="1:13" x14ac:dyDescent="0.25">
      <c r="A760">
        <v>2110030001</v>
      </c>
      <c r="B760" t="s">
        <v>1142</v>
      </c>
      <c r="C760">
        <v>2310030273</v>
      </c>
      <c r="D760" t="s">
        <v>2181</v>
      </c>
      <c r="E760">
        <v>2430850012</v>
      </c>
      <c r="F760" t="s">
        <v>3695</v>
      </c>
      <c r="G760" t="s">
        <v>89</v>
      </c>
      <c r="H760">
        <v>9.1000000000000004E-3</v>
      </c>
      <c r="I760">
        <v>3</v>
      </c>
      <c r="J760">
        <v>8000</v>
      </c>
      <c r="K760">
        <f>+VLOOKUP(E760,Costos!$A$1:$I$7161,9,FALSE)</f>
        <v>13.272031</v>
      </c>
      <c r="L760" t="str">
        <f t="shared" si="24"/>
        <v>243</v>
      </c>
      <c r="M760" t="str">
        <f t="shared" si="25"/>
        <v>243085</v>
      </c>
    </row>
    <row r="761" spans="1:13" x14ac:dyDescent="0.25">
      <c r="A761">
        <v>2110030001</v>
      </c>
      <c r="B761" t="s">
        <v>1142</v>
      </c>
      <c r="C761">
        <v>2310030273</v>
      </c>
      <c r="D761" t="s">
        <v>2181</v>
      </c>
      <c r="E761">
        <v>2410210019</v>
      </c>
      <c r="F761" t="s">
        <v>113</v>
      </c>
      <c r="G761" t="s">
        <v>89</v>
      </c>
      <c r="H761">
        <v>7.2900000000000006E-2</v>
      </c>
      <c r="I761">
        <v>3</v>
      </c>
      <c r="J761">
        <v>8000</v>
      </c>
      <c r="K761">
        <f>+VLOOKUP(E761,Costos!$A$1:$I$7161,9,FALSE)</f>
        <v>7.5043049999999996</v>
      </c>
      <c r="L761" t="str">
        <f t="shared" si="24"/>
        <v>241</v>
      </c>
      <c r="M761" t="str">
        <f t="shared" si="25"/>
        <v>241021</v>
      </c>
    </row>
    <row r="762" spans="1:13" x14ac:dyDescent="0.25">
      <c r="A762">
        <v>2110030001</v>
      </c>
      <c r="B762" t="s">
        <v>1142</v>
      </c>
      <c r="C762">
        <v>2310030273</v>
      </c>
      <c r="D762" t="s">
        <v>2181</v>
      </c>
      <c r="E762">
        <v>2430950002</v>
      </c>
      <c r="F762" t="s">
        <v>3724</v>
      </c>
      <c r="G762" t="s">
        <v>89</v>
      </c>
      <c r="H762">
        <v>5.4699999999999999E-2</v>
      </c>
      <c r="I762">
        <v>3</v>
      </c>
      <c r="J762">
        <v>8000</v>
      </c>
      <c r="K762">
        <f>+VLOOKUP(E762,Costos!$A$1:$I$7161,9,FALSE)</f>
        <v>17.015674000000001</v>
      </c>
      <c r="L762" t="str">
        <f t="shared" si="24"/>
        <v>243</v>
      </c>
      <c r="M762" t="str">
        <f t="shared" si="25"/>
        <v>243095</v>
      </c>
    </row>
    <row r="763" spans="1:13" x14ac:dyDescent="0.25">
      <c r="A763">
        <v>2110030001</v>
      </c>
      <c r="B763" t="s">
        <v>1142</v>
      </c>
      <c r="C763">
        <v>2310030273</v>
      </c>
      <c r="D763" t="s">
        <v>2181</v>
      </c>
      <c r="E763">
        <v>2410290518</v>
      </c>
      <c r="F763" t="s">
        <v>3410</v>
      </c>
      <c r="G763" t="s">
        <v>89</v>
      </c>
      <c r="H763">
        <v>1.18E-2</v>
      </c>
      <c r="I763">
        <v>3</v>
      </c>
      <c r="J763">
        <v>8000</v>
      </c>
      <c r="K763">
        <f>+VLOOKUP(E763,Costos!$A$1:$I$7161,9,FALSE)</f>
        <v>4.220154</v>
      </c>
      <c r="L763" t="str">
        <f t="shared" si="24"/>
        <v>241</v>
      </c>
      <c r="M763" t="str">
        <f t="shared" si="25"/>
        <v>241029</v>
      </c>
    </row>
    <row r="764" spans="1:13" x14ac:dyDescent="0.25">
      <c r="A764">
        <v>2110030001</v>
      </c>
      <c r="B764" t="s">
        <v>1142</v>
      </c>
      <c r="C764">
        <v>2310030273</v>
      </c>
      <c r="D764" t="s">
        <v>2181</v>
      </c>
      <c r="E764">
        <v>2430880022</v>
      </c>
      <c r="F764" t="s">
        <v>115</v>
      </c>
      <c r="G764" t="s">
        <v>89</v>
      </c>
      <c r="H764">
        <v>2.5100000000000001E-2</v>
      </c>
      <c r="I764">
        <v>3</v>
      </c>
      <c r="J764">
        <v>8000</v>
      </c>
      <c r="K764">
        <f>+VLOOKUP(E764,Costos!$A$1:$I$7161,9,FALSE)</f>
        <v>5.3984490000000003</v>
      </c>
      <c r="L764" t="str">
        <f t="shared" si="24"/>
        <v>243</v>
      </c>
      <c r="M764" t="str">
        <f t="shared" si="25"/>
        <v>243088</v>
      </c>
    </row>
    <row r="765" spans="1:13" x14ac:dyDescent="0.25">
      <c r="A765">
        <v>2110030001</v>
      </c>
      <c r="B765" t="s">
        <v>1142</v>
      </c>
      <c r="C765">
        <v>2310030273</v>
      </c>
      <c r="D765" t="s">
        <v>2181</v>
      </c>
      <c r="E765">
        <v>2410290827</v>
      </c>
      <c r="F765" t="s">
        <v>3524</v>
      </c>
      <c r="G765" t="s">
        <v>89</v>
      </c>
      <c r="H765">
        <v>0.1139</v>
      </c>
      <c r="I765">
        <v>3</v>
      </c>
      <c r="J765">
        <v>8000</v>
      </c>
      <c r="K765">
        <f>+VLOOKUP(E765,Costos!$A$1:$I$7161,9,FALSE)</f>
        <v>8.7861949999999993</v>
      </c>
      <c r="L765" t="str">
        <f t="shared" si="24"/>
        <v>241</v>
      </c>
      <c r="M765" t="str">
        <f t="shared" si="25"/>
        <v>241029</v>
      </c>
    </row>
    <row r="766" spans="1:13" x14ac:dyDescent="0.25">
      <c r="A766">
        <v>2110030001</v>
      </c>
      <c r="B766" t="s">
        <v>1142</v>
      </c>
      <c r="C766">
        <v>2310030273</v>
      </c>
      <c r="D766" t="s">
        <v>2181</v>
      </c>
      <c r="E766">
        <v>2430390013</v>
      </c>
      <c r="F766" t="s">
        <v>3624</v>
      </c>
      <c r="G766" t="s">
        <v>89</v>
      </c>
      <c r="H766">
        <v>4.5600000000000002E-2</v>
      </c>
      <c r="I766">
        <v>3</v>
      </c>
      <c r="J766">
        <v>8000</v>
      </c>
      <c r="K766">
        <f>+VLOOKUP(E766,Costos!$A$1:$I$7161,9,FALSE)</f>
        <v>26.576163999999999</v>
      </c>
      <c r="L766" t="str">
        <f t="shared" si="24"/>
        <v>243</v>
      </c>
      <c r="M766" t="str">
        <f t="shared" si="25"/>
        <v>243039</v>
      </c>
    </row>
    <row r="767" spans="1:13" x14ac:dyDescent="0.25">
      <c r="A767">
        <v>2110030001</v>
      </c>
      <c r="B767" t="s">
        <v>1142</v>
      </c>
      <c r="C767">
        <v>2310030273</v>
      </c>
      <c r="D767" t="s">
        <v>2181</v>
      </c>
      <c r="E767">
        <v>2430850037</v>
      </c>
      <c r="F767" t="s">
        <v>3702</v>
      </c>
      <c r="G767" t="s">
        <v>89</v>
      </c>
      <c r="H767">
        <v>7.2900000000000006E-2</v>
      </c>
      <c r="I767">
        <v>3</v>
      </c>
      <c r="J767">
        <v>8000</v>
      </c>
      <c r="K767">
        <f>+VLOOKUP(E767,Costos!$A$1:$I$7161,9,FALSE)</f>
        <v>5.186795</v>
      </c>
      <c r="L767" t="str">
        <f t="shared" si="24"/>
        <v>243</v>
      </c>
      <c r="M767" t="str">
        <f t="shared" si="25"/>
        <v>243085</v>
      </c>
    </row>
    <row r="768" spans="1:13" x14ac:dyDescent="0.25">
      <c r="A768">
        <v>2110030001</v>
      </c>
      <c r="B768" t="s">
        <v>1142</v>
      </c>
      <c r="C768">
        <v>2310030273</v>
      </c>
      <c r="D768" t="s">
        <v>2181</v>
      </c>
      <c r="E768">
        <v>2410290516</v>
      </c>
      <c r="F768" t="s">
        <v>3408</v>
      </c>
      <c r="G768" t="s">
        <v>89</v>
      </c>
      <c r="H768">
        <v>3.4634999999999998</v>
      </c>
      <c r="I768">
        <v>3</v>
      </c>
      <c r="J768">
        <v>8000</v>
      </c>
      <c r="K768">
        <f>+VLOOKUP(E768,Costos!$A$1:$I$7161,9,FALSE)</f>
        <v>4.2173800000000004</v>
      </c>
      <c r="L768" t="str">
        <f t="shared" si="24"/>
        <v>241</v>
      </c>
      <c r="M768" t="str">
        <f t="shared" si="25"/>
        <v>241029</v>
      </c>
    </row>
    <row r="769" spans="1:13" x14ac:dyDescent="0.25">
      <c r="A769">
        <v>2110030001</v>
      </c>
      <c r="B769" t="s">
        <v>1142</v>
      </c>
      <c r="C769">
        <v>2310030273</v>
      </c>
      <c r="D769" t="s">
        <v>2181</v>
      </c>
      <c r="E769">
        <v>2410290517</v>
      </c>
      <c r="F769" t="s">
        <v>3409</v>
      </c>
      <c r="G769" t="s">
        <v>89</v>
      </c>
      <c r="H769">
        <v>8.6999999999999994E-3</v>
      </c>
      <c r="I769">
        <v>3</v>
      </c>
      <c r="J769">
        <v>8000</v>
      </c>
      <c r="K769">
        <f>+VLOOKUP(E769,Costos!$A$1:$I$7161,9,FALSE)</f>
        <v>5.2654350000000001</v>
      </c>
      <c r="L769" t="str">
        <f t="shared" si="24"/>
        <v>241</v>
      </c>
      <c r="M769" t="str">
        <f t="shared" si="25"/>
        <v>241029</v>
      </c>
    </row>
    <row r="770" spans="1:13" x14ac:dyDescent="0.25">
      <c r="A770">
        <v>2110030001</v>
      </c>
      <c r="B770" t="s">
        <v>1142</v>
      </c>
      <c r="C770">
        <v>2310030273</v>
      </c>
      <c r="D770" t="s">
        <v>2181</v>
      </c>
      <c r="E770">
        <v>2410210003</v>
      </c>
      <c r="F770" t="s">
        <v>95</v>
      </c>
      <c r="G770" t="s">
        <v>89</v>
      </c>
      <c r="H770">
        <v>6.8400000000000002E-2</v>
      </c>
      <c r="I770">
        <v>3</v>
      </c>
      <c r="J770">
        <v>8000</v>
      </c>
      <c r="K770">
        <f>+VLOOKUP(E770,Costos!$A$1:$I$7161,9,FALSE)</f>
        <v>5.0519999999999996</v>
      </c>
      <c r="L770" t="str">
        <f t="shared" si="24"/>
        <v>241</v>
      </c>
      <c r="M770" t="str">
        <f t="shared" si="25"/>
        <v>241021</v>
      </c>
    </row>
    <row r="771" spans="1:13" x14ac:dyDescent="0.25">
      <c r="A771">
        <v>2110030001</v>
      </c>
      <c r="B771" t="s">
        <v>1142</v>
      </c>
      <c r="C771">
        <v>2310030015</v>
      </c>
      <c r="D771" t="s">
        <v>2154</v>
      </c>
      <c r="E771">
        <v>2410210003</v>
      </c>
      <c r="F771" t="s">
        <v>95</v>
      </c>
      <c r="G771" t="s">
        <v>89</v>
      </c>
      <c r="H771">
        <v>6.2675999999999998</v>
      </c>
      <c r="I771">
        <v>2</v>
      </c>
      <c r="J771">
        <v>8000</v>
      </c>
      <c r="K771">
        <f>+VLOOKUP(E771,Costos!$A$1:$I$7161,9,FALSE)</f>
        <v>5.0519999999999996</v>
      </c>
      <c r="L771" t="str">
        <f t="shared" si="24"/>
        <v>241</v>
      </c>
      <c r="M771" t="str">
        <f t="shared" si="25"/>
        <v>241021</v>
      </c>
    </row>
    <row r="772" spans="1:13" x14ac:dyDescent="0.25">
      <c r="A772">
        <v>2110030001</v>
      </c>
      <c r="B772" t="s">
        <v>1142</v>
      </c>
      <c r="C772">
        <v>2310030015</v>
      </c>
      <c r="D772" t="s">
        <v>2154</v>
      </c>
      <c r="E772">
        <v>2430810004</v>
      </c>
      <c r="F772" t="s">
        <v>3687</v>
      </c>
      <c r="G772" t="s">
        <v>89</v>
      </c>
      <c r="H772">
        <v>0.65329999999999999</v>
      </c>
      <c r="I772">
        <v>2</v>
      </c>
      <c r="J772">
        <v>8000</v>
      </c>
      <c r="K772">
        <f>+VLOOKUP(E772,Costos!$A$1:$I$7161,9,FALSE)</f>
        <v>5.5637780000000001</v>
      </c>
      <c r="L772" t="str">
        <f t="shared" si="24"/>
        <v>243</v>
      </c>
      <c r="M772" t="str">
        <f t="shared" si="25"/>
        <v>243081</v>
      </c>
    </row>
    <row r="773" spans="1:13" x14ac:dyDescent="0.25">
      <c r="A773">
        <v>2110030001</v>
      </c>
      <c r="B773" t="s">
        <v>1142</v>
      </c>
      <c r="C773">
        <v>2310030015</v>
      </c>
      <c r="D773" t="s">
        <v>2154</v>
      </c>
      <c r="E773">
        <v>2430870004</v>
      </c>
      <c r="F773" t="s">
        <v>3707</v>
      </c>
      <c r="G773" t="s">
        <v>89</v>
      </c>
      <c r="H773">
        <v>0.14219999999999999</v>
      </c>
      <c r="I773">
        <v>2</v>
      </c>
      <c r="J773">
        <v>8000</v>
      </c>
      <c r="K773">
        <f>+VLOOKUP(E773,Costos!$A$1:$I$7161,9,FALSE)</f>
        <v>11.1012</v>
      </c>
      <c r="L773" t="str">
        <f t="shared" si="24"/>
        <v>243</v>
      </c>
      <c r="M773" t="str">
        <f t="shared" si="25"/>
        <v>243087</v>
      </c>
    </row>
    <row r="774" spans="1:13" x14ac:dyDescent="0.25">
      <c r="A774">
        <v>2110030001</v>
      </c>
      <c r="B774" t="s">
        <v>1142</v>
      </c>
      <c r="C774">
        <v>2110030001</v>
      </c>
      <c r="D774" t="s">
        <v>1142</v>
      </c>
      <c r="E774">
        <v>2310030017</v>
      </c>
      <c r="F774" t="s">
        <v>2156</v>
      </c>
      <c r="G774" t="s">
        <v>230</v>
      </c>
      <c r="H774">
        <v>280</v>
      </c>
      <c r="I774">
        <v>1</v>
      </c>
      <c r="J774">
        <v>8000</v>
      </c>
      <c r="K774">
        <f>+VLOOKUP(E774,Costos!$A$1:$I$7161,9,FALSE)</f>
        <v>2.5132949999999998</v>
      </c>
      <c r="L774" t="str">
        <f t="shared" ref="L774:L834" si="26">+LEFT(E774,3)</f>
        <v>231</v>
      </c>
      <c r="M774" t="str">
        <f t="shared" ref="M774:M834" si="27">+LEFT(E774,6)</f>
        <v>231003</v>
      </c>
    </row>
    <row r="775" spans="1:13" x14ac:dyDescent="0.25">
      <c r="A775">
        <v>2110030001</v>
      </c>
      <c r="B775" t="s">
        <v>1142</v>
      </c>
      <c r="C775">
        <v>2310030017</v>
      </c>
      <c r="D775" t="s">
        <v>2156</v>
      </c>
      <c r="E775">
        <v>2410220004</v>
      </c>
      <c r="F775" t="s">
        <v>3371</v>
      </c>
      <c r="G775" t="s">
        <v>89</v>
      </c>
      <c r="H775">
        <v>8.6199999999999999E-2</v>
      </c>
      <c r="I775">
        <v>2</v>
      </c>
      <c r="J775">
        <v>8000</v>
      </c>
      <c r="K775">
        <f>+VLOOKUP(E775,Costos!$A$1:$I$7161,9,FALSE)</f>
        <v>144.33490800000001</v>
      </c>
      <c r="L775" t="str">
        <f t="shared" si="26"/>
        <v>241</v>
      </c>
      <c r="M775" t="str">
        <f t="shared" si="27"/>
        <v>241022</v>
      </c>
    </row>
    <row r="776" spans="1:13" x14ac:dyDescent="0.25">
      <c r="A776">
        <v>2110030001</v>
      </c>
      <c r="B776" t="s">
        <v>1142</v>
      </c>
      <c r="C776">
        <v>2310030017</v>
      </c>
      <c r="D776" t="s">
        <v>2156</v>
      </c>
      <c r="E776">
        <v>2430850012</v>
      </c>
      <c r="F776" t="s">
        <v>3695</v>
      </c>
      <c r="G776" t="s">
        <v>89</v>
      </c>
      <c r="H776">
        <v>0.34460000000000002</v>
      </c>
      <c r="I776">
        <v>2</v>
      </c>
      <c r="J776">
        <v>8000</v>
      </c>
      <c r="K776">
        <f>+VLOOKUP(E776,Costos!$A$1:$I$7161,9,FALSE)</f>
        <v>13.272031</v>
      </c>
      <c r="L776" t="str">
        <f t="shared" si="26"/>
        <v>243</v>
      </c>
      <c r="M776" t="str">
        <f t="shared" si="27"/>
        <v>243085</v>
      </c>
    </row>
    <row r="777" spans="1:13" x14ac:dyDescent="0.25">
      <c r="A777">
        <v>2110030001</v>
      </c>
      <c r="B777" t="s">
        <v>1142</v>
      </c>
      <c r="C777">
        <v>2310030017</v>
      </c>
      <c r="D777" t="s">
        <v>2156</v>
      </c>
      <c r="E777">
        <v>2430850013</v>
      </c>
      <c r="F777" t="s">
        <v>3696</v>
      </c>
      <c r="G777" t="s">
        <v>89</v>
      </c>
      <c r="H777">
        <v>0.93059999999999998</v>
      </c>
      <c r="I777">
        <v>2</v>
      </c>
      <c r="J777">
        <v>8000</v>
      </c>
      <c r="K777">
        <f>+VLOOKUP(E777,Costos!$A$1:$I$7161,9,FALSE)</f>
        <v>5.3988800000000001</v>
      </c>
      <c r="L777" t="str">
        <f t="shared" si="26"/>
        <v>243</v>
      </c>
      <c r="M777" t="str">
        <f t="shared" si="27"/>
        <v>243085</v>
      </c>
    </row>
    <row r="778" spans="1:13" x14ac:dyDescent="0.25">
      <c r="A778">
        <v>2110030001</v>
      </c>
      <c r="B778" t="s">
        <v>1142</v>
      </c>
      <c r="C778">
        <v>2310030017</v>
      </c>
      <c r="D778" t="s">
        <v>2156</v>
      </c>
      <c r="E778">
        <v>2410210019</v>
      </c>
      <c r="F778" t="s">
        <v>113</v>
      </c>
      <c r="G778" t="s">
        <v>89</v>
      </c>
      <c r="H778">
        <v>0.93489999999999995</v>
      </c>
      <c r="I778">
        <v>2</v>
      </c>
      <c r="J778">
        <v>8000</v>
      </c>
      <c r="K778">
        <f>+VLOOKUP(E778,Costos!$A$1:$I$7161,9,FALSE)</f>
        <v>7.5043049999999996</v>
      </c>
      <c r="L778" t="str">
        <f t="shared" si="26"/>
        <v>241</v>
      </c>
      <c r="M778" t="str">
        <f t="shared" si="27"/>
        <v>241021</v>
      </c>
    </row>
    <row r="779" spans="1:13" x14ac:dyDescent="0.25">
      <c r="A779">
        <v>2110030001</v>
      </c>
      <c r="B779" t="s">
        <v>1142</v>
      </c>
      <c r="C779">
        <v>2310030017</v>
      </c>
      <c r="D779" t="s">
        <v>2156</v>
      </c>
      <c r="E779">
        <v>2430880022</v>
      </c>
      <c r="F779" t="s">
        <v>115</v>
      </c>
      <c r="G779" t="s">
        <v>89</v>
      </c>
      <c r="H779">
        <v>1.3351</v>
      </c>
      <c r="I779">
        <v>2</v>
      </c>
      <c r="J779">
        <v>8000</v>
      </c>
      <c r="K779">
        <f>+VLOOKUP(E779,Costos!$A$1:$I$7161,9,FALSE)</f>
        <v>5.3984490000000003</v>
      </c>
      <c r="L779" t="str">
        <f t="shared" si="26"/>
        <v>243</v>
      </c>
      <c r="M779" t="str">
        <f t="shared" si="27"/>
        <v>243088</v>
      </c>
    </row>
    <row r="780" spans="1:13" x14ac:dyDescent="0.25">
      <c r="A780">
        <v>2110030001</v>
      </c>
      <c r="B780" t="s">
        <v>1142</v>
      </c>
      <c r="C780">
        <v>2310030017</v>
      </c>
      <c r="D780" t="s">
        <v>2156</v>
      </c>
      <c r="E780">
        <v>2430530010</v>
      </c>
      <c r="F780" t="s">
        <v>3634</v>
      </c>
      <c r="G780" t="s">
        <v>89</v>
      </c>
      <c r="H780">
        <v>89.229399999999998</v>
      </c>
      <c r="I780">
        <v>2</v>
      </c>
      <c r="J780">
        <v>8000</v>
      </c>
      <c r="K780">
        <f>+VLOOKUP(E780,Costos!$A$1:$I$7161,9,FALSE)</f>
        <v>0.66962999999999995</v>
      </c>
      <c r="L780" t="str">
        <f t="shared" si="26"/>
        <v>243</v>
      </c>
      <c r="M780" t="str">
        <f t="shared" si="27"/>
        <v>243053</v>
      </c>
    </row>
    <row r="781" spans="1:13" x14ac:dyDescent="0.25">
      <c r="A781">
        <v>2110030001</v>
      </c>
      <c r="B781" t="s">
        <v>1142</v>
      </c>
      <c r="C781">
        <v>2310030017</v>
      </c>
      <c r="D781" t="s">
        <v>2156</v>
      </c>
      <c r="E781">
        <v>2430680003</v>
      </c>
      <c r="F781" t="s">
        <v>3660</v>
      </c>
      <c r="G781" t="s">
        <v>89</v>
      </c>
      <c r="H781">
        <v>7.6891999999999996</v>
      </c>
      <c r="I781">
        <v>2</v>
      </c>
      <c r="J781">
        <v>8000</v>
      </c>
      <c r="K781">
        <f>+VLOOKUP(E781,Costos!$A$1:$I$7161,9,FALSE)</f>
        <v>36.403579999999998</v>
      </c>
      <c r="L781" t="str">
        <f t="shared" si="26"/>
        <v>243</v>
      </c>
      <c r="M781" t="str">
        <f t="shared" si="27"/>
        <v>243068</v>
      </c>
    </row>
    <row r="782" spans="1:13" x14ac:dyDescent="0.25">
      <c r="A782">
        <v>2110030001</v>
      </c>
      <c r="B782" t="s">
        <v>1142</v>
      </c>
      <c r="C782">
        <v>2310030017</v>
      </c>
      <c r="D782" t="s">
        <v>2156</v>
      </c>
      <c r="E782">
        <v>2430350001</v>
      </c>
      <c r="F782" t="s">
        <v>4877</v>
      </c>
      <c r="G782" t="s">
        <v>89</v>
      </c>
      <c r="H782">
        <v>1.7189000000000001</v>
      </c>
      <c r="I782">
        <v>2</v>
      </c>
      <c r="J782">
        <v>8000</v>
      </c>
      <c r="K782">
        <f>+VLOOKUP(E782,Costos!$A$1:$I$7161,9,FALSE)</f>
        <v>8.0727779999999996</v>
      </c>
      <c r="L782" t="str">
        <f t="shared" si="26"/>
        <v>243</v>
      </c>
      <c r="M782" t="str">
        <f t="shared" si="27"/>
        <v>243035</v>
      </c>
    </row>
    <row r="783" spans="1:13" x14ac:dyDescent="0.25">
      <c r="A783">
        <v>2110030001</v>
      </c>
      <c r="B783" t="s">
        <v>1142</v>
      </c>
      <c r="C783">
        <v>2310030017</v>
      </c>
      <c r="D783" t="s">
        <v>2156</v>
      </c>
      <c r="E783">
        <v>2430390013</v>
      </c>
      <c r="F783" t="s">
        <v>3624</v>
      </c>
      <c r="G783" t="s">
        <v>89</v>
      </c>
      <c r="H783">
        <v>2.4232999999999998</v>
      </c>
      <c r="I783">
        <v>2</v>
      </c>
      <c r="J783">
        <v>8000</v>
      </c>
      <c r="K783">
        <f>+VLOOKUP(E783,Costos!$A$1:$I$7161,9,FALSE)</f>
        <v>26.576163999999999</v>
      </c>
      <c r="L783" t="str">
        <f t="shared" si="26"/>
        <v>243</v>
      </c>
      <c r="M783" t="str">
        <f t="shared" si="27"/>
        <v>243039</v>
      </c>
    </row>
    <row r="784" spans="1:13" x14ac:dyDescent="0.25">
      <c r="A784">
        <v>2110030001</v>
      </c>
      <c r="B784" t="s">
        <v>1142</v>
      </c>
      <c r="C784">
        <v>2310030017</v>
      </c>
      <c r="D784" t="s">
        <v>2156</v>
      </c>
      <c r="E784">
        <v>2310030273</v>
      </c>
      <c r="F784" t="s">
        <v>2181</v>
      </c>
      <c r="G784" t="s">
        <v>89</v>
      </c>
      <c r="H784">
        <v>8.3829999999999991</v>
      </c>
      <c r="I784">
        <v>2</v>
      </c>
      <c r="J784">
        <v>8000</v>
      </c>
      <c r="K784">
        <f>+VLOOKUP(E784,Costos!$A$1:$I$7161,9,FALSE)</f>
        <v>3.6945239999999999</v>
      </c>
      <c r="L784" t="str">
        <f t="shared" si="26"/>
        <v>231</v>
      </c>
      <c r="M784" t="str">
        <f t="shared" si="27"/>
        <v>231003</v>
      </c>
    </row>
    <row r="785" spans="1:13" x14ac:dyDescent="0.25">
      <c r="A785">
        <v>2110030001</v>
      </c>
      <c r="B785" t="s">
        <v>1142</v>
      </c>
      <c r="C785">
        <v>2310030273</v>
      </c>
      <c r="D785" t="s">
        <v>2181</v>
      </c>
      <c r="E785">
        <v>2410290596</v>
      </c>
      <c r="F785" t="s">
        <v>3426</v>
      </c>
      <c r="G785" t="s">
        <v>89</v>
      </c>
      <c r="H785">
        <v>0.82279999999999998</v>
      </c>
      <c r="I785">
        <v>3</v>
      </c>
      <c r="J785">
        <v>8000</v>
      </c>
      <c r="K785">
        <f>+VLOOKUP(E785,Costos!$A$1:$I$7161,9,FALSE)</f>
        <v>5.2137989999999999</v>
      </c>
      <c r="L785" t="str">
        <f t="shared" si="26"/>
        <v>241</v>
      </c>
      <c r="M785" t="str">
        <f t="shared" si="27"/>
        <v>241029</v>
      </c>
    </row>
    <row r="786" spans="1:13" x14ac:dyDescent="0.25">
      <c r="A786">
        <v>2110030001</v>
      </c>
      <c r="B786" t="s">
        <v>1142</v>
      </c>
      <c r="C786">
        <v>2310030273</v>
      </c>
      <c r="D786" t="s">
        <v>2181</v>
      </c>
      <c r="E786">
        <v>2430850012</v>
      </c>
      <c r="F786" t="s">
        <v>3695</v>
      </c>
      <c r="G786" t="s">
        <v>89</v>
      </c>
      <c r="H786">
        <v>9.1000000000000004E-3</v>
      </c>
      <c r="I786">
        <v>3</v>
      </c>
      <c r="J786">
        <v>8000</v>
      </c>
      <c r="K786">
        <f>+VLOOKUP(E786,Costos!$A$1:$I$7161,9,FALSE)</f>
        <v>13.272031</v>
      </c>
      <c r="L786" t="str">
        <f t="shared" si="26"/>
        <v>243</v>
      </c>
      <c r="M786" t="str">
        <f t="shared" si="27"/>
        <v>243085</v>
      </c>
    </row>
    <row r="787" spans="1:13" x14ac:dyDescent="0.25">
      <c r="A787">
        <v>2110030001</v>
      </c>
      <c r="B787" t="s">
        <v>1142</v>
      </c>
      <c r="C787">
        <v>2310030273</v>
      </c>
      <c r="D787" t="s">
        <v>2181</v>
      </c>
      <c r="E787">
        <v>2410210019</v>
      </c>
      <c r="F787" t="s">
        <v>113</v>
      </c>
      <c r="G787" t="s">
        <v>89</v>
      </c>
      <c r="H787">
        <v>7.3099999999999998E-2</v>
      </c>
      <c r="I787">
        <v>3</v>
      </c>
      <c r="J787">
        <v>8000</v>
      </c>
      <c r="K787">
        <f>+VLOOKUP(E787,Costos!$A$1:$I$7161,9,FALSE)</f>
        <v>7.5043049999999996</v>
      </c>
      <c r="L787" t="str">
        <f t="shared" si="26"/>
        <v>241</v>
      </c>
      <c r="M787" t="str">
        <f t="shared" si="27"/>
        <v>241021</v>
      </c>
    </row>
    <row r="788" spans="1:13" x14ac:dyDescent="0.25">
      <c r="A788">
        <v>2110030001</v>
      </c>
      <c r="B788" t="s">
        <v>1142</v>
      </c>
      <c r="C788">
        <v>2310030273</v>
      </c>
      <c r="D788" t="s">
        <v>2181</v>
      </c>
      <c r="E788">
        <v>2430950002</v>
      </c>
      <c r="F788" t="s">
        <v>3724</v>
      </c>
      <c r="G788" t="s">
        <v>89</v>
      </c>
      <c r="H788">
        <v>5.4899999999999997E-2</v>
      </c>
      <c r="I788">
        <v>3</v>
      </c>
      <c r="J788">
        <v>8000</v>
      </c>
      <c r="K788">
        <f>+VLOOKUP(E788,Costos!$A$1:$I$7161,9,FALSE)</f>
        <v>17.015674000000001</v>
      </c>
      <c r="L788" t="str">
        <f t="shared" si="26"/>
        <v>243</v>
      </c>
      <c r="M788" t="str">
        <f t="shared" si="27"/>
        <v>243095</v>
      </c>
    </row>
    <row r="789" spans="1:13" x14ac:dyDescent="0.25">
      <c r="A789">
        <v>2110030001</v>
      </c>
      <c r="B789" t="s">
        <v>1142</v>
      </c>
      <c r="C789">
        <v>2310030273</v>
      </c>
      <c r="D789" t="s">
        <v>2181</v>
      </c>
      <c r="E789">
        <v>2410290518</v>
      </c>
      <c r="F789" t="s">
        <v>3410</v>
      </c>
      <c r="G789" t="s">
        <v>89</v>
      </c>
      <c r="H789">
        <v>1.1900000000000001E-2</v>
      </c>
      <c r="I789">
        <v>3</v>
      </c>
      <c r="J789">
        <v>8000</v>
      </c>
      <c r="K789">
        <f>+VLOOKUP(E789,Costos!$A$1:$I$7161,9,FALSE)</f>
        <v>4.220154</v>
      </c>
      <c r="L789" t="str">
        <f t="shared" si="26"/>
        <v>241</v>
      </c>
      <c r="M789" t="str">
        <f t="shared" si="27"/>
        <v>241029</v>
      </c>
    </row>
    <row r="790" spans="1:13" x14ac:dyDescent="0.25">
      <c r="A790">
        <v>2110030001</v>
      </c>
      <c r="B790" t="s">
        <v>1142</v>
      </c>
      <c r="C790">
        <v>2310030273</v>
      </c>
      <c r="D790" t="s">
        <v>2181</v>
      </c>
      <c r="E790">
        <v>2430880022</v>
      </c>
      <c r="F790" t="s">
        <v>115</v>
      </c>
      <c r="G790" t="s">
        <v>89</v>
      </c>
      <c r="H790">
        <v>2.5100000000000001E-2</v>
      </c>
      <c r="I790">
        <v>3</v>
      </c>
      <c r="J790">
        <v>8000</v>
      </c>
      <c r="K790">
        <f>+VLOOKUP(E790,Costos!$A$1:$I$7161,9,FALSE)</f>
        <v>5.3984490000000003</v>
      </c>
      <c r="L790" t="str">
        <f t="shared" si="26"/>
        <v>243</v>
      </c>
      <c r="M790" t="str">
        <f t="shared" si="27"/>
        <v>243088</v>
      </c>
    </row>
    <row r="791" spans="1:13" x14ac:dyDescent="0.25">
      <c r="A791">
        <v>2110030001</v>
      </c>
      <c r="B791" t="s">
        <v>1142</v>
      </c>
      <c r="C791">
        <v>2310030273</v>
      </c>
      <c r="D791" t="s">
        <v>2181</v>
      </c>
      <c r="E791">
        <v>2410290827</v>
      </c>
      <c r="F791" t="s">
        <v>3524</v>
      </c>
      <c r="G791" t="s">
        <v>89</v>
      </c>
      <c r="H791">
        <v>0.1143</v>
      </c>
      <c r="I791">
        <v>3</v>
      </c>
      <c r="J791">
        <v>8000</v>
      </c>
      <c r="K791">
        <f>+VLOOKUP(E791,Costos!$A$1:$I$7161,9,FALSE)</f>
        <v>8.7861949999999993</v>
      </c>
      <c r="L791" t="str">
        <f t="shared" si="26"/>
        <v>241</v>
      </c>
      <c r="M791" t="str">
        <f t="shared" si="27"/>
        <v>241029</v>
      </c>
    </row>
    <row r="792" spans="1:13" x14ac:dyDescent="0.25">
      <c r="A792">
        <v>2110030001</v>
      </c>
      <c r="B792" t="s">
        <v>1142</v>
      </c>
      <c r="C792">
        <v>2310030273</v>
      </c>
      <c r="D792" t="s">
        <v>2181</v>
      </c>
      <c r="E792">
        <v>2430390013</v>
      </c>
      <c r="F792" t="s">
        <v>3624</v>
      </c>
      <c r="G792" t="s">
        <v>89</v>
      </c>
      <c r="H792">
        <v>4.5699999999999998E-2</v>
      </c>
      <c r="I792">
        <v>3</v>
      </c>
      <c r="J792">
        <v>8000</v>
      </c>
      <c r="K792">
        <f>+VLOOKUP(E792,Costos!$A$1:$I$7161,9,FALSE)</f>
        <v>26.576163999999999</v>
      </c>
      <c r="L792" t="str">
        <f t="shared" si="26"/>
        <v>243</v>
      </c>
      <c r="M792" t="str">
        <f t="shared" si="27"/>
        <v>243039</v>
      </c>
    </row>
    <row r="793" spans="1:13" x14ac:dyDescent="0.25">
      <c r="A793">
        <v>2110030001</v>
      </c>
      <c r="B793" t="s">
        <v>1142</v>
      </c>
      <c r="C793">
        <v>2310030273</v>
      </c>
      <c r="D793" t="s">
        <v>2181</v>
      </c>
      <c r="E793">
        <v>2430850037</v>
      </c>
      <c r="F793" t="s">
        <v>3702</v>
      </c>
      <c r="G793" t="s">
        <v>89</v>
      </c>
      <c r="H793">
        <v>7.3099999999999998E-2</v>
      </c>
      <c r="I793">
        <v>3</v>
      </c>
      <c r="J793">
        <v>8000</v>
      </c>
      <c r="K793">
        <f>+VLOOKUP(E793,Costos!$A$1:$I$7161,9,FALSE)</f>
        <v>5.186795</v>
      </c>
      <c r="L793" t="str">
        <f t="shared" si="26"/>
        <v>243</v>
      </c>
      <c r="M793" t="str">
        <f t="shared" si="27"/>
        <v>243085</v>
      </c>
    </row>
    <row r="794" spans="1:13" x14ac:dyDescent="0.25">
      <c r="A794">
        <v>2110030001</v>
      </c>
      <c r="B794" t="s">
        <v>1142</v>
      </c>
      <c r="C794">
        <v>2310030273</v>
      </c>
      <c r="D794" t="s">
        <v>2181</v>
      </c>
      <c r="E794">
        <v>2410290516</v>
      </c>
      <c r="F794" t="s">
        <v>3408</v>
      </c>
      <c r="G794" t="s">
        <v>89</v>
      </c>
      <c r="H794">
        <v>3.4742999999999999</v>
      </c>
      <c r="I794">
        <v>3</v>
      </c>
      <c r="J794">
        <v>8000</v>
      </c>
      <c r="K794">
        <f>+VLOOKUP(E794,Costos!$A$1:$I$7161,9,FALSE)</f>
        <v>4.2173800000000004</v>
      </c>
      <c r="L794" t="str">
        <f t="shared" si="26"/>
        <v>241</v>
      </c>
      <c r="M794" t="str">
        <f t="shared" si="27"/>
        <v>241029</v>
      </c>
    </row>
    <row r="795" spans="1:13" x14ac:dyDescent="0.25">
      <c r="A795">
        <v>2110030001</v>
      </c>
      <c r="B795" t="s">
        <v>1142</v>
      </c>
      <c r="C795">
        <v>2310030273</v>
      </c>
      <c r="D795" t="s">
        <v>2181</v>
      </c>
      <c r="E795">
        <v>2410290517</v>
      </c>
      <c r="F795" t="s">
        <v>3409</v>
      </c>
      <c r="G795" t="s">
        <v>89</v>
      </c>
      <c r="H795">
        <v>8.6999999999999994E-3</v>
      </c>
      <c r="I795">
        <v>3</v>
      </c>
      <c r="J795">
        <v>8000</v>
      </c>
      <c r="K795">
        <f>+VLOOKUP(E795,Costos!$A$1:$I$7161,9,FALSE)</f>
        <v>5.2654350000000001</v>
      </c>
      <c r="L795" t="str">
        <f t="shared" si="26"/>
        <v>241</v>
      </c>
      <c r="M795" t="str">
        <f t="shared" si="27"/>
        <v>241029</v>
      </c>
    </row>
    <row r="796" spans="1:13" x14ac:dyDescent="0.25">
      <c r="A796">
        <v>2110030001</v>
      </c>
      <c r="B796" t="s">
        <v>1142</v>
      </c>
      <c r="C796">
        <v>2310030273</v>
      </c>
      <c r="D796" t="s">
        <v>2181</v>
      </c>
      <c r="E796">
        <v>2410210003</v>
      </c>
      <c r="F796" t="s">
        <v>95</v>
      </c>
      <c r="G796" t="s">
        <v>89</v>
      </c>
      <c r="H796">
        <v>6.8599999999999994E-2</v>
      </c>
      <c r="I796">
        <v>3</v>
      </c>
      <c r="J796">
        <v>8000</v>
      </c>
      <c r="K796">
        <f>+VLOOKUP(E796,Costos!$A$1:$I$7161,9,FALSE)</f>
        <v>5.0519999999999996</v>
      </c>
      <c r="L796" t="str">
        <f t="shared" si="26"/>
        <v>241</v>
      </c>
      <c r="M796" t="str">
        <f t="shared" si="27"/>
        <v>241021</v>
      </c>
    </row>
    <row r="797" spans="1:13" x14ac:dyDescent="0.25">
      <c r="A797">
        <v>2110030001</v>
      </c>
      <c r="B797" t="s">
        <v>1142</v>
      </c>
      <c r="C797">
        <v>2310030017</v>
      </c>
      <c r="D797" t="s">
        <v>2156</v>
      </c>
      <c r="E797">
        <v>2410210003</v>
      </c>
      <c r="F797" t="s">
        <v>95</v>
      </c>
      <c r="G797" t="s">
        <v>89</v>
      </c>
      <c r="H797">
        <v>7.0087000000000002</v>
      </c>
      <c r="I797">
        <v>2</v>
      </c>
      <c r="J797">
        <v>8000</v>
      </c>
      <c r="K797">
        <f>+VLOOKUP(E797,Costos!$A$1:$I$7161,9,FALSE)</f>
        <v>5.0519999999999996</v>
      </c>
      <c r="L797" t="str">
        <f t="shared" si="26"/>
        <v>241</v>
      </c>
      <c r="M797" t="str">
        <f t="shared" si="27"/>
        <v>241021</v>
      </c>
    </row>
    <row r="798" spans="1:13" x14ac:dyDescent="0.25">
      <c r="A798">
        <v>2110030001</v>
      </c>
      <c r="B798" t="s">
        <v>1142</v>
      </c>
      <c r="C798">
        <v>2310030017</v>
      </c>
      <c r="D798" t="s">
        <v>2156</v>
      </c>
      <c r="E798">
        <v>2430810004</v>
      </c>
      <c r="F798" t="s">
        <v>3687</v>
      </c>
      <c r="G798" t="s">
        <v>89</v>
      </c>
      <c r="H798">
        <v>0.99550000000000005</v>
      </c>
      <c r="I798">
        <v>2</v>
      </c>
      <c r="J798">
        <v>8000</v>
      </c>
      <c r="K798">
        <f>+VLOOKUP(E798,Costos!$A$1:$I$7161,9,FALSE)</f>
        <v>5.5637780000000001</v>
      </c>
      <c r="L798" t="str">
        <f t="shared" si="26"/>
        <v>243</v>
      </c>
      <c r="M798" t="str">
        <f t="shared" si="27"/>
        <v>243081</v>
      </c>
    </row>
    <row r="799" spans="1:13" x14ac:dyDescent="0.25">
      <c r="A799">
        <v>2110030001</v>
      </c>
      <c r="B799" t="s">
        <v>1142</v>
      </c>
      <c r="C799">
        <v>2310030017</v>
      </c>
      <c r="D799" t="s">
        <v>2156</v>
      </c>
      <c r="E799">
        <v>2430870004</v>
      </c>
      <c r="F799" t="s">
        <v>3707</v>
      </c>
      <c r="G799" t="s">
        <v>89</v>
      </c>
      <c r="H799">
        <v>0.14219999999999999</v>
      </c>
      <c r="I799">
        <v>2</v>
      </c>
      <c r="J799">
        <v>8000</v>
      </c>
      <c r="K799">
        <f>+VLOOKUP(E799,Costos!$A$1:$I$7161,9,FALSE)</f>
        <v>11.1012</v>
      </c>
      <c r="L799" t="str">
        <f t="shared" si="26"/>
        <v>243</v>
      </c>
      <c r="M799" t="str">
        <f t="shared" si="27"/>
        <v>243087</v>
      </c>
    </row>
    <row r="800" spans="1:13" x14ac:dyDescent="0.25">
      <c r="A800">
        <v>2110030001</v>
      </c>
      <c r="B800" t="s">
        <v>1142</v>
      </c>
      <c r="C800">
        <v>2110030001</v>
      </c>
      <c r="D800" t="s">
        <v>1142</v>
      </c>
      <c r="E800">
        <v>2310030018</v>
      </c>
      <c r="F800" t="s">
        <v>2157</v>
      </c>
      <c r="G800" t="s">
        <v>230</v>
      </c>
      <c r="H800">
        <v>280</v>
      </c>
      <c r="I800">
        <v>1</v>
      </c>
      <c r="J800">
        <v>8000</v>
      </c>
      <c r="K800">
        <f>+VLOOKUP(E800,Costos!$A$1:$I$7161,9,FALSE)</f>
        <v>2.1302240000000001</v>
      </c>
      <c r="L800" t="str">
        <f t="shared" si="26"/>
        <v>231</v>
      </c>
      <c r="M800" t="str">
        <f t="shared" si="27"/>
        <v>231003</v>
      </c>
    </row>
    <row r="801" spans="1:13" x14ac:dyDescent="0.25">
      <c r="A801">
        <v>2110030001</v>
      </c>
      <c r="B801" t="s">
        <v>1142</v>
      </c>
      <c r="C801">
        <v>2310030018</v>
      </c>
      <c r="D801" t="s">
        <v>2157</v>
      </c>
      <c r="E801">
        <v>2410220004</v>
      </c>
      <c r="F801" t="s">
        <v>3371</v>
      </c>
      <c r="G801" t="s">
        <v>89</v>
      </c>
      <c r="H801">
        <v>8.6199999999999999E-2</v>
      </c>
      <c r="I801">
        <v>2</v>
      </c>
      <c r="J801">
        <v>8000</v>
      </c>
      <c r="K801">
        <f>+VLOOKUP(E801,Costos!$A$1:$I$7161,9,FALSE)</f>
        <v>144.33490800000001</v>
      </c>
      <c r="L801" t="str">
        <f t="shared" si="26"/>
        <v>241</v>
      </c>
      <c r="M801" t="str">
        <f t="shared" si="27"/>
        <v>241022</v>
      </c>
    </row>
    <row r="802" spans="1:13" x14ac:dyDescent="0.25">
      <c r="A802">
        <v>2110030001</v>
      </c>
      <c r="B802" t="s">
        <v>1142</v>
      </c>
      <c r="C802">
        <v>2310030018</v>
      </c>
      <c r="D802" t="s">
        <v>2157</v>
      </c>
      <c r="E802">
        <v>2430850012</v>
      </c>
      <c r="F802" t="s">
        <v>3695</v>
      </c>
      <c r="G802" t="s">
        <v>89</v>
      </c>
      <c r="H802">
        <v>0.34470000000000001</v>
      </c>
      <c r="I802">
        <v>2</v>
      </c>
      <c r="J802">
        <v>8000</v>
      </c>
      <c r="K802">
        <f>+VLOOKUP(E802,Costos!$A$1:$I$7161,9,FALSE)</f>
        <v>13.272031</v>
      </c>
      <c r="L802" t="str">
        <f t="shared" si="26"/>
        <v>243</v>
      </c>
      <c r="M802" t="str">
        <f t="shared" si="27"/>
        <v>243085</v>
      </c>
    </row>
    <row r="803" spans="1:13" x14ac:dyDescent="0.25">
      <c r="A803">
        <v>2110030001</v>
      </c>
      <c r="B803" t="s">
        <v>1142</v>
      </c>
      <c r="C803">
        <v>2310030018</v>
      </c>
      <c r="D803" t="s">
        <v>2157</v>
      </c>
      <c r="E803">
        <v>2430850013</v>
      </c>
      <c r="F803" t="s">
        <v>3696</v>
      </c>
      <c r="G803" t="s">
        <v>89</v>
      </c>
      <c r="H803">
        <v>0.90469999999999995</v>
      </c>
      <c r="I803">
        <v>2</v>
      </c>
      <c r="J803">
        <v>8000</v>
      </c>
      <c r="K803">
        <f>+VLOOKUP(E803,Costos!$A$1:$I$7161,9,FALSE)</f>
        <v>5.3988800000000001</v>
      </c>
      <c r="L803" t="str">
        <f t="shared" si="26"/>
        <v>243</v>
      </c>
      <c r="M803" t="str">
        <f t="shared" si="27"/>
        <v>243085</v>
      </c>
    </row>
    <row r="804" spans="1:13" x14ac:dyDescent="0.25">
      <c r="A804">
        <v>2110030001</v>
      </c>
      <c r="B804" t="s">
        <v>1142</v>
      </c>
      <c r="C804">
        <v>2310030018</v>
      </c>
      <c r="D804" t="s">
        <v>2157</v>
      </c>
      <c r="E804">
        <v>2410210019</v>
      </c>
      <c r="F804" t="s">
        <v>113</v>
      </c>
      <c r="G804" t="s">
        <v>89</v>
      </c>
      <c r="H804">
        <v>0.68910000000000005</v>
      </c>
      <c r="I804">
        <v>2</v>
      </c>
      <c r="J804">
        <v>8000</v>
      </c>
      <c r="K804">
        <f>+VLOOKUP(E804,Costos!$A$1:$I$7161,9,FALSE)</f>
        <v>7.5043049999999996</v>
      </c>
      <c r="L804" t="str">
        <f t="shared" si="26"/>
        <v>241</v>
      </c>
      <c r="M804" t="str">
        <f t="shared" si="27"/>
        <v>241021</v>
      </c>
    </row>
    <row r="805" spans="1:13" x14ac:dyDescent="0.25">
      <c r="A805">
        <v>2110030001</v>
      </c>
      <c r="B805" t="s">
        <v>1142</v>
      </c>
      <c r="C805">
        <v>2310030018</v>
      </c>
      <c r="D805" t="s">
        <v>2157</v>
      </c>
      <c r="E805">
        <v>2430880022</v>
      </c>
      <c r="F805" t="s">
        <v>115</v>
      </c>
      <c r="G805" t="s">
        <v>89</v>
      </c>
      <c r="H805">
        <v>1.3351</v>
      </c>
      <c r="I805">
        <v>2</v>
      </c>
      <c r="J805">
        <v>8000</v>
      </c>
      <c r="K805">
        <f>+VLOOKUP(E805,Costos!$A$1:$I$7161,9,FALSE)</f>
        <v>5.3984490000000003</v>
      </c>
      <c r="L805" t="str">
        <f t="shared" si="26"/>
        <v>243</v>
      </c>
      <c r="M805" t="str">
        <f t="shared" si="27"/>
        <v>243088</v>
      </c>
    </row>
    <row r="806" spans="1:13" x14ac:dyDescent="0.25">
      <c r="A806">
        <v>2110030001</v>
      </c>
      <c r="B806" t="s">
        <v>1142</v>
      </c>
      <c r="C806">
        <v>2310030018</v>
      </c>
      <c r="D806" t="s">
        <v>2157</v>
      </c>
      <c r="E806">
        <v>2430530010</v>
      </c>
      <c r="F806" t="s">
        <v>3634</v>
      </c>
      <c r="G806" t="s">
        <v>89</v>
      </c>
      <c r="H806">
        <v>84.148399999999995</v>
      </c>
      <c r="I806">
        <v>2</v>
      </c>
      <c r="J806">
        <v>8000</v>
      </c>
      <c r="K806">
        <f>+VLOOKUP(E806,Costos!$A$1:$I$7161,9,FALSE)</f>
        <v>0.66962999999999995</v>
      </c>
      <c r="L806" t="str">
        <f t="shared" si="26"/>
        <v>243</v>
      </c>
      <c r="M806" t="str">
        <f t="shared" si="27"/>
        <v>243053</v>
      </c>
    </row>
    <row r="807" spans="1:13" x14ac:dyDescent="0.25">
      <c r="A807">
        <v>2110030001</v>
      </c>
      <c r="B807" t="s">
        <v>1142</v>
      </c>
      <c r="C807">
        <v>2310030018</v>
      </c>
      <c r="D807" t="s">
        <v>2157</v>
      </c>
      <c r="E807">
        <v>2430620001</v>
      </c>
      <c r="F807" t="s">
        <v>3647</v>
      </c>
      <c r="G807" t="s">
        <v>89</v>
      </c>
      <c r="H807">
        <v>1.3352999999999999</v>
      </c>
      <c r="I807">
        <v>2</v>
      </c>
      <c r="J807">
        <v>8000</v>
      </c>
      <c r="K807">
        <f>+VLOOKUP(E807,Costos!$A$1:$I$7161,9,FALSE)</f>
        <v>33.819716999999997</v>
      </c>
      <c r="L807" t="str">
        <f t="shared" si="26"/>
        <v>243</v>
      </c>
      <c r="M807" t="str">
        <f t="shared" si="27"/>
        <v>243062</v>
      </c>
    </row>
    <row r="808" spans="1:13" x14ac:dyDescent="0.25">
      <c r="A808">
        <v>2110030001</v>
      </c>
      <c r="B808" t="s">
        <v>1142</v>
      </c>
      <c r="C808">
        <v>2310030018</v>
      </c>
      <c r="D808" t="s">
        <v>2157</v>
      </c>
      <c r="E808">
        <v>2430680003</v>
      </c>
      <c r="F808" t="s">
        <v>3660</v>
      </c>
      <c r="G808" t="s">
        <v>89</v>
      </c>
      <c r="H808">
        <v>8.6199999999999999E-2</v>
      </c>
      <c r="I808">
        <v>2</v>
      </c>
      <c r="J808">
        <v>8000</v>
      </c>
      <c r="K808">
        <f>+VLOOKUP(E808,Costos!$A$1:$I$7161,9,FALSE)</f>
        <v>36.403579999999998</v>
      </c>
      <c r="L808" t="str">
        <f t="shared" si="26"/>
        <v>243</v>
      </c>
      <c r="M808" t="str">
        <f t="shared" si="27"/>
        <v>243068</v>
      </c>
    </row>
    <row r="809" spans="1:13" x14ac:dyDescent="0.25">
      <c r="A809">
        <v>2110030001</v>
      </c>
      <c r="B809" t="s">
        <v>1142</v>
      </c>
      <c r="C809">
        <v>2310030018</v>
      </c>
      <c r="D809" t="s">
        <v>2157</v>
      </c>
      <c r="E809">
        <v>2310030240</v>
      </c>
      <c r="F809" t="s">
        <v>2176</v>
      </c>
      <c r="G809" t="s">
        <v>89</v>
      </c>
      <c r="H809">
        <v>4.3509000000000002</v>
      </c>
      <c r="I809">
        <v>2</v>
      </c>
      <c r="J809">
        <v>8000</v>
      </c>
      <c r="K809">
        <f>+VLOOKUP(E809,Costos!$A$1:$I$7161,9,FALSE)</f>
        <v>23.955804000000001</v>
      </c>
      <c r="L809" t="str">
        <f t="shared" si="26"/>
        <v>231</v>
      </c>
      <c r="M809" t="str">
        <f t="shared" si="27"/>
        <v>231003</v>
      </c>
    </row>
    <row r="810" spans="1:13" x14ac:dyDescent="0.25">
      <c r="A810">
        <v>2110030001</v>
      </c>
      <c r="B810" t="s">
        <v>1142</v>
      </c>
      <c r="C810">
        <v>2310030240</v>
      </c>
      <c r="D810" t="s">
        <v>2176</v>
      </c>
      <c r="E810">
        <v>2430850012</v>
      </c>
      <c r="F810" t="s">
        <v>3695</v>
      </c>
      <c r="G810" t="s">
        <v>89</v>
      </c>
      <c r="H810">
        <v>3.9100000000000003E-2</v>
      </c>
      <c r="I810">
        <v>3</v>
      </c>
      <c r="J810">
        <v>8000</v>
      </c>
      <c r="K810">
        <f>+VLOOKUP(E810,Costos!$A$1:$I$7161,9,FALSE)</f>
        <v>13.272031</v>
      </c>
      <c r="L810" t="str">
        <f t="shared" si="26"/>
        <v>243</v>
      </c>
      <c r="M810" t="str">
        <f t="shared" si="27"/>
        <v>243085</v>
      </c>
    </row>
    <row r="811" spans="1:13" x14ac:dyDescent="0.25">
      <c r="A811">
        <v>2110030001</v>
      </c>
      <c r="B811" t="s">
        <v>1142</v>
      </c>
      <c r="C811">
        <v>2310030240</v>
      </c>
      <c r="D811" t="s">
        <v>2176</v>
      </c>
      <c r="E811">
        <v>2410210019</v>
      </c>
      <c r="F811" t="s">
        <v>113</v>
      </c>
      <c r="G811" t="s">
        <v>89</v>
      </c>
      <c r="H811">
        <v>0.3952</v>
      </c>
      <c r="I811">
        <v>3</v>
      </c>
      <c r="J811">
        <v>8000</v>
      </c>
      <c r="K811">
        <f>+VLOOKUP(E811,Costos!$A$1:$I$7161,9,FALSE)</f>
        <v>7.5043049999999996</v>
      </c>
      <c r="L811" t="str">
        <f t="shared" si="26"/>
        <v>241</v>
      </c>
      <c r="M811" t="str">
        <f t="shared" si="27"/>
        <v>241021</v>
      </c>
    </row>
    <row r="812" spans="1:13" x14ac:dyDescent="0.25">
      <c r="A812">
        <v>2110030001</v>
      </c>
      <c r="B812" t="s">
        <v>1142</v>
      </c>
      <c r="C812">
        <v>2310030240</v>
      </c>
      <c r="D812" t="s">
        <v>2176</v>
      </c>
      <c r="E812">
        <v>2430950002</v>
      </c>
      <c r="F812" t="s">
        <v>3724</v>
      </c>
      <c r="G812" t="s">
        <v>89</v>
      </c>
      <c r="H812">
        <v>3.9100000000000003E-2</v>
      </c>
      <c r="I812">
        <v>3</v>
      </c>
      <c r="J812">
        <v>8000</v>
      </c>
      <c r="K812">
        <f>+VLOOKUP(E812,Costos!$A$1:$I$7161,9,FALSE)</f>
        <v>17.015674000000001</v>
      </c>
      <c r="L812" t="str">
        <f t="shared" si="26"/>
        <v>243</v>
      </c>
      <c r="M812" t="str">
        <f t="shared" si="27"/>
        <v>243095</v>
      </c>
    </row>
    <row r="813" spans="1:13" x14ac:dyDescent="0.25">
      <c r="A813">
        <v>2110030001</v>
      </c>
      <c r="B813" t="s">
        <v>1142</v>
      </c>
      <c r="C813">
        <v>2310030240</v>
      </c>
      <c r="D813" t="s">
        <v>2176</v>
      </c>
      <c r="E813">
        <v>2430880026</v>
      </c>
      <c r="F813" t="s">
        <v>115</v>
      </c>
      <c r="G813" t="s">
        <v>89</v>
      </c>
      <c r="H813">
        <v>3.9100000000000003E-2</v>
      </c>
      <c r="I813">
        <v>3</v>
      </c>
      <c r="J813">
        <v>8000</v>
      </c>
      <c r="K813">
        <f>+VLOOKUP(E813,Costos!$A$1:$I$7161,9,FALSE)</f>
        <v>6.3188240000000002</v>
      </c>
      <c r="L813" t="str">
        <f t="shared" si="26"/>
        <v>243</v>
      </c>
      <c r="M813" t="str">
        <f t="shared" si="27"/>
        <v>243088</v>
      </c>
    </row>
    <row r="814" spans="1:13" x14ac:dyDescent="0.25">
      <c r="A814">
        <v>2110030001</v>
      </c>
      <c r="B814" t="s">
        <v>1142</v>
      </c>
      <c r="C814">
        <v>2310030240</v>
      </c>
      <c r="D814" t="s">
        <v>2176</v>
      </c>
      <c r="E814">
        <v>2410090305</v>
      </c>
      <c r="F814" t="s">
        <v>3261</v>
      </c>
      <c r="G814" t="s">
        <v>89</v>
      </c>
      <c r="H814">
        <v>1.9956</v>
      </c>
      <c r="I814">
        <v>3</v>
      </c>
      <c r="J814">
        <v>8000</v>
      </c>
      <c r="K814">
        <f>+VLOOKUP(E814,Costos!$A$1:$I$7161,9,FALSE)</f>
        <v>39.245722000000001</v>
      </c>
      <c r="L814" t="str">
        <f t="shared" si="26"/>
        <v>241</v>
      </c>
      <c r="M814" t="str">
        <f t="shared" si="27"/>
        <v>241009</v>
      </c>
    </row>
    <row r="815" spans="1:13" x14ac:dyDescent="0.25">
      <c r="A815">
        <v>2110030001</v>
      </c>
      <c r="B815" t="s">
        <v>1142</v>
      </c>
      <c r="C815">
        <v>2310030240</v>
      </c>
      <c r="D815" t="s">
        <v>2176</v>
      </c>
      <c r="E815">
        <v>2410210003</v>
      </c>
      <c r="F815" t="s">
        <v>95</v>
      </c>
      <c r="G815" t="s">
        <v>89</v>
      </c>
      <c r="H815">
        <v>0.54769999999999996</v>
      </c>
      <c r="I815">
        <v>3</v>
      </c>
      <c r="J815">
        <v>8000</v>
      </c>
      <c r="K815">
        <f>+VLOOKUP(E815,Costos!$A$1:$I$7161,9,FALSE)</f>
        <v>5.0519999999999996</v>
      </c>
      <c r="L815" t="str">
        <f t="shared" si="26"/>
        <v>241</v>
      </c>
      <c r="M815" t="str">
        <f t="shared" si="27"/>
        <v>241021</v>
      </c>
    </row>
    <row r="816" spans="1:13" x14ac:dyDescent="0.25">
      <c r="A816">
        <v>2110030001</v>
      </c>
      <c r="B816" t="s">
        <v>1142</v>
      </c>
      <c r="C816">
        <v>2310030240</v>
      </c>
      <c r="D816" t="s">
        <v>2176</v>
      </c>
      <c r="E816">
        <v>2410200020</v>
      </c>
      <c r="F816" t="s">
        <v>3365</v>
      </c>
      <c r="G816" t="s">
        <v>89</v>
      </c>
      <c r="H816">
        <v>0.3952</v>
      </c>
      <c r="I816">
        <v>3</v>
      </c>
      <c r="J816">
        <v>8000</v>
      </c>
      <c r="K816">
        <f>+VLOOKUP(E816,Costos!$A$1:$I$7161,9,FALSE)</f>
        <v>2.074649</v>
      </c>
      <c r="L816" t="str">
        <f t="shared" si="26"/>
        <v>241</v>
      </c>
      <c r="M816" t="str">
        <f t="shared" si="27"/>
        <v>241020</v>
      </c>
    </row>
    <row r="817" spans="1:13" x14ac:dyDescent="0.25">
      <c r="A817">
        <v>2110030001</v>
      </c>
      <c r="B817" t="s">
        <v>1142</v>
      </c>
      <c r="C817">
        <v>2310030018</v>
      </c>
      <c r="D817" t="s">
        <v>2157</v>
      </c>
      <c r="E817">
        <v>2430350001</v>
      </c>
      <c r="F817" t="s">
        <v>4877</v>
      </c>
      <c r="G817" t="s">
        <v>89</v>
      </c>
      <c r="H817">
        <v>1.7229000000000001</v>
      </c>
      <c r="I817">
        <v>2</v>
      </c>
      <c r="J817">
        <v>8000</v>
      </c>
      <c r="K817">
        <f>+VLOOKUP(E817,Costos!$A$1:$I$7161,9,FALSE)</f>
        <v>8.0727779999999996</v>
      </c>
      <c r="L817" t="str">
        <f t="shared" si="26"/>
        <v>243</v>
      </c>
      <c r="M817" t="str">
        <f t="shared" si="27"/>
        <v>243035</v>
      </c>
    </row>
    <row r="818" spans="1:13" x14ac:dyDescent="0.25">
      <c r="A818">
        <v>2110030001</v>
      </c>
      <c r="B818" t="s">
        <v>1142</v>
      </c>
      <c r="C818">
        <v>2310030018</v>
      </c>
      <c r="D818" t="s">
        <v>2157</v>
      </c>
      <c r="E818">
        <v>2430390013</v>
      </c>
      <c r="F818" t="s">
        <v>3624</v>
      </c>
      <c r="G818" t="s">
        <v>89</v>
      </c>
      <c r="H818">
        <v>2.4794999999999998</v>
      </c>
      <c r="I818">
        <v>2</v>
      </c>
      <c r="J818">
        <v>8000</v>
      </c>
      <c r="K818">
        <f>+VLOOKUP(E818,Costos!$A$1:$I$7161,9,FALSE)</f>
        <v>26.576163999999999</v>
      </c>
      <c r="L818" t="str">
        <f t="shared" si="26"/>
        <v>243</v>
      </c>
      <c r="M818" t="str">
        <f t="shared" si="27"/>
        <v>243039</v>
      </c>
    </row>
    <row r="819" spans="1:13" x14ac:dyDescent="0.25">
      <c r="A819">
        <v>2110030001</v>
      </c>
      <c r="B819" t="s">
        <v>1142</v>
      </c>
      <c r="C819">
        <v>2310030018</v>
      </c>
      <c r="D819" t="s">
        <v>2157</v>
      </c>
      <c r="E819">
        <v>2310030273</v>
      </c>
      <c r="F819" t="s">
        <v>2181</v>
      </c>
      <c r="G819" t="s">
        <v>89</v>
      </c>
      <c r="H819">
        <v>11.2</v>
      </c>
      <c r="I819">
        <v>2</v>
      </c>
      <c r="J819">
        <v>8000</v>
      </c>
      <c r="K819">
        <f>+VLOOKUP(E819,Costos!$A$1:$I$7161,9,FALSE)</f>
        <v>3.6945239999999999</v>
      </c>
      <c r="L819" t="str">
        <f t="shared" si="26"/>
        <v>231</v>
      </c>
      <c r="M819" t="str">
        <f t="shared" si="27"/>
        <v>231003</v>
      </c>
    </row>
    <row r="820" spans="1:13" x14ac:dyDescent="0.25">
      <c r="A820">
        <v>2110030001</v>
      </c>
      <c r="B820" t="s">
        <v>1142</v>
      </c>
      <c r="C820">
        <v>2310030273</v>
      </c>
      <c r="D820" t="s">
        <v>2181</v>
      </c>
      <c r="E820">
        <v>2410290596</v>
      </c>
      <c r="F820" t="s">
        <v>3426</v>
      </c>
      <c r="G820" t="s">
        <v>89</v>
      </c>
      <c r="H820">
        <v>1.0993999999999999</v>
      </c>
      <c r="I820">
        <v>3</v>
      </c>
      <c r="J820">
        <v>8000</v>
      </c>
      <c r="K820">
        <f>+VLOOKUP(E820,Costos!$A$1:$I$7161,9,FALSE)</f>
        <v>5.2137989999999999</v>
      </c>
      <c r="L820" t="str">
        <f t="shared" si="26"/>
        <v>241</v>
      </c>
      <c r="M820" t="str">
        <f t="shared" si="27"/>
        <v>241029</v>
      </c>
    </row>
    <row r="821" spans="1:13" x14ac:dyDescent="0.25">
      <c r="A821">
        <v>2110030001</v>
      </c>
      <c r="B821" t="s">
        <v>1142</v>
      </c>
      <c r="C821">
        <v>2310030273</v>
      </c>
      <c r="D821" t="s">
        <v>2181</v>
      </c>
      <c r="E821">
        <v>2430850012</v>
      </c>
      <c r="F821" t="s">
        <v>3695</v>
      </c>
      <c r="G821" t="s">
        <v>89</v>
      </c>
      <c r="H821">
        <v>1.2200000000000001E-2</v>
      </c>
      <c r="I821">
        <v>3</v>
      </c>
      <c r="J821">
        <v>8000</v>
      </c>
      <c r="K821">
        <f>+VLOOKUP(E821,Costos!$A$1:$I$7161,9,FALSE)</f>
        <v>13.272031</v>
      </c>
      <c r="L821" t="str">
        <f t="shared" si="26"/>
        <v>243</v>
      </c>
      <c r="M821" t="str">
        <f t="shared" si="27"/>
        <v>243085</v>
      </c>
    </row>
    <row r="822" spans="1:13" x14ac:dyDescent="0.25">
      <c r="A822">
        <v>2110030001</v>
      </c>
      <c r="B822" t="s">
        <v>1142</v>
      </c>
      <c r="C822">
        <v>2310030273</v>
      </c>
      <c r="D822" t="s">
        <v>2181</v>
      </c>
      <c r="E822">
        <v>2410210019</v>
      </c>
      <c r="F822" t="s">
        <v>113</v>
      </c>
      <c r="G822" t="s">
        <v>89</v>
      </c>
      <c r="H822">
        <v>9.7699999999999995E-2</v>
      </c>
      <c r="I822">
        <v>3</v>
      </c>
      <c r="J822">
        <v>8000</v>
      </c>
      <c r="K822">
        <f>+VLOOKUP(E822,Costos!$A$1:$I$7161,9,FALSE)</f>
        <v>7.5043049999999996</v>
      </c>
      <c r="L822" t="str">
        <f t="shared" si="26"/>
        <v>241</v>
      </c>
      <c r="M822" t="str">
        <f t="shared" si="27"/>
        <v>241021</v>
      </c>
    </row>
    <row r="823" spans="1:13" x14ac:dyDescent="0.25">
      <c r="A823">
        <v>2110030001</v>
      </c>
      <c r="B823" t="s">
        <v>1142</v>
      </c>
      <c r="C823">
        <v>2310030273</v>
      </c>
      <c r="D823" t="s">
        <v>2181</v>
      </c>
      <c r="E823">
        <v>2430950002</v>
      </c>
      <c r="F823" t="s">
        <v>3724</v>
      </c>
      <c r="G823" t="s">
        <v>89</v>
      </c>
      <c r="H823">
        <v>7.3300000000000004E-2</v>
      </c>
      <c r="I823">
        <v>3</v>
      </c>
      <c r="J823">
        <v>8000</v>
      </c>
      <c r="K823">
        <f>+VLOOKUP(E823,Costos!$A$1:$I$7161,9,FALSE)</f>
        <v>17.015674000000001</v>
      </c>
      <c r="L823" t="str">
        <f t="shared" si="26"/>
        <v>243</v>
      </c>
      <c r="M823" t="str">
        <f t="shared" si="27"/>
        <v>243095</v>
      </c>
    </row>
    <row r="824" spans="1:13" x14ac:dyDescent="0.25">
      <c r="A824">
        <v>2110030001</v>
      </c>
      <c r="B824" t="s">
        <v>1142</v>
      </c>
      <c r="C824">
        <v>2310030273</v>
      </c>
      <c r="D824" t="s">
        <v>2181</v>
      </c>
      <c r="E824">
        <v>2410290518</v>
      </c>
      <c r="F824" t="s">
        <v>3410</v>
      </c>
      <c r="G824" t="s">
        <v>89</v>
      </c>
      <c r="H824">
        <v>1.5900000000000001E-2</v>
      </c>
      <c r="I824">
        <v>3</v>
      </c>
      <c r="J824">
        <v>8000</v>
      </c>
      <c r="K824">
        <f>+VLOOKUP(E824,Costos!$A$1:$I$7161,9,FALSE)</f>
        <v>4.220154</v>
      </c>
      <c r="L824" t="str">
        <f t="shared" si="26"/>
        <v>241</v>
      </c>
      <c r="M824" t="str">
        <f t="shared" si="27"/>
        <v>241029</v>
      </c>
    </row>
    <row r="825" spans="1:13" x14ac:dyDescent="0.25">
      <c r="A825">
        <v>2110030001</v>
      </c>
      <c r="B825" t="s">
        <v>1142</v>
      </c>
      <c r="C825">
        <v>2310030273</v>
      </c>
      <c r="D825" t="s">
        <v>2181</v>
      </c>
      <c r="E825">
        <v>2430880022</v>
      </c>
      <c r="F825" t="s">
        <v>115</v>
      </c>
      <c r="G825" t="s">
        <v>89</v>
      </c>
      <c r="H825">
        <v>3.3599999999999998E-2</v>
      </c>
      <c r="I825">
        <v>3</v>
      </c>
      <c r="J825">
        <v>8000</v>
      </c>
      <c r="K825">
        <f>+VLOOKUP(E825,Costos!$A$1:$I$7161,9,FALSE)</f>
        <v>5.3984490000000003</v>
      </c>
      <c r="L825" t="str">
        <f t="shared" si="26"/>
        <v>243</v>
      </c>
      <c r="M825" t="str">
        <f t="shared" si="27"/>
        <v>243088</v>
      </c>
    </row>
    <row r="826" spans="1:13" x14ac:dyDescent="0.25">
      <c r="A826">
        <v>2110030001</v>
      </c>
      <c r="B826" t="s">
        <v>1142</v>
      </c>
      <c r="C826">
        <v>2310030273</v>
      </c>
      <c r="D826" t="s">
        <v>2181</v>
      </c>
      <c r="E826">
        <v>2410290827</v>
      </c>
      <c r="F826" t="s">
        <v>3524</v>
      </c>
      <c r="G826" t="s">
        <v>89</v>
      </c>
      <c r="H826">
        <v>0.1527</v>
      </c>
      <c r="I826">
        <v>3</v>
      </c>
      <c r="J826">
        <v>8000</v>
      </c>
      <c r="K826">
        <f>+VLOOKUP(E826,Costos!$A$1:$I$7161,9,FALSE)</f>
        <v>8.7861949999999993</v>
      </c>
      <c r="L826" t="str">
        <f t="shared" si="26"/>
        <v>241</v>
      </c>
      <c r="M826" t="str">
        <f t="shared" si="27"/>
        <v>241029</v>
      </c>
    </row>
    <row r="827" spans="1:13" x14ac:dyDescent="0.25">
      <c r="A827">
        <v>2110030001</v>
      </c>
      <c r="B827" t="s">
        <v>1142</v>
      </c>
      <c r="C827">
        <v>2310030273</v>
      </c>
      <c r="D827" t="s">
        <v>2181</v>
      </c>
      <c r="E827">
        <v>2430390013</v>
      </c>
      <c r="F827" t="s">
        <v>3624</v>
      </c>
      <c r="G827" t="s">
        <v>89</v>
      </c>
      <c r="H827">
        <v>6.1100000000000002E-2</v>
      </c>
      <c r="I827">
        <v>3</v>
      </c>
      <c r="J827">
        <v>8000</v>
      </c>
      <c r="K827">
        <f>+VLOOKUP(E827,Costos!$A$1:$I$7161,9,FALSE)</f>
        <v>26.576163999999999</v>
      </c>
      <c r="L827" t="str">
        <f t="shared" si="26"/>
        <v>243</v>
      </c>
      <c r="M827" t="str">
        <f t="shared" si="27"/>
        <v>243039</v>
      </c>
    </row>
    <row r="828" spans="1:13" x14ac:dyDescent="0.25">
      <c r="A828">
        <v>2110030001</v>
      </c>
      <c r="B828" t="s">
        <v>1142</v>
      </c>
      <c r="C828">
        <v>2310030273</v>
      </c>
      <c r="D828" t="s">
        <v>2181</v>
      </c>
      <c r="E828">
        <v>2430850037</v>
      </c>
      <c r="F828" t="s">
        <v>3702</v>
      </c>
      <c r="G828" t="s">
        <v>89</v>
      </c>
      <c r="H828">
        <v>9.7699999999999995E-2</v>
      </c>
      <c r="I828">
        <v>3</v>
      </c>
      <c r="J828">
        <v>8000</v>
      </c>
      <c r="K828">
        <f>+VLOOKUP(E828,Costos!$A$1:$I$7161,9,FALSE)</f>
        <v>5.186795</v>
      </c>
      <c r="L828" t="str">
        <f t="shared" si="26"/>
        <v>243</v>
      </c>
      <c r="M828" t="str">
        <f t="shared" si="27"/>
        <v>243085</v>
      </c>
    </row>
    <row r="829" spans="1:13" x14ac:dyDescent="0.25">
      <c r="A829">
        <v>2110030001</v>
      </c>
      <c r="B829" t="s">
        <v>1142</v>
      </c>
      <c r="C829">
        <v>2310030273</v>
      </c>
      <c r="D829" t="s">
        <v>2181</v>
      </c>
      <c r="E829">
        <v>2410290516</v>
      </c>
      <c r="F829" t="s">
        <v>3408</v>
      </c>
      <c r="G829" t="s">
        <v>89</v>
      </c>
      <c r="H829">
        <v>4.6417000000000002</v>
      </c>
      <c r="I829">
        <v>3</v>
      </c>
      <c r="J829">
        <v>8000</v>
      </c>
      <c r="K829">
        <f>+VLOOKUP(E829,Costos!$A$1:$I$7161,9,FALSE)</f>
        <v>4.2173800000000004</v>
      </c>
      <c r="L829" t="str">
        <f t="shared" si="26"/>
        <v>241</v>
      </c>
      <c r="M829" t="str">
        <f t="shared" si="27"/>
        <v>241029</v>
      </c>
    </row>
    <row r="830" spans="1:13" x14ac:dyDescent="0.25">
      <c r="A830">
        <v>2110030001</v>
      </c>
      <c r="B830" t="s">
        <v>1142</v>
      </c>
      <c r="C830">
        <v>2310030273</v>
      </c>
      <c r="D830" t="s">
        <v>2181</v>
      </c>
      <c r="E830">
        <v>2410290517</v>
      </c>
      <c r="F830" t="s">
        <v>3409</v>
      </c>
      <c r="G830" t="s">
        <v>89</v>
      </c>
      <c r="H830">
        <v>1.1599999999999999E-2</v>
      </c>
      <c r="I830">
        <v>3</v>
      </c>
      <c r="J830">
        <v>8000</v>
      </c>
      <c r="K830">
        <f>+VLOOKUP(E830,Costos!$A$1:$I$7161,9,FALSE)</f>
        <v>5.2654350000000001</v>
      </c>
      <c r="L830" t="str">
        <f t="shared" si="26"/>
        <v>241</v>
      </c>
      <c r="M830" t="str">
        <f t="shared" si="27"/>
        <v>241029</v>
      </c>
    </row>
    <row r="831" spans="1:13" x14ac:dyDescent="0.25">
      <c r="A831">
        <v>2110030001</v>
      </c>
      <c r="B831" t="s">
        <v>1142</v>
      </c>
      <c r="C831">
        <v>2310030273</v>
      </c>
      <c r="D831" t="s">
        <v>2181</v>
      </c>
      <c r="E831">
        <v>2410210003</v>
      </c>
      <c r="F831" t="s">
        <v>95</v>
      </c>
      <c r="G831" t="s">
        <v>89</v>
      </c>
      <c r="H831">
        <v>9.1600000000000001E-2</v>
      </c>
      <c r="I831">
        <v>3</v>
      </c>
      <c r="J831">
        <v>8000</v>
      </c>
      <c r="K831">
        <f>+VLOOKUP(E831,Costos!$A$1:$I$7161,9,FALSE)</f>
        <v>5.0519999999999996</v>
      </c>
      <c r="L831" t="str">
        <f t="shared" si="26"/>
        <v>241</v>
      </c>
      <c r="M831" t="str">
        <f t="shared" si="27"/>
        <v>241021</v>
      </c>
    </row>
    <row r="832" spans="1:13" x14ac:dyDescent="0.25">
      <c r="A832">
        <v>2110030001</v>
      </c>
      <c r="B832" t="s">
        <v>1142</v>
      </c>
      <c r="C832">
        <v>2310030018</v>
      </c>
      <c r="D832" t="s">
        <v>2157</v>
      </c>
      <c r="E832">
        <v>2410210003</v>
      </c>
      <c r="F832" t="s">
        <v>95</v>
      </c>
      <c r="G832" t="s">
        <v>89</v>
      </c>
      <c r="H832">
        <v>11.2</v>
      </c>
      <c r="I832">
        <v>2</v>
      </c>
      <c r="J832">
        <v>8000</v>
      </c>
      <c r="K832">
        <f>+VLOOKUP(E832,Costos!$A$1:$I$7161,9,FALSE)</f>
        <v>5.0519999999999996</v>
      </c>
      <c r="L832" t="str">
        <f t="shared" si="26"/>
        <v>241</v>
      </c>
      <c r="M832" t="str">
        <f t="shared" si="27"/>
        <v>241021</v>
      </c>
    </row>
    <row r="833" spans="1:13" x14ac:dyDescent="0.25">
      <c r="A833">
        <v>2110030001</v>
      </c>
      <c r="B833" t="s">
        <v>1142</v>
      </c>
      <c r="C833">
        <v>2310030018</v>
      </c>
      <c r="D833" t="s">
        <v>2157</v>
      </c>
      <c r="E833">
        <v>2430810004</v>
      </c>
      <c r="F833" t="s">
        <v>3687</v>
      </c>
      <c r="G833" t="s">
        <v>89</v>
      </c>
      <c r="H833">
        <v>0.92400000000000004</v>
      </c>
      <c r="I833">
        <v>2</v>
      </c>
      <c r="J833">
        <v>8000</v>
      </c>
      <c r="K833">
        <f>+VLOOKUP(E833,Costos!$A$1:$I$7161,9,FALSE)</f>
        <v>5.5637780000000001</v>
      </c>
      <c r="L833" t="str">
        <f t="shared" si="26"/>
        <v>243</v>
      </c>
      <c r="M833" t="str">
        <f t="shared" si="27"/>
        <v>243081</v>
      </c>
    </row>
    <row r="834" spans="1:13" x14ac:dyDescent="0.25">
      <c r="A834">
        <v>2110030001</v>
      </c>
      <c r="B834" t="s">
        <v>1142</v>
      </c>
      <c r="C834">
        <v>2310030018</v>
      </c>
      <c r="D834" t="s">
        <v>2157</v>
      </c>
      <c r="E834">
        <v>2430870004</v>
      </c>
      <c r="F834" t="s">
        <v>3707</v>
      </c>
      <c r="G834" t="s">
        <v>89</v>
      </c>
      <c r="H834">
        <v>0.14219999999999999</v>
      </c>
      <c r="I834">
        <v>2</v>
      </c>
      <c r="J834">
        <v>8000</v>
      </c>
      <c r="K834">
        <f>+VLOOKUP(E834,Costos!$A$1:$I$7161,9,FALSE)</f>
        <v>11.1012</v>
      </c>
      <c r="L834" t="str">
        <f t="shared" si="26"/>
        <v>243</v>
      </c>
      <c r="M834" t="str">
        <f t="shared" si="27"/>
        <v>243087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3DE60-881F-44A6-B532-CCE6BC0B35CA}">
  <dimension ref="A1:G380"/>
  <sheetViews>
    <sheetView topLeftCell="A344" workbookViewId="0">
      <selection activeCell="B363" sqref="B363"/>
    </sheetView>
  </sheetViews>
  <sheetFormatPr baseColWidth="10" defaultRowHeight="15" x14ac:dyDescent="0.25"/>
  <cols>
    <col min="1" max="1" width="11" bestFit="1" customWidth="1"/>
    <col min="2" max="2" width="73.5703125" bestFit="1" customWidth="1"/>
    <col min="3" max="3" width="8.140625" bestFit="1" customWidth="1"/>
    <col min="4" max="4" width="26.85546875" bestFit="1" customWidth="1"/>
    <col min="5" max="5" width="6" bestFit="1" customWidth="1"/>
    <col min="6" max="6" width="7.42578125" bestFit="1" customWidth="1"/>
    <col min="7" max="7" width="15.85546875" bestFit="1" customWidth="1"/>
  </cols>
  <sheetData>
    <row r="1" spans="1:7" x14ac:dyDescent="0.25">
      <c r="A1" t="s">
        <v>4881</v>
      </c>
      <c r="B1" t="s">
        <v>4882</v>
      </c>
      <c r="C1" t="s">
        <v>4883</v>
      </c>
      <c r="D1" t="s">
        <v>4884</v>
      </c>
      <c r="E1" t="s">
        <v>4885</v>
      </c>
      <c r="F1" t="s">
        <v>4886</v>
      </c>
      <c r="G1" t="s">
        <v>4887</v>
      </c>
    </row>
    <row r="2" spans="1:7" x14ac:dyDescent="0.25">
      <c r="A2">
        <v>2310030273</v>
      </c>
      <c r="B2" t="s">
        <v>2181</v>
      </c>
      <c r="C2" t="s">
        <v>89</v>
      </c>
      <c r="D2" t="s">
        <v>4888</v>
      </c>
      <c r="G2" t="s">
        <v>4889</v>
      </c>
    </row>
    <row r="3" spans="1:7" x14ac:dyDescent="0.25">
      <c r="A3">
        <v>2310170002</v>
      </c>
      <c r="B3" t="s">
        <v>2512</v>
      </c>
      <c r="C3" t="s">
        <v>89</v>
      </c>
      <c r="D3" t="s">
        <v>4888</v>
      </c>
      <c r="G3" t="s">
        <v>4889</v>
      </c>
    </row>
    <row r="4" spans="1:7" x14ac:dyDescent="0.25">
      <c r="A4">
        <v>2310220019</v>
      </c>
      <c r="B4" t="s">
        <v>4890</v>
      </c>
      <c r="C4" t="s">
        <v>36</v>
      </c>
      <c r="D4" t="s">
        <v>4888</v>
      </c>
      <c r="G4" t="s">
        <v>4889</v>
      </c>
    </row>
    <row r="5" spans="1:7" x14ac:dyDescent="0.25">
      <c r="A5">
        <v>2310320326</v>
      </c>
      <c r="B5" t="s">
        <v>2677</v>
      </c>
      <c r="C5" t="s">
        <v>89</v>
      </c>
      <c r="D5" t="s">
        <v>4888</v>
      </c>
      <c r="G5" t="s">
        <v>4889</v>
      </c>
    </row>
    <row r="6" spans="1:7" x14ac:dyDescent="0.25">
      <c r="A6">
        <v>2310320356</v>
      </c>
      <c r="B6" t="s">
        <v>2684</v>
      </c>
      <c r="C6" t="s">
        <v>89</v>
      </c>
      <c r="D6" t="s">
        <v>4888</v>
      </c>
      <c r="G6" t="s">
        <v>4889</v>
      </c>
    </row>
    <row r="7" spans="1:7" x14ac:dyDescent="0.25">
      <c r="A7">
        <v>2320040200</v>
      </c>
      <c r="B7" t="s">
        <v>2758</v>
      </c>
      <c r="C7" t="s">
        <v>71</v>
      </c>
      <c r="D7" t="s">
        <v>4888</v>
      </c>
      <c r="G7" t="s">
        <v>4891</v>
      </c>
    </row>
    <row r="8" spans="1:7" x14ac:dyDescent="0.25">
      <c r="A8">
        <v>2320040429</v>
      </c>
      <c r="B8" t="s">
        <v>2761</v>
      </c>
      <c r="C8" t="s">
        <v>71</v>
      </c>
      <c r="D8" t="s">
        <v>4888</v>
      </c>
      <c r="G8" t="s">
        <v>4891</v>
      </c>
    </row>
    <row r="9" spans="1:7" x14ac:dyDescent="0.25">
      <c r="A9">
        <v>2320050052</v>
      </c>
      <c r="B9" t="s">
        <v>2765</v>
      </c>
      <c r="C9" t="s">
        <v>71</v>
      </c>
      <c r="D9" t="s">
        <v>4888</v>
      </c>
      <c r="G9" t="s">
        <v>4892</v>
      </c>
    </row>
    <row r="10" spans="1:7" x14ac:dyDescent="0.25">
      <c r="A10">
        <v>2320050055</v>
      </c>
      <c r="B10" t="s">
        <v>2766</v>
      </c>
      <c r="C10" t="s">
        <v>71</v>
      </c>
      <c r="D10" t="s">
        <v>4888</v>
      </c>
      <c r="G10" t="s">
        <v>4892</v>
      </c>
    </row>
    <row r="11" spans="1:7" x14ac:dyDescent="0.25">
      <c r="A11">
        <v>2320050073</v>
      </c>
      <c r="B11" t="s">
        <v>2768</v>
      </c>
      <c r="C11" t="s">
        <v>71</v>
      </c>
      <c r="D11" t="s">
        <v>4888</v>
      </c>
      <c r="G11" t="s">
        <v>4892</v>
      </c>
    </row>
    <row r="12" spans="1:7" x14ac:dyDescent="0.25">
      <c r="A12">
        <v>2320050085</v>
      </c>
      <c r="B12" t="s">
        <v>2769</v>
      </c>
      <c r="C12" t="s">
        <v>71</v>
      </c>
      <c r="D12" t="s">
        <v>4888</v>
      </c>
      <c r="G12" t="s">
        <v>4892</v>
      </c>
    </row>
    <row r="13" spans="1:7" x14ac:dyDescent="0.25">
      <c r="A13">
        <v>2320050205</v>
      </c>
      <c r="B13" t="s">
        <v>2772</v>
      </c>
      <c r="C13" t="s">
        <v>71</v>
      </c>
      <c r="D13" t="s">
        <v>4888</v>
      </c>
      <c r="G13" t="s">
        <v>4892</v>
      </c>
    </row>
    <row r="14" spans="1:7" x14ac:dyDescent="0.25">
      <c r="A14">
        <v>2320050366</v>
      </c>
      <c r="B14" t="s">
        <v>2784</v>
      </c>
      <c r="C14" t="s">
        <v>71</v>
      </c>
      <c r="D14" t="s">
        <v>4888</v>
      </c>
      <c r="G14" t="s">
        <v>4892</v>
      </c>
    </row>
    <row r="15" spans="1:7" x14ac:dyDescent="0.25">
      <c r="A15">
        <v>2320050367</v>
      </c>
      <c r="B15" t="s">
        <v>2785</v>
      </c>
      <c r="C15" t="s">
        <v>71</v>
      </c>
      <c r="D15" t="s">
        <v>4888</v>
      </c>
      <c r="G15" t="s">
        <v>4892</v>
      </c>
    </row>
    <row r="16" spans="1:7" x14ac:dyDescent="0.25">
      <c r="A16">
        <v>2320050368</v>
      </c>
      <c r="B16" t="s">
        <v>2786</v>
      </c>
      <c r="C16" t="s">
        <v>71</v>
      </c>
      <c r="D16" t="s">
        <v>4888</v>
      </c>
      <c r="G16" t="s">
        <v>4892</v>
      </c>
    </row>
    <row r="17" spans="1:7" x14ac:dyDescent="0.25">
      <c r="A17">
        <v>2320050369</v>
      </c>
      <c r="B17" t="s">
        <v>2787</v>
      </c>
      <c r="C17" t="s">
        <v>71</v>
      </c>
      <c r="D17" t="s">
        <v>4888</v>
      </c>
      <c r="G17" t="s">
        <v>4892</v>
      </c>
    </row>
    <row r="18" spans="1:7" x14ac:dyDescent="0.25">
      <c r="A18">
        <v>2320050508</v>
      </c>
      <c r="B18" t="s">
        <v>2796</v>
      </c>
      <c r="C18" t="s">
        <v>71</v>
      </c>
      <c r="D18" t="s">
        <v>4888</v>
      </c>
      <c r="G18" t="s">
        <v>4892</v>
      </c>
    </row>
    <row r="19" spans="1:7" x14ac:dyDescent="0.25">
      <c r="A19">
        <v>2320050624</v>
      </c>
      <c r="B19" t="s">
        <v>2817</v>
      </c>
      <c r="C19" t="s">
        <v>71</v>
      </c>
      <c r="D19" t="s">
        <v>4888</v>
      </c>
      <c r="G19" t="s">
        <v>4892</v>
      </c>
    </row>
    <row r="20" spans="1:7" x14ac:dyDescent="0.25">
      <c r="A20">
        <v>2320050668</v>
      </c>
      <c r="B20" t="s">
        <v>2820</v>
      </c>
      <c r="C20" t="s">
        <v>71</v>
      </c>
      <c r="D20" t="s">
        <v>4888</v>
      </c>
      <c r="G20" t="s">
        <v>4892</v>
      </c>
    </row>
    <row r="21" spans="1:7" x14ac:dyDescent="0.25">
      <c r="A21">
        <v>2320050670</v>
      </c>
      <c r="B21" t="s">
        <v>2822</v>
      </c>
      <c r="C21" t="s">
        <v>71</v>
      </c>
      <c r="D21" t="s">
        <v>4888</v>
      </c>
      <c r="G21" t="s">
        <v>4892</v>
      </c>
    </row>
    <row r="22" spans="1:7" x14ac:dyDescent="0.25">
      <c r="A22">
        <v>2320050685</v>
      </c>
      <c r="B22" t="s">
        <v>2827</v>
      </c>
      <c r="C22" t="s">
        <v>71</v>
      </c>
      <c r="D22" t="s">
        <v>4888</v>
      </c>
      <c r="G22" t="s">
        <v>4892</v>
      </c>
    </row>
    <row r="23" spans="1:7" x14ac:dyDescent="0.25">
      <c r="A23">
        <v>2320050737</v>
      </c>
      <c r="B23" t="s">
        <v>2832</v>
      </c>
      <c r="C23" t="s">
        <v>71</v>
      </c>
      <c r="D23" t="s">
        <v>4888</v>
      </c>
      <c r="G23" t="s">
        <v>4892</v>
      </c>
    </row>
    <row r="24" spans="1:7" x14ac:dyDescent="0.25">
      <c r="A24">
        <v>2320050738</v>
      </c>
      <c r="B24" t="s">
        <v>2833</v>
      </c>
      <c r="C24" t="s">
        <v>71</v>
      </c>
      <c r="D24" t="s">
        <v>4888</v>
      </c>
      <c r="G24" t="s">
        <v>4892</v>
      </c>
    </row>
    <row r="25" spans="1:7" x14ac:dyDescent="0.25">
      <c r="A25">
        <v>2320050739</v>
      </c>
      <c r="B25" t="s">
        <v>2834</v>
      </c>
      <c r="C25" t="s">
        <v>71</v>
      </c>
      <c r="D25" t="s">
        <v>4888</v>
      </c>
      <c r="G25" t="s">
        <v>4892</v>
      </c>
    </row>
    <row r="26" spans="1:7" x14ac:dyDescent="0.25">
      <c r="A26">
        <v>2320050746</v>
      </c>
      <c r="B26" t="s">
        <v>2837</v>
      </c>
      <c r="C26" t="s">
        <v>71</v>
      </c>
      <c r="D26" t="s">
        <v>4888</v>
      </c>
      <c r="G26" t="s">
        <v>4892</v>
      </c>
    </row>
    <row r="27" spans="1:7" x14ac:dyDescent="0.25">
      <c r="A27">
        <v>2320050754</v>
      </c>
      <c r="B27" t="s">
        <v>2842</v>
      </c>
      <c r="C27" t="s">
        <v>71</v>
      </c>
      <c r="D27" t="s">
        <v>4888</v>
      </c>
      <c r="G27" t="s">
        <v>4892</v>
      </c>
    </row>
    <row r="28" spans="1:7" x14ac:dyDescent="0.25">
      <c r="A28">
        <v>2320050775</v>
      </c>
      <c r="B28" t="s">
        <v>2850</v>
      </c>
      <c r="C28" t="s">
        <v>71</v>
      </c>
      <c r="D28" t="s">
        <v>4888</v>
      </c>
      <c r="G28" t="s">
        <v>4892</v>
      </c>
    </row>
    <row r="29" spans="1:7" x14ac:dyDescent="0.25">
      <c r="A29">
        <v>2320050800</v>
      </c>
      <c r="B29" t="s">
        <v>2856</v>
      </c>
      <c r="C29" t="s">
        <v>71</v>
      </c>
      <c r="D29" t="s">
        <v>4888</v>
      </c>
      <c r="G29" t="s">
        <v>4892</v>
      </c>
    </row>
    <row r="30" spans="1:7" x14ac:dyDescent="0.25">
      <c r="A30">
        <v>2320050802</v>
      </c>
      <c r="B30" t="s">
        <v>2857</v>
      </c>
      <c r="C30" t="s">
        <v>71</v>
      </c>
      <c r="D30" t="s">
        <v>4888</v>
      </c>
      <c r="G30" t="s">
        <v>4892</v>
      </c>
    </row>
    <row r="31" spans="1:7" x14ac:dyDescent="0.25">
      <c r="A31">
        <v>2320050803</v>
      </c>
      <c r="B31" t="s">
        <v>2858</v>
      </c>
      <c r="C31" t="s">
        <v>71</v>
      </c>
      <c r="D31" t="s">
        <v>4888</v>
      </c>
      <c r="G31" t="s">
        <v>4892</v>
      </c>
    </row>
    <row r="32" spans="1:7" x14ac:dyDescent="0.25">
      <c r="A32">
        <v>2320050808</v>
      </c>
      <c r="B32" t="s">
        <v>2861</v>
      </c>
      <c r="C32" t="s">
        <v>71</v>
      </c>
      <c r="D32" t="s">
        <v>4888</v>
      </c>
      <c r="G32" t="s">
        <v>4892</v>
      </c>
    </row>
    <row r="33" spans="1:7" x14ac:dyDescent="0.25">
      <c r="A33">
        <v>2320050809</v>
      </c>
      <c r="B33" t="s">
        <v>2862</v>
      </c>
      <c r="C33" t="s">
        <v>71</v>
      </c>
      <c r="D33" t="s">
        <v>4888</v>
      </c>
      <c r="G33" t="s">
        <v>4892</v>
      </c>
    </row>
    <row r="34" spans="1:7" x14ac:dyDescent="0.25">
      <c r="A34">
        <v>2320050818</v>
      </c>
      <c r="B34" t="s">
        <v>32</v>
      </c>
      <c r="C34" t="s">
        <v>71</v>
      </c>
      <c r="D34" t="s">
        <v>4888</v>
      </c>
      <c r="G34" t="s">
        <v>4892</v>
      </c>
    </row>
    <row r="35" spans="1:7" x14ac:dyDescent="0.25">
      <c r="A35">
        <v>2320050820</v>
      </c>
      <c r="B35" t="s">
        <v>2866</v>
      </c>
      <c r="C35" t="s">
        <v>71</v>
      </c>
      <c r="D35" t="s">
        <v>4888</v>
      </c>
      <c r="G35" t="s">
        <v>4892</v>
      </c>
    </row>
    <row r="36" spans="1:7" x14ac:dyDescent="0.25">
      <c r="A36">
        <v>2320050821</v>
      </c>
      <c r="B36" t="s">
        <v>2867</v>
      </c>
      <c r="C36" t="s">
        <v>71</v>
      </c>
      <c r="D36" t="s">
        <v>4888</v>
      </c>
      <c r="G36" t="s">
        <v>4892</v>
      </c>
    </row>
    <row r="37" spans="1:7" x14ac:dyDescent="0.25">
      <c r="A37">
        <v>2320050822</v>
      </c>
      <c r="B37" t="s">
        <v>2868</v>
      </c>
      <c r="C37" t="s">
        <v>71</v>
      </c>
      <c r="D37" t="s">
        <v>4888</v>
      </c>
      <c r="G37" t="s">
        <v>4892</v>
      </c>
    </row>
    <row r="38" spans="1:7" x14ac:dyDescent="0.25">
      <c r="A38">
        <v>2320050823</v>
      </c>
      <c r="B38" t="s">
        <v>4893</v>
      </c>
      <c r="C38" t="s">
        <v>71</v>
      </c>
      <c r="D38" t="s">
        <v>4888</v>
      </c>
      <c r="G38" t="s">
        <v>4892</v>
      </c>
    </row>
    <row r="39" spans="1:7" x14ac:dyDescent="0.25">
      <c r="A39">
        <v>2320050824</v>
      </c>
      <c r="B39" t="s">
        <v>2869</v>
      </c>
      <c r="C39" t="s">
        <v>71</v>
      </c>
      <c r="D39" t="s">
        <v>4888</v>
      </c>
      <c r="G39" t="s">
        <v>4892</v>
      </c>
    </row>
    <row r="40" spans="1:7" x14ac:dyDescent="0.25">
      <c r="A40">
        <v>2320050825</v>
      </c>
      <c r="B40" t="s">
        <v>2870</v>
      </c>
      <c r="C40" t="s">
        <v>71</v>
      </c>
      <c r="D40" t="s">
        <v>4888</v>
      </c>
      <c r="G40" t="s">
        <v>4892</v>
      </c>
    </row>
    <row r="41" spans="1:7" x14ac:dyDescent="0.25">
      <c r="A41">
        <v>2320070048</v>
      </c>
      <c r="B41" t="s">
        <v>2889</v>
      </c>
      <c r="C41" t="s">
        <v>71</v>
      </c>
      <c r="D41" t="s">
        <v>4888</v>
      </c>
      <c r="G41" t="s">
        <v>4894</v>
      </c>
    </row>
    <row r="42" spans="1:7" x14ac:dyDescent="0.25">
      <c r="A42">
        <v>2320070372</v>
      </c>
      <c r="B42" t="s">
        <v>2911</v>
      </c>
      <c r="C42" t="s">
        <v>71</v>
      </c>
      <c r="D42" t="s">
        <v>4888</v>
      </c>
      <c r="G42" t="s">
        <v>4894</v>
      </c>
    </row>
    <row r="43" spans="1:7" x14ac:dyDescent="0.25">
      <c r="A43">
        <v>2320070514</v>
      </c>
      <c r="B43" t="s">
        <v>2918</v>
      </c>
      <c r="C43" t="s">
        <v>71</v>
      </c>
      <c r="D43" t="s">
        <v>4888</v>
      </c>
      <c r="G43" t="s">
        <v>4894</v>
      </c>
    </row>
    <row r="44" spans="1:7" x14ac:dyDescent="0.25">
      <c r="A44">
        <v>2320070515</v>
      </c>
      <c r="B44" t="s">
        <v>2919</v>
      </c>
      <c r="C44" t="s">
        <v>71</v>
      </c>
      <c r="D44" t="s">
        <v>4888</v>
      </c>
      <c r="G44" t="s">
        <v>4894</v>
      </c>
    </row>
    <row r="45" spans="1:7" x14ac:dyDescent="0.25">
      <c r="A45">
        <v>2320070516</v>
      </c>
      <c r="B45" t="s">
        <v>2920</v>
      </c>
      <c r="C45" t="s">
        <v>71</v>
      </c>
      <c r="D45" t="s">
        <v>4888</v>
      </c>
      <c r="G45" t="s">
        <v>4894</v>
      </c>
    </row>
    <row r="46" spans="1:7" x14ac:dyDescent="0.25">
      <c r="A46">
        <v>2320070517</v>
      </c>
      <c r="B46" t="s">
        <v>2921</v>
      </c>
      <c r="C46" t="s">
        <v>71</v>
      </c>
      <c r="D46" t="s">
        <v>4888</v>
      </c>
      <c r="G46" t="s">
        <v>4894</v>
      </c>
    </row>
    <row r="47" spans="1:7" x14ac:dyDescent="0.25">
      <c r="A47">
        <v>2320070518</v>
      </c>
      <c r="B47" t="s">
        <v>2922</v>
      </c>
      <c r="C47" t="s">
        <v>71</v>
      </c>
      <c r="D47" t="s">
        <v>4888</v>
      </c>
      <c r="G47" t="s">
        <v>4894</v>
      </c>
    </row>
    <row r="48" spans="1:7" x14ac:dyDescent="0.25">
      <c r="A48">
        <v>2320070519</v>
      </c>
      <c r="B48" t="s">
        <v>2923</v>
      </c>
      <c r="C48" t="s">
        <v>71</v>
      </c>
      <c r="D48" t="s">
        <v>4888</v>
      </c>
      <c r="G48" t="s">
        <v>4894</v>
      </c>
    </row>
    <row r="49" spans="1:7" x14ac:dyDescent="0.25">
      <c r="A49">
        <v>2320071460</v>
      </c>
      <c r="B49" t="s">
        <v>2967</v>
      </c>
      <c r="C49" t="s">
        <v>71</v>
      </c>
      <c r="D49" t="s">
        <v>4888</v>
      </c>
      <c r="G49" t="s">
        <v>4894</v>
      </c>
    </row>
    <row r="50" spans="1:7" x14ac:dyDescent="0.25">
      <c r="A50">
        <v>2320071461</v>
      </c>
      <c r="B50" t="s">
        <v>2968</v>
      </c>
      <c r="C50" t="s">
        <v>71</v>
      </c>
      <c r="D50" t="s">
        <v>4888</v>
      </c>
      <c r="G50" t="s">
        <v>4894</v>
      </c>
    </row>
    <row r="51" spans="1:7" x14ac:dyDescent="0.25">
      <c r="A51">
        <v>2320071462</v>
      </c>
      <c r="B51" t="s">
        <v>2969</v>
      </c>
      <c r="C51" t="s">
        <v>71</v>
      </c>
      <c r="D51" t="s">
        <v>4888</v>
      </c>
      <c r="G51" t="s">
        <v>4894</v>
      </c>
    </row>
    <row r="52" spans="1:7" x14ac:dyDescent="0.25">
      <c r="A52">
        <v>2320071463</v>
      </c>
      <c r="B52" t="s">
        <v>2970</v>
      </c>
      <c r="C52" t="s">
        <v>71</v>
      </c>
      <c r="D52" t="s">
        <v>4888</v>
      </c>
      <c r="G52" t="s">
        <v>4894</v>
      </c>
    </row>
    <row r="53" spans="1:7" x14ac:dyDescent="0.25">
      <c r="A53">
        <v>2320071464</v>
      </c>
      <c r="B53" t="s">
        <v>2971</v>
      </c>
      <c r="C53" t="s">
        <v>71</v>
      </c>
      <c r="D53" t="s">
        <v>4888</v>
      </c>
      <c r="G53" t="s">
        <v>4894</v>
      </c>
    </row>
    <row r="54" spans="1:7" x14ac:dyDescent="0.25">
      <c r="A54">
        <v>2320071465</v>
      </c>
      <c r="B54" t="s">
        <v>2972</v>
      </c>
      <c r="C54" t="s">
        <v>71</v>
      </c>
      <c r="D54" t="s">
        <v>4888</v>
      </c>
      <c r="G54" t="s">
        <v>4894</v>
      </c>
    </row>
    <row r="55" spans="1:7" x14ac:dyDescent="0.25">
      <c r="A55">
        <v>2320071466</v>
      </c>
      <c r="B55" t="s">
        <v>2973</v>
      </c>
      <c r="C55" t="s">
        <v>71</v>
      </c>
      <c r="D55" t="s">
        <v>4888</v>
      </c>
      <c r="G55" t="s">
        <v>4894</v>
      </c>
    </row>
    <row r="56" spans="1:7" x14ac:dyDescent="0.25">
      <c r="A56">
        <v>2320071467</v>
      </c>
      <c r="B56" t="s">
        <v>2974</v>
      </c>
      <c r="C56" t="s">
        <v>71</v>
      </c>
      <c r="D56" t="s">
        <v>4888</v>
      </c>
      <c r="G56" t="s">
        <v>4894</v>
      </c>
    </row>
    <row r="57" spans="1:7" x14ac:dyDescent="0.25">
      <c r="A57">
        <v>2320071468</v>
      </c>
      <c r="B57" t="s">
        <v>2975</v>
      </c>
      <c r="C57" t="s">
        <v>71</v>
      </c>
      <c r="D57" t="s">
        <v>4888</v>
      </c>
      <c r="G57" t="s">
        <v>4894</v>
      </c>
    </row>
    <row r="58" spans="1:7" x14ac:dyDescent="0.25">
      <c r="A58">
        <v>2320071469</v>
      </c>
      <c r="B58" t="s">
        <v>2976</v>
      </c>
      <c r="C58" t="s">
        <v>71</v>
      </c>
      <c r="D58" t="s">
        <v>4888</v>
      </c>
      <c r="G58" t="s">
        <v>4894</v>
      </c>
    </row>
    <row r="59" spans="1:7" x14ac:dyDescent="0.25">
      <c r="A59">
        <v>2320071470</v>
      </c>
      <c r="B59" t="s">
        <v>2977</v>
      </c>
      <c r="C59" t="s">
        <v>71</v>
      </c>
      <c r="D59" t="s">
        <v>4888</v>
      </c>
      <c r="G59" t="s">
        <v>4894</v>
      </c>
    </row>
    <row r="60" spans="1:7" x14ac:dyDescent="0.25">
      <c r="A60">
        <v>2320071471</v>
      </c>
      <c r="B60" t="s">
        <v>2978</v>
      </c>
      <c r="C60" t="s">
        <v>71</v>
      </c>
      <c r="D60" t="s">
        <v>4888</v>
      </c>
      <c r="G60" t="s">
        <v>4894</v>
      </c>
    </row>
    <row r="61" spans="1:7" x14ac:dyDescent="0.25">
      <c r="A61">
        <v>2410090004</v>
      </c>
      <c r="B61" t="s">
        <v>3219</v>
      </c>
      <c r="C61" t="s">
        <v>89</v>
      </c>
      <c r="D61" t="s">
        <v>4888</v>
      </c>
      <c r="E61">
        <v>25</v>
      </c>
      <c r="F61">
        <v>7</v>
      </c>
      <c r="G61" t="s">
        <v>4895</v>
      </c>
    </row>
    <row r="62" spans="1:7" x14ac:dyDescent="0.25">
      <c r="A62">
        <v>2410090036</v>
      </c>
      <c r="B62" t="s">
        <v>4896</v>
      </c>
      <c r="C62" t="s">
        <v>89</v>
      </c>
      <c r="D62" t="s">
        <v>4888</v>
      </c>
      <c r="G62" t="s">
        <v>4895</v>
      </c>
    </row>
    <row r="63" spans="1:7" x14ac:dyDescent="0.25">
      <c r="A63">
        <v>2410090048</v>
      </c>
      <c r="B63" t="s">
        <v>4897</v>
      </c>
      <c r="C63" t="s">
        <v>89</v>
      </c>
      <c r="D63" t="s">
        <v>4888</v>
      </c>
      <c r="G63" t="s">
        <v>4898</v>
      </c>
    </row>
    <row r="64" spans="1:7" x14ac:dyDescent="0.25">
      <c r="A64">
        <v>2410090057</v>
      </c>
      <c r="B64" t="s">
        <v>3222</v>
      </c>
      <c r="C64" t="s">
        <v>89</v>
      </c>
      <c r="D64" t="s">
        <v>4888</v>
      </c>
      <c r="G64" t="s">
        <v>4898</v>
      </c>
    </row>
    <row r="65" spans="1:7" x14ac:dyDescent="0.25">
      <c r="A65">
        <v>2410090079</v>
      </c>
      <c r="B65" t="s">
        <v>4899</v>
      </c>
      <c r="C65" t="s">
        <v>89</v>
      </c>
      <c r="D65" t="s">
        <v>4888</v>
      </c>
      <c r="E65">
        <v>10</v>
      </c>
      <c r="F65">
        <v>7</v>
      </c>
      <c r="G65" t="s">
        <v>4900</v>
      </c>
    </row>
    <row r="66" spans="1:7" x14ac:dyDescent="0.25">
      <c r="A66">
        <v>2410090106</v>
      </c>
      <c r="B66" t="s">
        <v>4901</v>
      </c>
      <c r="C66" t="s">
        <v>89</v>
      </c>
      <c r="D66" t="s">
        <v>4888</v>
      </c>
      <c r="E66">
        <v>25</v>
      </c>
      <c r="F66">
        <v>7</v>
      </c>
      <c r="G66" t="s">
        <v>4895</v>
      </c>
    </row>
    <row r="67" spans="1:7" x14ac:dyDescent="0.25">
      <c r="A67">
        <v>2410090110</v>
      </c>
      <c r="B67" t="s">
        <v>4902</v>
      </c>
      <c r="C67" t="s">
        <v>89</v>
      </c>
      <c r="D67" t="s">
        <v>4888</v>
      </c>
      <c r="G67" t="s">
        <v>4895</v>
      </c>
    </row>
    <row r="68" spans="1:7" x14ac:dyDescent="0.25">
      <c r="A68">
        <v>2410090127</v>
      </c>
      <c r="B68" t="s">
        <v>3230</v>
      </c>
      <c r="C68" t="s">
        <v>89</v>
      </c>
      <c r="D68" t="s">
        <v>4888</v>
      </c>
      <c r="G68" t="s">
        <v>4895</v>
      </c>
    </row>
    <row r="69" spans="1:7" x14ac:dyDescent="0.25">
      <c r="A69">
        <v>2410090129</v>
      </c>
      <c r="B69" t="s">
        <v>3231</v>
      </c>
      <c r="C69" t="s">
        <v>89</v>
      </c>
      <c r="D69" t="s">
        <v>4888</v>
      </c>
      <c r="G69" t="s">
        <v>4895</v>
      </c>
    </row>
    <row r="70" spans="1:7" x14ac:dyDescent="0.25">
      <c r="A70">
        <v>2410090130</v>
      </c>
      <c r="B70" t="s">
        <v>4903</v>
      </c>
      <c r="C70" t="s">
        <v>89</v>
      </c>
      <c r="D70" t="s">
        <v>4888</v>
      </c>
      <c r="G70" t="s">
        <v>4895</v>
      </c>
    </row>
    <row r="71" spans="1:7" x14ac:dyDescent="0.25">
      <c r="A71">
        <v>2410090131</v>
      </c>
      <c r="B71" t="s">
        <v>3232</v>
      </c>
      <c r="C71" t="s">
        <v>89</v>
      </c>
      <c r="D71" t="s">
        <v>4888</v>
      </c>
      <c r="G71" t="s">
        <v>4895</v>
      </c>
    </row>
    <row r="72" spans="1:7" x14ac:dyDescent="0.25">
      <c r="A72">
        <v>2410090132</v>
      </c>
      <c r="B72" t="s">
        <v>4904</v>
      </c>
      <c r="C72" t="s">
        <v>89</v>
      </c>
      <c r="D72" t="s">
        <v>4888</v>
      </c>
      <c r="G72" t="s">
        <v>4895</v>
      </c>
    </row>
    <row r="73" spans="1:7" x14ac:dyDescent="0.25">
      <c r="A73">
        <v>2410090138</v>
      </c>
      <c r="B73" t="s">
        <v>4905</v>
      </c>
      <c r="C73" t="s">
        <v>89</v>
      </c>
      <c r="D73" t="s">
        <v>4888</v>
      </c>
      <c r="G73" t="s">
        <v>4895</v>
      </c>
    </row>
    <row r="74" spans="1:7" x14ac:dyDescent="0.25">
      <c r="A74">
        <v>2410090145</v>
      </c>
      <c r="B74" t="s">
        <v>4906</v>
      </c>
      <c r="C74" t="s">
        <v>89</v>
      </c>
      <c r="D74" t="s">
        <v>4888</v>
      </c>
      <c r="G74" t="s">
        <v>4895</v>
      </c>
    </row>
    <row r="75" spans="1:7" x14ac:dyDescent="0.25">
      <c r="A75">
        <v>2410090152</v>
      </c>
      <c r="B75" t="s">
        <v>3233</v>
      </c>
      <c r="C75" t="s">
        <v>89</v>
      </c>
      <c r="D75" t="s">
        <v>4888</v>
      </c>
      <c r="G75" t="s">
        <v>4895</v>
      </c>
    </row>
    <row r="76" spans="1:7" x14ac:dyDescent="0.25">
      <c r="A76">
        <v>2410090158</v>
      </c>
      <c r="B76" t="s">
        <v>4907</v>
      </c>
      <c r="C76" t="s">
        <v>89</v>
      </c>
      <c r="D76" t="s">
        <v>4888</v>
      </c>
      <c r="G76" t="s">
        <v>4895</v>
      </c>
    </row>
    <row r="77" spans="1:7" x14ac:dyDescent="0.25">
      <c r="A77">
        <v>2410090163</v>
      </c>
      <c r="B77" t="s">
        <v>107</v>
      </c>
      <c r="C77" t="s">
        <v>89</v>
      </c>
      <c r="D77" t="s">
        <v>4888</v>
      </c>
      <c r="E77">
        <v>25</v>
      </c>
      <c r="F77">
        <v>9</v>
      </c>
      <c r="G77" t="s">
        <v>4898</v>
      </c>
    </row>
    <row r="78" spans="1:7" x14ac:dyDescent="0.25">
      <c r="A78">
        <v>2410090165</v>
      </c>
      <c r="B78" t="s">
        <v>4908</v>
      </c>
      <c r="C78" t="s">
        <v>89</v>
      </c>
      <c r="D78" t="s">
        <v>4888</v>
      </c>
      <c r="G78" t="s">
        <v>4898</v>
      </c>
    </row>
    <row r="79" spans="1:7" x14ac:dyDescent="0.25">
      <c r="A79">
        <v>2410090166</v>
      </c>
      <c r="B79" t="s">
        <v>112</v>
      </c>
      <c r="C79" t="s">
        <v>89</v>
      </c>
      <c r="D79" t="s">
        <v>4888</v>
      </c>
      <c r="E79">
        <v>25</v>
      </c>
      <c r="F79">
        <v>9</v>
      </c>
      <c r="G79" t="s">
        <v>4898</v>
      </c>
    </row>
    <row r="80" spans="1:7" x14ac:dyDescent="0.25">
      <c r="A80">
        <v>2410090168</v>
      </c>
      <c r="B80" t="s">
        <v>109</v>
      </c>
      <c r="C80" t="s">
        <v>89</v>
      </c>
      <c r="D80" t="s">
        <v>4888</v>
      </c>
      <c r="E80">
        <v>25</v>
      </c>
      <c r="F80">
        <v>9</v>
      </c>
      <c r="G80" t="s">
        <v>4898</v>
      </c>
    </row>
    <row r="81" spans="1:7" x14ac:dyDescent="0.25">
      <c r="A81">
        <v>2410090171</v>
      </c>
      <c r="B81" t="s">
        <v>3235</v>
      </c>
      <c r="C81" t="s">
        <v>89</v>
      </c>
      <c r="D81" t="s">
        <v>4888</v>
      </c>
      <c r="E81">
        <v>25</v>
      </c>
      <c r="F81">
        <v>9</v>
      </c>
      <c r="G81" t="s">
        <v>4898</v>
      </c>
    </row>
    <row r="82" spans="1:7" x14ac:dyDescent="0.25">
      <c r="A82">
        <v>2410090172</v>
      </c>
      <c r="B82" t="s">
        <v>105</v>
      </c>
      <c r="C82" t="s">
        <v>89</v>
      </c>
      <c r="D82" t="s">
        <v>4888</v>
      </c>
      <c r="E82">
        <v>25</v>
      </c>
      <c r="F82">
        <v>9</v>
      </c>
      <c r="G82" t="s">
        <v>4898</v>
      </c>
    </row>
    <row r="83" spans="1:7" x14ac:dyDescent="0.25">
      <c r="A83">
        <v>2410090173</v>
      </c>
      <c r="B83" t="s">
        <v>3236</v>
      </c>
      <c r="C83" t="s">
        <v>89</v>
      </c>
      <c r="D83" t="s">
        <v>4888</v>
      </c>
      <c r="G83" t="s">
        <v>4895</v>
      </c>
    </row>
    <row r="84" spans="1:7" x14ac:dyDescent="0.25">
      <c r="A84">
        <v>2410090192</v>
      </c>
      <c r="B84" t="s">
        <v>4909</v>
      </c>
      <c r="C84" t="s">
        <v>89</v>
      </c>
      <c r="D84" t="s">
        <v>4888</v>
      </c>
      <c r="G84" t="s">
        <v>4895</v>
      </c>
    </row>
    <row r="85" spans="1:7" x14ac:dyDescent="0.25">
      <c r="A85">
        <v>2410090254</v>
      </c>
      <c r="B85" t="s">
        <v>3247</v>
      </c>
      <c r="C85" t="s">
        <v>89</v>
      </c>
      <c r="D85" t="s">
        <v>4888</v>
      </c>
      <c r="G85" t="s">
        <v>4895</v>
      </c>
    </row>
    <row r="86" spans="1:7" x14ac:dyDescent="0.25">
      <c r="A86">
        <v>2410090255</v>
      </c>
      <c r="B86" t="s">
        <v>3248</v>
      </c>
      <c r="C86" t="s">
        <v>89</v>
      </c>
      <c r="D86" t="s">
        <v>4888</v>
      </c>
      <c r="E86">
        <v>25</v>
      </c>
      <c r="F86">
        <v>7</v>
      </c>
      <c r="G86" t="s">
        <v>4895</v>
      </c>
    </row>
    <row r="87" spans="1:7" x14ac:dyDescent="0.25">
      <c r="A87">
        <v>2410090256</v>
      </c>
      <c r="B87" t="s">
        <v>3249</v>
      </c>
      <c r="C87" t="s">
        <v>89</v>
      </c>
      <c r="D87" t="s">
        <v>4888</v>
      </c>
      <c r="G87" t="s">
        <v>4895</v>
      </c>
    </row>
    <row r="88" spans="1:7" x14ac:dyDescent="0.25">
      <c r="A88">
        <v>2410090265</v>
      </c>
      <c r="B88" t="s">
        <v>103</v>
      </c>
      <c r="C88" t="s">
        <v>89</v>
      </c>
      <c r="D88" t="s">
        <v>4910</v>
      </c>
      <c r="E88">
        <v>100</v>
      </c>
      <c r="F88">
        <v>120</v>
      </c>
      <c r="G88" t="s">
        <v>4911</v>
      </c>
    </row>
    <row r="89" spans="1:7" x14ac:dyDescent="0.25">
      <c r="A89">
        <v>2410090266</v>
      </c>
      <c r="B89" t="s">
        <v>100</v>
      </c>
      <c r="C89" t="s">
        <v>89</v>
      </c>
      <c r="D89" t="s">
        <v>4910</v>
      </c>
      <c r="E89">
        <v>100</v>
      </c>
      <c r="F89">
        <v>120</v>
      </c>
      <c r="G89" t="s">
        <v>4911</v>
      </c>
    </row>
    <row r="90" spans="1:7" x14ac:dyDescent="0.25">
      <c r="A90">
        <v>2410090267</v>
      </c>
      <c r="B90" t="s">
        <v>96</v>
      </c>
      <c r="C90" t="s">
        <v>89</v>
      </c>
      <c r="D90" t="s">
        <v>4910</v>
      </c>
      <c r="E90">
        <v>100</v>
      </c>
      <c r="F90">
        <v>120</v>
      </c>
      <c r="G90" t="s">
        <v>4911</v>
      </c>
    </row>
    <row r="91" spans="1:7" x14ac:dyDescent="0.25">
      <c r="A91">
        <v>2410090268</v>
      </c>
      <c r="B91" t="s">
        <v>97</v>
      </c>
      <c r="C91" t="s">
        <v>89</v>
      </c>
      <c r="D91" t="s">
        <v>4910</v>
      </c>
      <c r="E91">
        <v>100</v>
      </c>
      <c r="F91">
        <v>120</v>
      </c>
      <c r="G91" t="s">
        <v>4911</v>
      </c>
    </row>
    <row r="92" spans="1:7" x14ac:dyDescent="0.25">
      <c r="A92">
        <v>2410090269</v>
      </c>
      <c r="B92" t="s">
        <v>98</v>
      </c>
      <c r="C92" t="s">
        <v>89</v>
      </c>
      <c r="D92" t="s">
        <v>4910</v>
      </c>
      <c r="G92" t="s">
        <v>4911</v>
      </c>
    </row>
    <row r="93" spans="1:7" x14ac:dyDescent="0.25">
      <c r="A93">
        <v>2410090271</v>
      </c>
      <c r="B93" t="s">
        <v>3251</v>
      </c>
      <c r="C93" t="s">
        <v>89</v>
      </c>
      <c r="D93" t="s">
        <v>4888</v>
      </c>
      <c r="G93" t="s">
        <v>4895</v>
      </c>
    </row>
    <row r="94" spans="1:7" x14ac:dyDescent="0.25">
      <c r="A94">
        <v>2410090273</v>
      </c>
      <c r="B94" t="s">
        <v>4896</v>
      </c>
      <c r="C94" t="s">
        <v>89</v>
      </c>
      <c r="D94" t="s">
        <v>4888</v>
      </c>
      <c r="E94">
        <v>25</v>
      </c>
      <c r="F94">
        <v>7</v>
      </c>
      <c r="G94" t="s">
        <v>4900</v>
      </c>
    </row>
    <row r="95" spans="1:7" x14ac:dyDescent="0.25">
      <c r="A95">
        <v>2410090274</v>
      </c>
      <c r="B95" t="s">
        <v>4912</v>
      </c>
      <c r="C95" t="s">
        <v>89</v>
      </c>
      <c r="D95" t="s">
        <v>4888</v>
      </c>
      <c r="E95">
        <v>25</v>
      </c>
      <c r="F95">
        <v>7</v>
      </c>
      <c r="G95" t="s">
        <v>4895</v>
      </c>
    </row>
    <row r="96" spans="1:7" x14ac:dyDescent="0.25">
      <c r="A96">
        <v>2410090291</v>
      </c>
      <c r="B96" t="s">
        <v>3257</v>
      </c>
      <c r="C96" t="s">
        <v>89</v>
      </c>
      <c r="D96" t="s">
        <v>4888</v>
      </c>
      <c r="E96">
        <v>25</v>
      </c>
      <c r="F96">
        <v>7</v>
      </c>
      <c r="G96" t="s">
        <v>4895</v>
      </c>
    </row>
    <row r="97" spans="1:7" x14ac:dyDescent="0.25">
      <c r="A97">
        <v>2410090292</v>
      </c>
      <c r="B97" t="s">
        <v>3258</v>
      </c>
      <c r="C97" t="s">
        <v>89</v>
      </c>
      <c r="D97" t="s">
        <v>4888</v>
      </c>
      <c r="E97">
        <v>25</v>
      </c>
      <c r="F97">
        <v>7</v>
      </c>
      <c r="G97" t="s">
        <v>4895</v>
      </c>
    </row>
    <row r="98" spans="1:7" x14ac:dyDescent="0.25">
      <c r="A98">
        <v>2410090294</v>
      </c>
      <c r="B98" t="s">
        <v>101</v>
      </c>
      <c r="C98" t="s">
        <v>89</v>
      </c>
      <c r="D98" t="s">
        <v>4888</v>
      </c>
      <c r="E98">
        <v>25</v>
      </c>
      <c r="F98">
        <v>9</v>
      </c>
      <c r="G98" t="s">
        <v>4898</v>
      </c>
    </row>
    <row r="99" spans="1:7" x14ac:dyDescent="0.25">
      <c r="A99">
        <v>2410090295</v>
      </c>
      <c r="B99" t="s">
        <v>88</v>
      </c>
      <c r="C99" t="s">
        <v>89</v>
      </c>
      <c r="D99" t="s">
        <v>4888</v>
      </c>
      <c r="E99">
        <v>25</v>
      </c>
      <c r="F99">
        <v>9</v>
      </c>
      <c r="G99" t="s">
        <v>4898</v>
      </c>
    </row>
    <row r="100" spans="1:7" x14ac:dyDescent="0.25">
      <c r="A100">
        <v>2410090296</v>
      </c>
      <c r="B100" t="s">
        <v>102</v>
      </c>
      <c r="C100" t="s">
        <v>89</v>
      </c>
      <c r="D100" t="s">
        <v>4888</v>
      </c>
      <c r="E100">
        <v>25</v>
      </c>
      <c r="F100">
        <v>9</v>
      </c>
      <c r="G100" t="s">
        <v>4898</v>
      </c>
    </row>
    <row r="101" spans="1:7" x14ac:dyDescent="0.25">
      <c r="A101">
        <v>2410090297</v>
      </c>
      <c r="B101" t="s">
        <v>104</v>
      </c>
      <c r="C101" t="s">
        <v>89</v>
      </c>
      <c r="D101" t="s">
        <v>4888</v>
      </c>
      <c r="E101">
        <v>25</v>
      </c>
      <c r="F101">
        <v>9</v>
      </c>
      <c r="G101" t="s">
        <v>4898</v>
      </c>
    </row>
    <row r="102" spans="1:7" x14ac:dyDescent="0.25">
      <c r="A102">
        <v>2410090298</v>
      </c>
      <c r="B102" t="s">
        <v>106</v>
      </c>
      <c r="C102" t="s">
        <v>89</v>
      </c>
      <c r="D102" t="s">
        <v>4888</v>
      </c>
      <c r="E102">
        <v>25</v>
      </c>
      <c r="F102">
        <v>9</v>
      </c>
      <c r="G102" t="s">
        <v>4898</v>
      </c>
    </row>
    <row r="103" spans="1:7" x14ac:dyDescent="0.25">
      <c r="A103">
        <v>2410090299</v>
      </c>
      <c r="B103" t="s">
        <v>110</v>
      </c>
      <c r="C103" t="s">
        <v>89</v>
      </c>
      <c r="D103" t="s">
        <v>4888</v>
      </c>
      <c r="E103">
        <v>25</v>
      </c>
      <c r="F103">
        <v>9</v>
      </c>
      <c r="G103" t="s">
        <v>4898</v>
      </c>
    </row>
    <row r="104" spans="1:7" x14ac:dyDescent="0.25">
      <c r="A104">
        <v>2410090300</v>
      </c>
      <c r="B104" t="s">
        <v>111</v>
      </c>
      <c r="C104" t="s">
        <v>89</v>
      </c>
      <c r="D104" t="s">
        <v>4888</v>
      </c>
      <c r="E104">
        <v>25</v>
      </c>
      <c r="F104">
        <v>9</v>
      </c>
      <c r="G104" t="s">
        <v>4898</v>
      </c>
    </row>
    <row r="105" spans="1:7" x14ac:dyDescent="0.25">
      <c r="A105">
        <v>2410090302</v>
      </c>
      <c r="B105" t="s">
        <v>3259</v>
      </c>
      <c r="C105" t="s">
        <v>89</v>
      </c>
      <c r="D105" t="s">
        <v>4888</v>
      </c>
      <c r="G105" t="s">
        <v>4895</v>
      </c>
    </row>
    <row r="106" spans="1:7" x14ac:dyDescent="0.25">
      <c r="A106">
        <v>2410090303</v>
      </c>
      <c r="B106" t="s">
        <v>3260</v>
      </c>
      <c r="C106" t="s">
        <v>89</v>
      </c>
      <c r="D106" t="s">
        <v>4888</v>
      </c>
      <c r="G106" t="s">
        <v>4895</v>
      </c>
    </row>
    <row r="107" spans="1:7" x14ac:dyDescent="0.25">
      <c r="A107">
        <v>2410090305</v>
      </c>
      <c r="B107" t="s">
        <v>3261</v>
      </c>
      <c r="C107" t="s">
        <v>89</v>
      </c>
      <c r="D107" t="s">
        <v>4888</v>
      </c>
      <c r="E107">
        <v>25</v>
      </c>
      <c r="F107">
        <v>7</v>
      </c>
      <c r="G107" t="s">
        <v>4895</v>
      </c>
    </row>
    <row r="108" spans="1:7" x14ac:dyDescent="0.25">
      <c r="A108">
        <v>2410090306</v>
      </c>
      <c r="B108" t="s">
        <v>3262</v>
      </c>
      <c r="C108" t="s">
        <v>89</v>
      </c>
      <c r="D108" t="s">
        <v>4888</v>
      </c>
      <c r="G108" t="s">
        <v>4895</v>
      </c>
    </row>
    <row r="109" spans="1:7" x14ac:dyDescent="0.25">
      <c r="A109">
        <v>2410090307</v>
      </c>
      <c r="B109" t="s">
        <v>3263</v>
      </c>
      <c r="C109" t="s">
        <v>89</v>
      </c>
      <c r="D109" t="s">
        <v>4888</v>
      </c>
      <c r="E109">
        <v>25</v>
      </c>
      <c r="F109">
        <v>7</v>
      </c>
      <c r="G109" t="s">
        <v>4895</v>
      </c>
    </row>
    <row r="110" spans="1:7" x14ac:dyDescent="0.25">
      <c r="A110">
        <v>2410090308</v>
      </c>
      <c r="B110" t="s">
        <v>3264</v>
      </c>
      <c r="C110" t="s">
        <v>89</v>
      </c>
      <c r="D110" t="s">
        <v>4888</v>
      </c>
      <c r="G110" t="s">
        <v>4895</v>
      </c>
    </row>
    <row r="111" spans="1:7" x14ac:dyDescent="0.25">
      <c r="A111">
        <v>2410090309</v>
      </c>
      <c r="B111" t="s">
        <v>3265</v>
      </c>
      <c r="C111" t="s">
        <v>89</v>
      </c>
      <c r="D111" t="s">
        <v>4888</v>
      </c>
      <c r="G111" t="s">
        <v>4895</v>
      </c>
    </row>
    <row r="112" spans="1:7" x14ac:dyDescent="0.25">
      <c r="A112">
        <v>2410090310</v>
      </c>
      <c r="B112" t="s">
        <v>99</v>
      </c>
      <c r="C112" t="s">
        <v>89</v>
      </c>
      <c r="D112" t="s">
        <v>4888</v>
      </c>
      <c r="E112">
        <v>25</v>
      </c>
      <c r="F112">
        <v>9</v>
      </c>
      <c r="G112" t="s">
        <v>4898</v>
      </c>
    </row>
    <row r="113" spans="1:7" x14ac:dyDescent="0.25">
      <c r="A113">
        <v>2410090317</v>
      </c>
      <c r="B113" t="s">
        <v>3267</v>
      </c>
      <c r="C113" t="s">
        <v>89</v>
      </c>
      <c r="D113" t="s">
        <v>4888</v>
      </c>
      <c r="E113">
        <v>25</v>
      </c>
      <c r="F113">
        <v>7</v>
      </c>
      <c r="G113" t="s">
        <v>4895</v>
      </c>
    </row>
    <row r="114" spans="1:7" x14ac:dyDescent="0.25">
      <c r="A114">
        <v>2410100007</v>
      </c>
      <c r="B114" t="s">
        <v>3268</v>
      </c>
      <c r="C114" t="s">
        <v>89</v>
      </c>
      <c r="D114" t="s">
        <v>4888</v>
      </c>
      <c r="G114" t="s">
        <v>4889</v>
      </c>
    </row>
    <row r="115" spans="1:7" x14ac:dyDescent="0.25">
      <c r="A115">
        <v>2410100010</v>
      </c>
      <c r="B115" t="s">
        <v>3269</v>
      </c>
      <c r="C115" t="s">
        <v>89</v>
      </c>
      <c r="D115" t="s">
        <v>4888</v>
      </c>
      <c r="E115">
        <v>25</v>
      </c>
      <c r="F115">
        <v>7</v>
      </c>
      <c r="G115" t="s">
        <v>4913</v>
      </c>
    </row>
    <row r="116" spans="1:7" x14ac:dyDescent="0.25">
      <c r="A116">
        <v>2410100014</v>
      </c>
      <c r="B116" t="s">
        <v>3270</v>
      </c>
      <c r="C116" t="s">
        <v>71</v>
      </c>
      <c r="D116" t="s">
        <v>4888</v>
      </c>
      <c r="E116">
        <v>100</v>
      </c>
      <c r="F116">
        <v>10</v>
      </c>
      <c r="G116" t="s">
        <v>4914</v>
      </c>
    </row>
    <row r="117" spans="1:7" x14ac:dyDescent="0.25">
      <c r="A117">
        <v>2410110027</v>
      </c>
      <c r="B117" t="s">
        <v>3271</v>
      </c>
      <c r="C117" t="s">
        <v>89</v>
      </c>
      <c r="D117" t="s">
        <v>4915</v>
      </c>
      <c r="E117">
        <v>140</v>
      </c>
      <c r="F117">
        <v>120</v>
      </c>
      <c r="G117" t="s">
        <v>4916</v>
      </c>
    </row>
    <row r="118" spans="1:7" x14ac:dyDescent="0.25">
      <c r="A118">
        <v>2410110028</v>
      </c>
      <c r="B118" t="s">
        <v>3272</v>
      </c>
      <c r="C118" t="s">
        <v>89</v>
      </c>
      <c r="D118" t="s">
        <v>4915</v>
      </c>
      <c r="E118">
        <v>140</v>
      </c>
      <c r="F118">
        <v>120</v>
      </c>
      <c r="G118" t="s">
        <v>4916</v>
      </c>
    </row>
    <row r="119" spans="1:7" x14ac:dyDescent="0.25">
      <c r="A119">
        <v>2410110036</v>
      </c>
      <c r="B119" t="s">
        <v>3273</v>
      </c>
      <c r="C119" t="s">
        <v>89</v>
      </c>
      <c r="D119" t="s">
        <v>4915</v>
      </c>
      <c r="E119">
        <v>140</v>
      </c>
      <c r="F119">
        <v>120</v>
      </c>
      <c r="G119" t="s">
        <v>4916</v>
      </c>
    </row>
    <row r="120" spans="1:7" x14ac:dyDescent="0.25">
      <c r="A120">
        <v>2410110037</v>
      </c>
      <c r="B120" t="s">
        <v>3274</v>
      </c>
      <c r="C120" t="s">
        <v>89</v>
      </c>
      <c r="D120" t="s">
        <v>4915</v>
      </c>
      <c r="E120">
        <v>140</v>
      </c>
      <c r="F120">
        <v>120</v>
      </c>
      <c r="G120" t="s">
        <v>4916</v>
      </c>
    </row>
    <row r="121" spans="1:7" x14ac:dyDescent="0.25">
      <c r="A121">
        <v>2410110038</v>
      </c>
      <c r="B121" t="s">
        <v>3275</v>
      </c>
      <c r="C121" t="s">
        <v>89</v>
      </c>
      <c r="D121" t="s">
        <v>4915</v>
      </c>
      <c r="E121">
        <v>140</v>
      </c>
      <c r="F121">
        <v>120</v>
      </c>
      <c r="G121" t="s">
        <v>4916</v>
      </c>
    </row>
    <row r="122" spans="1:7" x14ac:dyDescent="0.25">
      <c r="A122">
        <v>2410110039</v>
      </c>
      <c r="B122" t="s">
        <v>3276</v>
      </c>
      <c r="C122" t="s">
        <v>71</v>
      </c>
      <c r="D122" t="s">
        <v>4915</v>
      </c>
      <c r="F122">
        <v>90</v>
      </c>
      <c r="G122" t="s">
        <v>4916</v>
      </c>
    </row>
    <row r="123" spans="1:7" x14ac:dyDescent="0.25">
      <c r="A123">
        <v>2410110040</v>
      </c>
      <c r="B123" t="s">
        <v>3277</v>
      </c>
      <c r="C123" t="s">
        <v>71</v>
      </c>
      <c r="D123" t="s">
        <v>4915</v>
      </c>
      <c r="F123">
        <v>90</v>
      </c>
      <c r="G123" t="s">
        <v>4916</v>
      </c>
    </row>
    <row r="124" spans="1:7" x14ac:dyDescent="0.25">
      <c r="A124">
        <v>2410110041</v>
      </c>
      <c r="B124" t="s">
        <v>3278</v>
      </c>
      <c r="C124" t="s">
        <v>71</v>
      </c>
      <c r="D124" t="s">
        <v>4915</v>
      </c>
      <c r="F124">
        <v>90</v>
      </c>
      <c r="G124" t="s">
        <v>4916</v>
      </c>
    </row>
    <row r="125" spans="1:7" x14ac:dyDescent="0.25">
      <c r="A125">
        <v>2410110043</v>
      </c>
      <c r="B125" t="s">
        <v>3279</v>
      </c>
      <c r="C125" t="s">
        <v>71</v>
      </c>
      <c r="D125" t="s">
        <v>4915</v>
      </c>
      <c r="F125">
        <v>90</v>
      </c>
      <c r="G125" t="s">
        <v>4916</v>
      </c>
    </row>
    <row r="126" spans="1:7" x14ac:dyDescent="0.25">
      <c r="A126">
        <v>2410110044</v>
      </c>
      <c r="B126" t="s">
        <v>3280</v>
      </c>
      <c r="C126" t="s">
        <v>71</v>
      </c>
      <c r="D126" t="s">
        <v>4915</v>
      </c>
      <c r="F126">
        <v>90</v>
      </c>
      <c r="G126" t="s">
        <v>4916</v>
      </c>
    </row>
    <row r="127" spans="1:7" x14ac:dyDescent="0.25">
      <c r="A127">
        <v>2410110073</v>
      </c>
      <c r="B127" t="s">
        <v>3285</v>
      </c>
      <c r="C127" t="s">
        <v>71</v>
      </c>
      <c r="D127" t="s">
        <v>4915</v>
      </c>
      <c r="G127" t="s">
        <v>4916</v>
      </c>
    </row>
    <row r="128" spans="1:7" x14ac:dyDescent="0.25">
      <c r="A128">
        <v>2410110074</v>
      </c>
      <c r="B128" t="s">
        <v>3286</v>
      </c>
      <c r="C128" t="s">
        <v>71</v>
      </c>
      <c r="D128" t="s">
        <v>4915</v>
      </c>
      <c r="G128" t="s">
        <v>4916</v>
      </c>
    </row>
    <row r="129" spans="1:7" x14ac:dyDescent="0.25">
      <c r="A129">
        <v>2410110075</v>
      </c>
      <c r="B129" t="s">
        <v>3287</v>
      </c>
      <c r="C129" t="s">
        <v>71</v>
      </c>
      <c r="D129" t="s">
        <v>4915</v>
      </c>
      <c r="G129" t="s">
        <v>4916</v>
      </c>
    </row>
    <row r="130" spans="1:7" x14ac:dyDescent="0.25">
      <c r="A130">
        <v>2410110076</v>
      </c>
      <c r="B130" t="s">
        <v>3288</v>
      </c>
      <c r="C130" t="s">
        <v>71</v>
      </c>
      <c r="D130" t="s">
        <v>4915</v>
      </c>
      <c r="G130" t="s">
        <v>4916</v>
      </c>
    </row>
    <row r="131" spans="1:7" x14ac:dyDescent="0.25">
      <c r="A131">
        <v>2410110077</v>
      </c>
      <c r="B131" t="s">
        <v>3289</v>
      </c>
      <c r="C131" t="s">
        <v>71</v>
      </c>
      <c r="D131" t="s">
        <v>4915</v>
      </c>
      <c r="G131" t="s">
        <v>4916</v>
      </c>
    </row>
    <row r="132" spans="1:7" x14ac:dyDescent="0.25">
      <c r="A132">
        <v>2410110078</v>
      </c>
      <c r="B132" t="s">
        <v>3290</v>
      </c>
      <c r="C132" t="s">
        <v>71</v>
      </c>
      <c r="D132" t="s">
        <v>4915</v>
      </c>
      <c r="G132" t="s">
        <v>4916</v>
      </c>
    </row>
    <row r="133" spans="1:7" x14ac:dyDescent="0.25">
      <c r="A133">
        <v>2410110079</v>
      </c>
      <c r="B133" t="s">
        <v>3291</v>
      </c>
      <c r="C133" t="s">
        <v>71</v>
      </c>
      <c r="D133" t="s">
        <v>4915</v>
      </c>
      <c r="G133" t="s">
        <v>4916</v>
      </c>
    </row>
    <row r="134" spans="1:7" x14ac:dyDescent="0.25">
      <c r="A134">
        <v>2410110080</v>
      </c>
      <c r="B134" t="s">
        <v>3292</v>
      </c>
      <c r="C134" t="s">
        <v>71</v>
      </c>
      <c r="D134" t="s">
        <v>4915</v>
      </c>
      <c r="G134" t="s">
        <v>4916</v>
      </c>
    </row>
    <row r="135" spans="1:7" x14ac:dyDescent="0.25">
      <c r="A135">
        <v>2410110081</v>
      </c>
      <c r="B135" t="s">
        <v>3293</v>
      </c>
      <c r="C135" t="s">
        <v>71</v>
      </c>
      <c r="D135" t="s">
        <v>4915</v>
      </c>
      <c r="G135" t="s">
        <v>4916</v>
      </c>
    </row>
    <row r="136" spans="1:7" x14ac:dyDescent="0.25">
      <c r="A136">
        <v>2410110082</v>
      </c>
      <c r="B136" t="s">
        <v>3294</v>
      </c>
      <c r="C136" t="s">
        <v>71</v>
      </c>
      <c r="D136" t="s">
        <v>4915</v>
      </c>
      <c r="G136" t="s">
        <v>4916</v>
      </c>
    </row>
    <row r="137" spans="1:7" x14ac:dyDescent="0.25">
      <c r="A137">
        <v>2410110088</v>
      </c>
      <c r="B137" t="s">
        <v>3297</v>
      </c>
      <c r="C137" t="s">
        <v>89</v>
      </c>
      <c r="D137" t="s">
        <v>4915</v>
      </c>
      <c r="E137">
        <v>140</v>
      </c>
      <c r="F137">
        <v>120</v>
      </c>
      <c r="G137" t="s">
        <v>4916</v>
      </c>
    </row>
    <row r="138" spans="1:7" x14ac:dyDescent="0.25">
      <c r="A138">
        <v>2410110089</v>
      </c>
      <c r="B138" t="s">
        <v>3298</v>
      </c>
      <c r="C138" t="s">
        <v>89</v>
      </c>
      <c r="D138" t="s">
        <v>4915</v>
      </c>
      <c r="E138">
        <v>140</v>
      </c>
      <c r="F138">
        <v>120</v>
      </c>
      <c r="G138" t="s">
        <v>4916</v>
      </c>
    </row>
    <row r="139" spans="1:7" x14ac:dyDescent="0.25">
      <c r="A139">
        <v>2410110090</v>
      </c>
      <c r="B139" t="s">
        <v>3299</v>
      </c>
      <c r="C139" t="s">
        <v>89</v>
      </c>
      <c r="D139" t="s">
        <v>4915</v>
      </c>
      <c r="E139">
        <v>140</v>
      </c>
      <c r="F139">
        <v>120</v>
      </c>
      <c r="G139" t="s">
        <v>4916</v>
      </c>
    </row>
    <row r="140" spans="1:7" x14ac:dyDescent="0.25">
      <c r="A140">
        <v>2410110091</v>
      </c>
      <c r="B140" t="s">
        <v>3300</v>
      </c>
      <c r="C140" t="s">
        <v>89</v>
      </c>
      <c r="D140" t="s">
        <v>4915</v>
      </c>
      <c r="E140">
        <v>140</v>
      </c>
      <c r="F140">
        <v>120</v>
      </c>
      <c r="G140" t="s">
        <v>4916</v>
      </c>
    </row>
    <row r="141" spans="1:7" x14ac:dyDescent="0.25">
      <c r="A141">
        <v>2410110103</v>
      </c>
      <c r="B141" t="s">
        <v>3309</v>
      </c>
      <c r="C141" t="s">
        <v>89</v>
      </c>
      <c r="D141" t="s">
        <v>4915</v>
      </c>
      <c r="F141">
        <v>90</v>
      </c>
      <c r="G141" t="s">
        <v>4916</v>
      </c>
    </row>
    <row r="142" spans="1:7" x14ac:dyDescent="0.25">
      <c r="A142">
        <v>2410110104</v>
      </c>
      <c r="B142" t="s">
        <v>3310</v>
      </c>
      <c r="C142" t="s">
        <v>89</v>
      </c>
      <c r="D142" t="s">
        <v>4915</v>
      </c>
      <c r="F142">
        <v>90</v>
      </c>
      <c r="G142" t="s">
        <v>4916</v>
      </c>
    </row>
    <row r="143" spans="1:7" x14ac:dyDescent="0.25">
      <c r="A143">
        <v>2410110105</v>
      </c>
      <c r="B143" t="s">
        <v>3311</v>
      </c>
      <c r="C143" t="s">
        <v>89</v>
      </c>
      <c r="D143" t="s">
        <v>4915</v>
      </c>
      <c r="F143">
        <v>90</v>
      </c>
      <c r="G143" t="s">
        <v>4916</v>
      </c>
    </row>
    <row r="144" spans="1:7" x14ac:dyDescent="0.25">
      <c r="A144">
        <v>2410110106</v>
      </c>
      <c r="B144" t="s">
        <v>3312</v>
      </c>
      <c r="C144" t="s">
        <v>89</v>
      </c>
      <c r="D144" t="s">
        <v>4915</v>
      </c>
      <c r="F144">
        <v>90</v>
      </c>
      <c r="G144" t="s">
        <v>4916</v>
      </c>
    </row>
    <row r="145" spans="1:7" x14ac:dyDescent="0.25">
      <c r="A145">
        <v>2410120036</v>
      </c>
      <c r="B145" t="s">
        <v>4917</v>
      </c>
      <c r="C145" t="s">
        <v>89</v>
      </c>
      <c r="D145" t="s">
        <v>4888</v>
      </c>
      <c r="E145">
        <v>25</v>
      </c>
      <c r="F145">
        <v>7</v>
      </c>
      <c r="G145" t="s">
        <v>4900</v>
      </c>
    </row>
    <row r="146" spans="1:7" x14ac:dyDescent="0.25">
      <c r="A146">
        <v>2410120037</v>
      </c>
      <c r="B146" t="s">
        <v>3318</v>
      </c>
      <c r="C146" t="s">
        <v>89</v>
      </c>
      <c r="D146" t="s">
        <v>4888</v>
      </c>
      <c r="G146" t="s">
        <v>4889</v>
      </c>
    </row>
    <row r="147" spans="1:7" x14ac:dyDescent="0.25">
      <c r="A147">
        <v>2410120051</v>
      </c>
      <c r="B147" t="s">
        <v>3321</v>
      </c>
      <c r="C147" t="s">
        <v>89</v>
      </c>
      <c r="D147" t="s">
        <v>4910</v>
      </c>
      <c r="E147">
        <v>960</v>
      </c>
      <c r="F147">
        <v>120</v>
      </c>
      <c r="G147" t="s">
        <v>4900</v>
      </c>
    </row>
    <row r="148" spans="1:7" x14ac:dyDescent="0.25">
      <c r="A148">
        <v>2410120053</v>
      </c>
      <c r="B148" t="s">
        <v>3322</v>
      </c>
      <c r="C148" t="s">
        <v>3209</v>
      </c>
      <c r="D148" t="s">
        <v>4888</v>
      </c>
      <c r="E148">
        <v>1000</v>
      </c>
      <c r="F148">
        <v>7</v>
      </c>
      <c r="G148" t="s">
        <v>4900</v>
      </c>
    </row>
    <row r="149" spans="1:7" x14ac:dyDescent="0.25">
      <c r="A149">
        <v>2410120058</v>
      </c>
      <c r="B149" t="s">
        <v>4918</v>
      </c>
      <c r="C149" t="s">
        <v>89</v>
      </c>
      <c r="D149" t="s">
        <v>4888</v>
      </c>
      <c r="E149">
        <v>1</v>
      </c>
      <c r="F149">
        <v>5</v>
      </c>
      <c r="G149" t="s">
        <v>4900</v>
      </c>
    </row>
    <row r="150" spans="1:7" x14ac:dyDescent="0.25">
      <c r="A150">
        <v>2410130017</v>
      </c>
      <c r="B150" t="s">
        <v>41</v>
      </c>
      <c r="C150" t="s">
        <v>4919</v>
      </c>
      <c r="D150" t="s">
        <v>4915</v>
      </c>
      <c r="E150">
        <v>1000</v>
      </c>
      <c r="F150">
        <v>240</v>
      </c>
      <c r="G150" t="s">
        <v>4920</v>
      </c>
    </row>
    <row r="151" spans="1:7" x14ac:dyDescent="0.25">
      <c r="A151">
        <v>2410150008</v>
      </c>
      <c r="B151" t="s">
        <v>3330</v>
      </c>
      <c r="C151" t="s">
        <v>89</v>
      </c>
      <c r="D151" t="s">
        <v>4888</v>
      </c>
      <c r="E151">
        <v>25</v>
      </c>
      <c r="F151">
        <v>7</v>
      </c>
      <c r="G151" t="s">
        <v>4900</v>
      </c>
    </row>
    <row r="152" spans="1:7" x14ac:dyDescent="0.25">
      <c r="A152">
        <v>2410160010</v>
      </c>
      <c r="B152" t="s">
        <v>3333</v>
      </c>
      <c r="C152" t="s">
        <v>36</v>
      </c>
      <c r="D152" t="s">
        <v>4915</v>
      </c>
      <c r="E152">
        <v>10</v>
      </c>
      <c r="F152">
        <v>90</v>
      </c>
      <c r="G152" t="s">
        <v>4921</v>
      </c>
    </row>
    <row r="153" spans="1:7" x14ac:dyDescent="0.25">
      <c r="A153">
        <v>2410170035</v>
      </c>
      <c r="B153" t="s">
        <v>3334</v>
      </c>
      <c r="C153" t="s">
        <v>71</v>
      </c>
      <c r="D153" t="s">
        <v>4915</v>
      </c>
      <c r="G153" t="s">
        <v>4922</v>
      </c>
    </row>
    <row r="154" spans="1:7" x14ac:dyDescent="0.25">
      <c r="A154">
        <v>2410170036</v>
      </c>
      <c r="B154" t="s">
        <v>3335</v>
      </c>
      <c r="C154" t="s">
        <v>71</v>
      </c>
      <c r="D154" t="s">
        <v>4915</v>
      </c>
      <c r="G154" t="s">
        <v>4922</v>
      </c>
    </row>
    <row r="155" spans="1:7" x14ac:dyDescent="0.25">
      <c r="A155">
        <v>2410170037</v>
      </c>
      <c r="B155" t="s">
        <v>3336</v>
      </c>
      <c r="C155" t="s">
        <v>71</v>
      </c>
      <c r="D155" t="s">
        <v>4915</v>
      </c>
      <c r="E155">
        <v>2000</v>
      </c>
      <c r="F155">
        <v>90</v>
      </c>
      <c r="G155" t="s">
        <v>4923</v>
      </c>
    </row>
    <row r="156" spans="1:7" x14ac:dyDescent="0.25">
      <c r="A156">
        <v>2410170038</v>
      </c>
      <c r="B156" t="s">
        <v>3337</v>
      </c>
      <c r="C156" t="s">
        <v>71</v>
      </c>
      <c r="D156" t="s">
        <v>4915</v>
      </c>
      <c r="E156">
        <v>100</v>
      </c>
      <c r="F156">
        <v>90</v>
      </c>
      <c r="G156" t="s">
        <v>4920</v>
      </c>
    </row>
    <row r="157" spans="1:7" x14ac:dyDescent="0.25">
      <c r="A157">
        <v>2410170050</v>
      </c>
      <c r="B157" t="s">
        <v>3338</v>
      </c>
      <c r="C157" t="s">
        <v>71</v>
      </c>
      <c r="D157" t="s">
        <v>4915</v>
      </c>
      <c r="E157">
        <v>1200</v>
      </c>
      <c r="F157">
        <v>240</v>
      </c>
      <c r="G157" t="s">
        <v>4920</v>
      </c>
    </row>
    <row r="158" spans="1:7" x14ac:dyDescent="0.25">
      <c r="A158">
        <v>2410170057</v>
      </c>
      <c r="B158" t="s">
        <v>3341</v>
      </c>
      <c r="C158" t="s">
        <v>89</v>
      </c>
      <c r="D158" t="s">
        <v>4915</v>
      </c>
      <c r="E158">
        <v>140</v>
      </c>
      <c r="F158">
        <v>120</v>
      </c>
      <c r="G158" t="s">
        <v>4916</v>
      </c>
    </row>
    <row r="159" spans="1:7" x14ac:dyDescent="0.25">
      <c r="A159">
        <v>2410170058</v>
      </c>
      <c r="B159" t="s">
        <v>3342</v>
      </c>
      <c r="C159" t="s">
        <v>89</v>
      </c>
      <c r="D159" t="s">
        <v>4915</v>
      </c>
      <c r="E159">
        <v>140</v>
      </c>
      <c r="F159">
        <v>120</v>
      </c>
      <c r="G159" t="s">
        <v>4916</v>
      </c>
    </row>
    <row r="160" spans="1:7" x14ac:dyDescent="0.25">
      <c r="A160">
        <v>2410170071</v>
      </c>
      <c r="B160" t="s">
        <v>39</v>
      </c>
      <c r="C160" t="s">
        <v>71</v>
      </c>
      <c r="D160" t="s">
        <v>4915</v>
      </c>
      <c r="E160">
        <v>1000</v>
      </c>
      <c r="F160">
        <v>90</v>
      </c>
      <c r="G160" t="s">
        <v>4923</v>
      </c>
    </row>
    <row r="161" spans="1:7" x14ac:dyDescent="0.25">
      <c r="A161">
        <v>2410170091</v>
      </c>
      <c r="B161" t="s">
        <v>3343</v>
      </c>
      <c r="C161" t="s">
        <v>71</v>
      </c>
      <c r="D161" t="s">
        <v>4915</v>
      </c>
      <c r="G161" t="s">
        <v>4922</v>
      </c>
    </row>
    <row r="162" spans="1:7" x14ac:dyDescent="0.25">
      <c r="A162">
        <v>2410170092</v>
      </c>
      <c r="B162" t="s">
        <v>3344</v>
      </c>
      <c r="C162" t="s">
        <v>71</v>
      </c>
      <c r="D162" t="s">
        <v>4915</v>
      </c>
      <c r="G162" t="s">
        <v>4922</v>
      </c>
    </row>
    <row r="163" spans="1:7" x14ac:dyDescent="0.25">
      <c r="A163">
        <v>2410170205</v>
      </c>
      <c r="B163" t="s">
        <v>3348</v>
      </c>
      <c r="C163" t="s">
        <v>71</v>
      </c>
      <c r="D163" t="s">
        <v>4915</v>
      </c>
      <c r="G163" t="s">
        <v>4922</v>
      </c>
    </row>
    <row r="164" spans="1:7" x14ac:dyDescent="0.25">
      <c r="A164">
        <v>2410170233</v>
      </c>
      <c r="B164" t="s">
        <v>3351</v>
      </c>
      <c r="C164" t="s">
        <v>71</v>
      </c>
      <c r="D164" t="s">
        <v>4915</v>
      </c>
      <c r="E164">
        <v>1000</v>
      </c>
      <c r="F164">
        <v>90</v>
      </c>
      <c r="G164" t="s">
        <v>4920</v>
      </c>
    </row>
    <row r="165" spans="1:7" x14ac:dyDescent="0.25">
      <c r="A165">
        <v>2410170238</v>
      </c>
      <c r="B165" t="s">
        <v>4924</v>
      </c>
      <c r="C165" t="s">
        <v>71</v>
      </c>
      <c r="D165" t="s">
        <v>4915</v>
      </c>
      <c r="E165">
        <v>160</v>
      </c>
      <c r="F165">
        <v>70</v>
      </c>
      <c r="G165" t="s">
        <v>4922</v>
      </c>
    </row>
    <row r="166" spans="1:7" x14ac:dyDescent="0.25">
      <c r="A166">
        <v>2410170239</v>
      </c>
      <c r="B166" t="s">
        <v>3353</v>
      </c>
      <c r="C166" t="s">
        <v>71</v>
      </c>
      <c r="D166" t="s">
        <v>4915</v>
      </c>
      <c r="E166">
        <v>160</v>
      </c>
      <c r="F166">
        <v>70</v>
      </c>
      <c r="G166" t="s">
        <v>4922</v>
      </c>
    </row>
    <row r="167" spans="1:7" x14ac:dyDescent="0.25">
      <c r="A167">
        <v>2410170240</v>
      </c>
      <c r="B167" t="s">
        <v>3354</v>
      </c>
      <c r="C167" t="s">
        <v>71</v>
      </c>
      <c r="D167" t="s">
        <v>4915</v>
      </c>
      <c r="E167">
        <v>160</v>
      </c>
      <c r="F167">
        <v>70</v>
      </c>
      <c r="G167" t="s">
        <v>4922</v>
      </c>
    </row>
    <row r="168" spans="1:7" x14ac:dyDescent="0.25">
      <c r="A168">
        <v>2410170242</v>
      </c>
      <c r="B168" t="s">
        <v>3356</v>
      </c>
      <c r="C168" t="s">
        <v>71</v>
      </c>
      <c r="D168" t="s">
        <v>4915</v>
      </c>
      <c r="E168">
        <v>160</v>
      </c>
      <c r="F168">
        <v>70</v>
      </c>
      <c r="G168" t="s">
        <v>4922</v>
      </c>
    </row>
    <row r="169" spans="1:7" x14ac:dyDescent="0.25">
      <c r="A169">
        <v>2410170243</v>
      </c>
      <c r="B169" t="s">
        <v>3357</v>
      </c>
      <c r="C169" t="s">
        <v>71</v>
      </c>
      <c r="D169" t="s">
        <v>4915</v>
      </c>
      <c r="E169">
        <v>160</v>
      </c>
      <c r="F169">
        <v>70</v>
      </c>
      <c r="G169" t="s">
        <v>4922</v>
      </c>
    </row>
    <row r="170" spans="1:7" x14ac:dyDescent="0.25">
      <c r="A170">
        <v>2410170244</v>
      </c>
      <c r="B170" t="s">
        <v>3358</v>
      </c>
      <c r="C170" t="s">
        <v>71</v>
      </c>
      <c r="D170" t="s">
        <v>4915</v>
      </c>
      <c r="E170">
        <v>160</v>
      </c>
      <c r="F170">
        <v>70</v>
      </c>
      <c r="G170" t="s">
        <v>4922</v>
      </c>
    </row>
    <row r="171" spans="1:7" x14ac:dyDescent="0.25">
      <c r="A171">
        <v>2410170245</v>
      </c>
      <c r="B171" t="s">
        <v>3359</v>
      </c>
      <c r="C171" t="s">
        <v>71</v>
      </c>
      <c r="D171" t="s">
        <v>4915</v>
      </c>
      <c r="G171" t="s">
        <v>4922</v>
      </c>
    </row>
    <row r="172" spans="1:7" x14ac:dyDescent="0.25">
      <c r="A172">
        <v>2410190009</v>
      </c>
      <c r="B172" t="s">
        <v>4925</v>
      </c>
      <c r="C172" t="s">
        <v>89</v>
      </c>
      <c r="D172" t="s">
        <v>4915</v>
      </c>
      <c r="E172">
        <v>1000</v>
      </c>
      <c r="F172">
        <v>60</v>
      </c>
      <c r="G172" t="s">
        <v>4926</v>
      </c>
    </row>
    <row r="173" spans="1:7" x14ac:dyDescent="0.25">
      <c r="A173">
        <v>2410190011</v>
      </c>
      <c r="B173" t="s">
        <v>3362</v>
      </c>
      <c r="C173" t="s">
        <v>89</v>
      </c>
      <c r="D173" t="s">
        <v>4915</v>
      </c>
      <c r="E173">
        <v>18000</v>
      </c>
      <c r="F173">
        <v>90</v>
      </c>
      <c r="G173" t="s">
        <v>4926</v>
      </c>
    </row>
    <row r="174" spans="1:7" x14ac:dyDescent="0.25">
      <c r="A174">
        <v>2410200020</v>
      </c>
      <c r="B174" t="s">
        <v>3365</v>
      </c>
      <c r="C174" t="s">
        <v>89</v>
      </c>
      <c r="D174" t="s">
        <v>4888</v>
      </c>
      <c r="E174">
        <v>50</v>
      </c>
      <c r="F174">
        <v>1</v>
      </c>
      <c r="G174" t="s">
        <v>4900</v>
      </c>
    </row>
    <row r="175" spans="1:7" x14ac:dyDescent="0.25">
      <c r="A175">
        <v>2410200021</v>
      </c>
      <c r="B175" t="s">
        <v>3366</v>
      </c>
      <c r="C175" t="s">
        <v>89</v>
      </c>
      <c r="D175" t="s">
        <v>4888</v>
      </c>
      <c r="G175" t="s">
        <v>4889</v>
      </c>
    </row>
    <row r="176" spans="1:7" x14ac:dyDescent="0.25">
      <c r="A176">
        <v>2410210003</v>
      </c>
      <c r="B176" t="s">
        <v>95</v>
      </c>
      <c r="C176" t="s">
        <v>89</v>
      </c>
      <c r="D176" t="s">
        <v>4888</v>
      </c>
      <c r="E176">
        <v>215</v>
      </c>
      <c r="F176">
        <v>7</v>
      </c>
      <c r="G176" t="s">
        <v>4900</v>
      </c>
    </row>
    <row r="177" spans="1:7" x14ac:dyDescent="0.25">
      <c r="A177">
        <v>2410210005</v>
      </c>
      <c r="B177" t="s">
        <v>4927</v>
      </c>
      <c r="C177" t="s">
        <v>89</v>
      </c>
      <c r="D177" t="s">
        <v>4888</v>
      </c>
      <c r="E177">
        <v>25</v>
      </c>
      <c r="F177">
        <v>7</v>
      </c>
      <c r="G177" t="s">
        <v>4900</v>
      </c>
    </row>
    <row r="178" spans="1:7" x14ac:dyDescent="0.25">
      <c r="A178">
        <v>2410210019</v>
      </c>
      <c r="B178" t="s">
        <v>113</v>
      </c>
      <c r="C178" t="s">
        <v>89</v>
      </c>
      <c r="D178" t="s">
        <v>4888</v>
      </c>
      <c r="E178">
        <v>213</v>
      </c>
      <c r="F178">
        <v>7</v>
      </c>
      <c r="G178" t="s">
        <v>4900</v>
      </c>
    </row>
    <row r="179" spans="1:7" x14ac:dyDescent="0.25">
      <c r="A179">
        <v>2410220004</v>
      </c>
      <c r="B179" t="s">
        <v>3371</v>
      </c>
      <c r="C179" t="s">
        <v>89</v>
      </c>
      <c r="D179" t="s">
        <v>4888</v>
      </c>
      <c r="E179">
        <v>1</v>
      </c>
      <c r="F179">
        <v>7</v>
      </c>
      <c r="G179" t="s">
        <v>4900</v>
      </c>
    </row>
    <row r="180" spans="1:7" x14ac:dyDescent="0.25">
      <c r="A180">
        <v>2410260003</v>
      </c>
      <c r="B180" t="s">
        <v>3376</v>
      </c>
      <c r="C180" t="s">
        <v>89</v>
      </c>
      <c r="D180" t="s">
        <v>4888</v>
      </c>
      <c r="E180">
        <v>25</v>
      </c>
      <c r="F180">
        <v>7</v>
      </c>
      <c r="G180" t="s">
        <v>4900</v>
      </c>
    </row>
    <row r="181" spans="1:7" x14ac:dyDescent="0.25">
      <c r="A181">
        <v>2410260013</v>
      </c>
      <c r="B181" t="s">
        <v>3378</v>
      </c>
      <c r="C181" t="s">
        <v>89</v>
      </c>
      <c r="D181" t="s">
        <v>4888</v>
      </c>
      <c r="G181" t="s">
        <v>4889</v>
      </c>
    </row>
    <row r="182" spans="1:7" x14ac:dyDescent="0.25">
      <c r="A182">
        <v>2410260028</v>
      </c>
      <c r="B182" t="s">
        <v>3380</v>
      </c>
      <c r="C182" t="s">
        <v>89</v>
      </c>
      <c r="D182" t="s">
        <v>4888</v>
      </c>
      <c r="G182" t="s">
        <v>4889</v>
      </c>
    </row>
    <row r="183" spans="1:7" x14ac:dyDescent="0.25">
      <c r="A183">
        <v>2410290002</v>
      </c>
      <c r="B183" t="s">
        <v>3381</v>
      </c>
      <c r="C183" t="s">
        <v>3382</v>
      </c>
      <c r="D183" t="s">
        <v>4888</v>
      </c>
      <c r="E183">
        <v>1</v>
      </c>
      <c r="F183">
        <v>7</v>
      </c>
      <c r="G183" t="s">
        <v>4928</v>
      </c>
    </row>
    <row r="184" spans="1:7" x14ac:dyDescent="0.25">
      <c r="A184">
        <v>2410290046</v>
      </c>
      <c r="B184" t="s">
        <v>3384</v>
      </c>
      <c r="C184" t="s">
        <v>89</v>
      </c>
      <c r="D184" t="s">
        <v>4929</v>
      </c>
      <c r="E184">
        <v>1000</v>
      </c>
      <c r="F184">
        <v>15</v>
      </c>
      <c r="G184" t="s">
        <v>4913</v>
      </c>
    </row>
    <row r="185" spans="1:7" x14ac:dyDescent="0.25">
      <c r="A185">
        <v>2410290066</v>
      </c>
      <c r="B185" t="s">
        <v>3386</v>
      </c>
      <c r="C185" t="s">
        <v>3209</v>
      </c>
      <c r="D185" t="s">
        <v>4888</v>
      </c>
      <c r="E185">
        <v>1</v>
      </c>
      <c r="F185">
        <v>7</v>
      </c>
      <c r="G185" t="s">
        <v>4930</v>
      </c>
    </row>
    <row r="186" spans="1:7" x14ac:dyDescent="0.25">
      <c r="A186">
        <v>2410290067</v>
      </c>
      <c r="B186" t="s">
        <v>3387</v>
      </c>
      <c r="C186" t="s">
        <v>89</v>
      </c>
      <c r="D186" t="s">
        <v>4888</v>
      </c>
      <c r="E186">
        <v>1</v>
      </c>
      <c r="F186">
        <v>5</v>
      </c>
      <c r="G186" t="s">
        <v>4931</v>
      </c>
    </row>
    <row r="187" spans="1:7" x14ac:dyDescent="0.25">
      <c r="A187">
        <v>2410290068</v>
      </c>
      <c r="B187" t="s">
        <v>3388</v>
      </c>
      <c r="C187" t="s">
        <v>89</v>
      </c>
      <c r="D187" t="s">
        <v>4888</v>
      </c>
      <c r="E187">
        <v>1.3</v>
      </c>
      <c r="F187">
        <v>7</v>
      </c>
      <c r="G187" t="s">
        <v>4932</v>
      </c>
    </row>
    <row r="188" spans="1:7" x14ac:dyDescent="0.25">
      <c r="A188">
        <v>2410290090</v>
      </c>
      <c r="B188" t="s">
        <v>3390</v>
      </c>
      <c r="C188" t="s">
        <v>3382</v>
      </c>
      <c r="D188" t="s">
        <v>4888</v>
      </c>
      <c r="E188">
        <v>1</v>
      </c>
      <c r="F188">
        <v>5</v>
      </c>
      <c r="G188" t="s">
        <v>4933</v>
      </c>
    </row>
    <row r="189" spans="1:7" x14ac:dyDescent="0.25">
      <c r="A189">
        <v>2410290109</v>
      </c>
      <c r="B189" t="s">
        <v>3391</v>
      </c>
      <c r="C189" t="s">
        <v>36</v>
      </c>
      <c r="D189" t="s">
        <v>4888</v>
      </c>
      <c r="E189">
        <v>1</v>
      </c>
      <c r="F189">
        <v>5</v>
      </c>
      <c r="G189" t="s">
        <v>4934</v>
      </c>
    </row>
    <row r="190" spans="1:7" x14ac:dyDescent="0.25">
      <c r="A190">
        <v>2410290111</v>
      </c>
      <c r="B190" t="s">
        <v>3392</v>
      </c>
      <c r="C190" t="s">
        <v>71</v>
      </c>
      <c r="D190" t="s">
        <v>4915</v>
      </c>
      <c r="E190">
        <v>100</v>
      </c>
      <c r="F190">
        <v>120</v>
      </c>
      <c r="G190" t="s">
        <v>4935</v>
      </c>
    </row>
    <row r="191" spans="1:7" x14ac:dyDescent="0.25">
      <c r="A191">
        <v>2410290142</v>
      </c>
      <c r="B191" t="s">
        <v>3394</v>
      </c>
      <c r="C191" t="s">
        <v>89</v>
      </c>
      <c r="D191" t="s">
        <v>4910</v>
      </c>
      <c r="E191">
        <v>25</v>
      </c>
      <c r="F191">
        <v>45</v>
      </c>
      <c r="G191" t="s">
        <v>4913</v>
      </c>
    </row>
    <row r="192" spans="1:7" x14ac:dyDescent="0.25">
      <c r="A192">
        <v>2410290153</v>
      </c>
      <c r="B192" t="s">
        <v>90</v>
      </c>
      <c r="C192" t="s">
        <v>89</v>
      </c>
      <c r="D192" t="s">
        <v>4910</v>
      </c>
      <c r="E192">
        <v>25</v>
      </c>
      <c r="F192">
        <v>45</v>
      </c>
      <c r="G192" t="s">
        <v>4913</v>
      </c>
    </row>
    <row r="193" spans="1:7" x14ac:dyDescent="0.25">
      <c r="A193">
        <v>2410290156</v>
      </c>
      <c r="B193" t="s">
        <v>40</v>
      </c>
      <c r="C193" t="s">
        <v>1015</v>
      </c>
      <c r="D193" t="s">
        <v>4888</v>
      </c>
      <c r="E193">
        <v>300</v>
      </c>
      <c r="F193">
        <v>7</v>
      </c>
      <c r="G193" t="s">
        <v>4900</v>
      </c>
    </row>
    <row r="194" spans="1:7" x14ac:dyDescent="0.25">
      <c r="A194">
        <v>2410290210</v>
      </c>
      <c r="B194" t="s">
        <v>3398</v>
      </c>
      <c r="C194" t="s">
        <v>89</v>
      </c>
      <c r="D194" t="s">
        <v>4888</v>
      </c>
      <c r="E194">
        <v>25</v>
      </c>
      <c r="F194">
        <v>7</v>
      </c>
      <c r="G194" t="s">
        <v>4926</v>
      </c>
    </row>
    <row r="195" spans="1:7" x14ac:dyDescent="0.25">
      <c r="A195">
        <v>2410290215</v>
      </c>
      <c r="B195" t="s">
        <v>3400</v>
      </c>
      <c r="C195" t="s">
        <v>89</v>
      </c>
      <c r="D195" t="s">
        <v>4910</v>
      </c>
      <c r="E195">
        <v>25</v>
      </c>
      <c r="F195">
        <v>45</v>
      </c>
      <c r="G195" t="s">
        <v>4913</v>
      </c>
    </row>
    <row r="196" spans="1:7" x14ac:dyDescent="0.25">
      <c r="A196">
        <v>2410290508</v>
      </c>
      <c r="B196" t="s">
        <v>3406</v>
      </c>
      <c r="C196" t="s">
        <v>89</v>
      </c>
      <c r="D196" t="s">
        <v>4910</v>
      </c>
      <c r="E196">
        <v>25</v>
      </c>
      <c r="F196">
        <v>45</v>
      </c>
      <c r="G196" t="s">
        <v>4913</v>
      </c>
    </row>
    <row r="197" spans="1:7" x14ac:dyDescent="0.25">
      <c r="A197">
        <v>2410290516</v>
      </c>
      <c r="B197" t="s">
        <v>4936</v>
      </c>
      <c r="C197" t="s">
        <v>89</v>
      </c>
      <c r="D197" t="s">
        <v>4888</v>
      </c>
      <c r="E197">
        <v>190</v>
      </c>
      <c r="F197">
        <v>7</v>
      </c>
      <c r="G197" t="s">
        <v>4900</v>
      </c>
    </row>
    <row r="198" spans="1:7" x14ac:dyDescent="0.25">
      <c r="A198">
        <v>2410290517</v>
      </c>
      <c r="B198" t="s">
        <v>3409</v>
      </c>
      <c r="C198" t="s">
        <v>89</v>
      </c>
      <c r="D198" t="s">
        <v>4888</v>
      </c>
      <c r="G198" t="s">
        <v>4889</v>
      </c>
    </row>
    <row r="199" spans="1:7" x14ac:dyDescent="0.25">
      <c r="A199">
        <v>2410290518</v>
      </c>
      <c r="B199" t="s">
        <v>3410</v>
      </c>
      <c r="C199" t="s">
        <v>89</v>
      </c>
      <c r="D199" t="s">
        <v>4888</v>
      </c>
      <c r="G199" t="s">
        <v>4889</v>
      </c>
    </row>
    <row r="200" spans="1:7" x14ac:dyDescent="0.25">
      <c r="A200">
        <v>2410290544</v>
      </c>
      <c r="B200" t="s">
        <v>3413</v>
      </c>
      <c r="C200" t="s">
        <v>89</v>
      </c>
      <c r="D200" t="s">
        <v>4888</v>
      </c>
      <c r="E200">
        <v>20</v>
      </c>
      <c r="F200">
        <v>7</v>
      </c>
      <c r="G200" t="s">
        <v>4926</v>
      </c>
    </row>
    <row r="201" spans="1:7" x14ac:dyDescent="0.25">
      <c r="A201">
        <v>2410290575</v>
      </c>
      <c r="B201" t="s">
        <v>3422</v>
      </c>
      <c r="C201" t="s">
        <v>89</v>
      </c>
      <c r="D201" t="s">
        <v>4910</v>
      </c>
      <c r="E201">
        <v>25</v>
      </c>
      <c r="F201">
        <v>45</v>
      </c>
      <c r="G201" t="s">
        <v>4913</v>
      </c>
    </row>
    <row r="202" spans="1:7" x14ac:dyDescent="0.25">
      <c r="A202">
        <v>2410290576</v>
      </c>
      <c r="B202" t="s">
        <v>3423</v>
      </c>
      <c r="C202" t="s">
        <v>71</v>
      </c>
      <c r="D202" t="s">
        <v>4915</v>
      </c>
      <c r="G202" t="s">
        <v>4900</v>
      </c>
    </row>
    <row r="203" spans="1:7" x14ac:dyDescent="0.25">
      <c r="A203">
        <v>2410290593</v>
      </c>
      <c r="B203" t="s">
        <v>3424</v>
      </c>
      <c r="C203" t="s">
        <v>71</v>
      </c>
      <c r="D203" t="s">
        <v>4888</v>
      </c>
      <c r="E203">
        <v>5</v>
      </c>
      <c r="F203">
        <v>25</v>
      </c>
      <c r="G203" t="s">
        <v>4937</v>
      </c>
    </row>
    <row r="204" spans="1:7" x14ac:dyDescent="0.25">
      <c r="A204">
        <v>2410290596</v>
      </c>
      <c r="B204" t="s">
        <v>3426</v>
      </c>
      <c r="C204" t="s">
        <v>89</v>
      </c>
      <c r="D204" t="s">
        <v>4888</v>
      </c>
      <c r="E204">
        <v>180</v>
      </c>
      <c r="F204">
        <v>7</v>
      </c>
      <c r="G204" t="s">
        <v>4900</v>
      </c>
    </row>
    <row r="205" spans="1:7" x14ac:dyDescent="0.25">
      <c r="A205">
        <v>2410290611</v>
      </c>
      <c r="B205" t="s">
        <v>3429</v>
      </c>
      <c r="C205" t="s">
        <v>36</v>
      </c>
      <c r="D205" t="s">
        <v>4915</v>
      </c>
      <c r="E205">
        <v>5.0999999999999996</v>
      </c>
      <c r="F205">
        <v>90</v>
      </c>
      <c r="G205" t="s">
        <v>4938</v>
      </c>
    </row>
    <row r="206" spans="1:7" x14ac:dyDescent="0.25">
      <c r="A206">
        <v>2410290624</v>
      </c>
      <c r="B206" t="s">
        <v>91</v>
      </c>
      <c r="C206" t="s">
        <v>89</v>
      </c>
      <c r="D206" t="s">
        <v>4929</v>
      </c>
      <c r="E206">
        <v>1000</v>
      </c>
      <c r="F206">
        <v>15</v>
      </c>
      <c r="G206" t="s">
        <v>4913</v>
      </c>
    </row>
    <row r="207" spans="1:7" x14ac:dyDescent="0.25">
      <c r="A207">
        <v>2410290626</v>
      </c>
      <c r="B207" t="s">
        <v>92</v>
      </c>
      <c r="C207" t="s">
        <v>89</v>
      </c>
      <c r="D207" t="s">
        <v>4888</v>
      </c>
      <c r="E207">
        <v>25</v>
      </c>
      <c r="F207">
        <v>7</v>
      </c>
      <c r="G207" t="s">
        <v>4913</v>
      </c>
    </row>
    <row r="208" spans="1:7" x14ac:dyDescent="0.25">
      <c r="A208">
        <v>2410290827</v>
      </c>
      <c r="B208" t="s">
        <v>3524</v>
      </c>
      <c r="C208" t="s">
        <v>89</v>
      </c>
      <c r="D208" t="s">
        <v>4888</v>
      </c>
      <c r="E208">
        <v>200</v>
      </c>
      <c r="F208">
        <v>7</v>
      </c>
      <c r="G208" t="s">
        <v>4900</v>
      </c>
    </row>
    <row r="209" spans="1:7" x14ac:dyDescent="0.25">
      <c r="A209">
        <v>2410290832</v>
      </c>
      <c r="B209" t="s">
        <v>4939</v>
      </c>
      <c r="C209" t="s">
        <v>89</v>
      </c>
      <c r="D209" t="s">
        <v>4888</v>
      </c>
      <c r="E209">
        <v>25</v>
      </c>
      <c r="F209">
        <v>7</v>
      </c>
      <c r="G209" t="s">
        <v>4900</v>
      </c>
    </row>
    <row r="210" spans="1:7" x14ac:dyDescent="0.25">
      <c r="A210">
        <v>2410360001</v>
      </c>
      <c r="B210" t="s">
        <v>3532</v>
      </c>
      <c r="C210" t="s">
        <v>36</v>
      </c>
      <c r="D210" t="s">
        <v>4915</v>
      </c>
      <c r="E210">
        <v>280</v>
      </c>
      <c r="F210">
        <v>90</v>
      </c>
      <c r="G210" t="s">
        <v>4940</v>
      </c>
    </row>
    <row r="211" spans="1:7" x14ac:dyDescent="0.25">
      <c r="A211">
        <v>2410360011</v>
      </c>
      <c r="B211" t="s">
        <v>3533</v>
      </c>
      <c r="C211" t="s">
        <v>71</v>
      </c>
      <c r="D211" t="s">
        <v>4915</v>
      </c>
      <c r="E211">
        <v>280</v>
      </c>
      <c r="F211">
        <v>90</v>
      </c>
      <c r="G211" t="s">
        <v>4940</v>
      </c>
    </row>
    <row r="212" spans="1:7" x14ac:dyDescent="0.25">
      <c r="A212">
        <v>2410360012</v>
      </c>
      <c r="B212" t="s">
        <v>3534</v>
      </c>
      <c r="C212" t="s">
        <v>71</v>
      </c>
      <c r="D212" t="s">
        <v>4915</v>
      </c>
      <c r="E212">
        <v>5.2</v>
      </c>
      <c r="F212">
        <v>90</v>
      </c>
      <c r="G212" t="s">
        <v>4940</v>
      </c>
    </row>
    <row r="213" spans="1:7" x14ac:dyDescent="0.25">
      <c r="A213">
        <v>2410360013</v>
      </c>
      <c r="B213" t="s">
        <v>3535</v>
      </c>
      <c r="C213" t="s">
        <v>71</v>
      </c>
      <c r="D213" t="s">
        <v>4915</v>
      </c>
      <c r="E213">
        <v>80</v>
      </c>
      <c r="F213">
        <v>90</v>
      </c>
      <c r="G213" t="s">
        <v>4940</v>
      </c>
    </row>
    <row r="214" spans="1:7" x14ac:dyDescent="0.25">
      <c r="A214">
        <v>2410360014</v>
      </c>
      <c r="B214" t="s">
        <v>3536</v>
      </c>
      <c r="C214" t="s">
        <v>71</v>
      </c>
      <c r="D214" t="s">
        <v>4915</v>
      </c>
      <c r="E214">
        <v>1.4</v>
      </c>
      <c r="F214">
        <v>90</v>
      </c>
      <c r="G214" t="s">
        <v>4940</v>
      </c>
    </row>
    <row r="215" spans="1:7" x14ac:dyDescent="0.25">
      <c r="A215">
        <v>2410360015</v>
      </c>
      <c r="B215" t="s">
        <v>3537</v>
      </c>
      <c r="C215" t="s">
        <v>71</v>
      </c>
      <c r="D215" t="s">
        <v>4915</v>
      </c>
      <c r="E215">
        <v>5</v>
      </c>
      <c r="F215">
        <v>90</v>
      </c>
      <c r="G215" t="s">
        <v>4941</v>
      </c>
    </row>
    <row r="216" spans="1:7" x14ac:dyDescent="0.25">
      <c r="A216">
        <v>2410360016</v>
      </c>
      <c r="B216" t="s">
        <v>3538</v>
      </c>
      <c r="C216" t="s">
        <v>71</v>
      </c>
      <c r="D216" t="s">
        <v>4915</v>
      </c>
      <c r="E216">
        <v>10</v>
      </c>
      <c r="F216">
        <v>90</v>
      </c>
      <c r="G216" t="s">
        <v>4941</v>
      </c>
    </row>
    <row r="217" spans="1:7" x14ac:dyDescent="0.25">
      <c r="A217">
        <v>2410360017</v>
      </c>
      <c r="B217" t="s">
        <v>3539</v>
      </c>
      <c r="C217" t="s">
        <v>71</v>
      </c>
      <c r="D217" t="s">
        <v>4915</v>
      </c>
      <c r="E217">
        <v>80</v>
      </c>
      <c r="F217">
        <v>90</v>
      </c>
      <c r="G217" t="s">
        <v>4941</v>
      </c>
    </row>
    <row r="218" spans="1:7" x14ac:dyDescent="0.25">
      <c r="A218">
        <v>2410360018</v>
      </c>
      <c r="B218" t="s">
        <v>3540</v>
      </c>
      <c r="C218" t="s">
        <v>71</v>
      </c>
      <c r="D218" t="s">
        <v>4915</v>
      </c>
      <c r="E218">
        <v>10</v>
      </c>
      <c r="F218">
        <v>90</v>
      </c>
      <c r="G218" t="s">
        <v>4941</v>
      </c>
    </row>
    <row r="219" spans="1:7" x14ac:dyDescent="0.25">
      <c r="A219">
        <v>2410360019</v>
      </c>
      <c r="B219" t="s">
        <v>3541</v>
      </c>
      <c r="C219" t="s">
        <v>71</v>
      </c>
      <c r="D219" t="s">
        <v>4915</v>
      </c>
      <c r="E219">
        <v>10</v>
      </c>
      <c r="F219">
        <v>90</v>
      </c>
      <c r="G219" t="s">
        <v>4941</v>
      </c>
    </row>
    <row r="220" spans="1:7" x14ac:dyDescent="0.25">
      <c r="A220">
        <v>2410360020</v>
      </c>
      <c r="B220" t="s">
        <v>3542</v>
      </c>
      <c r="C220" t="s">
        <v>71</v>
      </c>
      <c r="D220" t="s">
        <v>4915</v>
      </c>
      <c r="E220">
        <v>10</v>
      </c>
      <c r="F220">
        <v>90</v>
      </c>
      <c r="G220" t="s">
        <v>4941</v>
      </c>
    </row>
    <row r="221" spans="1:7" x14ac:dyDescent="0.25">
      <c r="A221">
        <v>2410360021</v>
      </c>
      <c r="B221" t="s">
        <v>3543</v>
      </c>
      <c r="C221" t="s">
        <v>71</v>
      </c>
      <c r="D221" t="s">
        <v>4915</v>
      </c>
      <c r="E221">
        <v>5</v>
      </c>
      <c r="F221">
        <v>90</v>
      </c>
      <c r="G221" t="s">
        <v>4941</v>
      </c>
    </row>
    <row r="222" spans="1:7" x14ac:dyDescent="0.25">
      <c r="A222">
        <v>2430330004</v>
      </c>
      <c r="B222" t="s">
        <v>3611</v>
      </c>
      <c r="C222" t="s">
        <v>89</v>
      </c>
      <c r="D222" t="s">
        <v>4915</v>
      </c>
      <c r="E222">
        <v>2000</v>
      </c>
      <c r="F222">
        <v>120</v>
      </c>
      <c r="G222" t="s">
        <v>4942</v>
      </c>
    </row>
    <row r="223" spans="1:7" x14ac:dyDescent="0.25">
      <c r="A223">
        <v>2430330005</v>
      </c>
      <c r="B223" t="s">
        <v>3612</v>
      </c>
      <c r="C223" t="s">
        <v>89</v>
      </c>
      <c r="D223" t="s">
        <v>4888</v>
      </c>
      <c r="E223">
        <v>35</v>
      </c>
      <c r="F223">
        <v>7</v>
      </c>
      <c r="G223" t="s">
        <v>4942</v>
      </c>
    </row>
    <row r="224" spans="1:7" x14ac:dyDescent="0.25">
      <c r="A224">
        <v>2430330007</v>
      </c>
      <c r="B224" t="s">
        <v>4943</v>
      </c>
      <c r="C224" t="s">
        <v>89</v>
      </c>
      <c r="D224" t="s">
        <v>4888</v>
      </c>
      <c r="E224">
        <v>35</v>
      </c>
      <c r="F224">
        <v>7</v>
      </c>
      <c r="G224" t="s">
        <v>4942</v>
      </c>
    </row>
    <row r="225" spans="1:7" x14ac:dyDescent="0.25">
      <c r="A225">
        <v>2430350001</v>
      </c>
      <c r="B225" t="s">
        <v>4877</v>
      </c>
      <c r="C225" t="s">
        <v>89</v>
      </c>
      <c r="D225" t="s">
        <v>4888</v>
      </c>
      <c r="E225">
        <v>200</v>
      </c>
      <c r="F225">
        <v>7</v>
      </c>
      <c r="G225" t="s">
        <v>4900</v>
      </c>
    </row>
    <row r="226" spans="1:7" x14ac:dyDescent="0.25">
      <c r="A226">
        <v>2430390013</v>
      </c>
      <c r="B226" t="s">
        <v>3624</v>
      </c>
      <c r="C226" t="s">
        <v>89</v>
      </c>
      <c r="D226" t="s">
        <v>4888</v>
      </c>
      <c r="E226">
        <v>25</v>
      </c>
      <c r="F226">
        <v>7</v>
      </c>
      <c r="G226" t="s">
        <v>4900</v>
      </c>
    </row>
    <row r="227" spans="1:7" x14ac:dyDescent="0.25">
      <c r="A227">
        <v>2430450001</v>
      </c>
      <c r="B227" t="s">
        <v>93</v>
      </c>
      <c r="C227" t="s">
        <v>89</v>
      </c>
      <c r="D227" t="s">
        <v>4888</v>
      </c>
      <c r="E227">
        <v>265</v>
      </c>
      <c r="F227">
        <v>7</v>
      </c>
      <c r="G227" t="s">
        <v>4900</v>
      </c>
    </row>
    <row r="228" spans="1:7" x14ac:dyDescent="0.25">
      <c r="A228">
        <v>2430480001</v>
      </c>
      <c r="B228" t="s">
        <v>4944</v>
      </c>
      <c r="C228" t="s">
        <v>89</v>
      </c>
      <c r="D228" t="s">
        <v>4888</v>
      </c>
      <c r="G228" t="s">
        <v>4889</v>
      </c>
    </row>
    <row r="229" spans="1:7" x14ac:dyDescent="0.25">
      <c r="A229">
        <v>2430480002</v>
      </c>
      <c r="B229" t="s">
        <v>3628</v>
      </c>
      <c r="C229" t="s">
        <v>89</v>
      </c>
      <c r="D229" t="s">
        <v>4910</v>
      </c>
      <c r="E229">
        <v>25</v>
      </c>
      <c r="F229">
        <v>45</v>
      </c>
      <c r="G229" t="s">
        <v>4913</v>
      </c>
    </row>
    <row r="230" spans="1:7" x14ac:dyDescent="0.25">
      <c r="A230">
        <v>2430500001</v>
      </c>
      <c r="B230" t="s">
        <v>3629</v>
      </c>
      <c r="C230" t="s">
        <v>89</v>
      </c>
      <c r="D230" t="s">
        <v>4888</v>
      </c>
      <c r="E230">
        <v>25</v>
      </c>
      <c r="F230">
        <v>7</v>
      </c>
      <c r="G230" t="s">
        <v>4900</v>
      </c>
    </row>
    <row r="231" spans="1:7" x14ac:dyDescent="0.25">
      <c r="A231">
        <v>2430520005</v>
      </c>
      <c r="B231" t="s">
        <v>3631</v>
      </c>
      <c r="C231" t="s">
        <v>89</v>
      </c>
      <c r="D231" t="s">
        <v>4888</v>
      </c>
      <c r="E231">
        <v>25</v>
      </c>
      <c r="F231">
        <v>7</v>
      </c>
      <c r="G231" t="s">
        <v>4900</v>
      </c>
    </row>
    <row r="232" spans="1:7" x14ac:dyDescent="0.25">
      <c r="A232">
        <v>2430520006</v>
      </c>
      <c r="B232" t="s">
        <v>4945</v>
      </c>
      <c r="C232" t="s">
        <v>89</v>
      </c>
      <c r="D232" t="s">
        <v>4888</v>
      </c>
      <c r="G232" t="s">
        <v>4889</v>
      </c>
    </row>
    <row r="233" spans="1:7" x14ac:dyDescent="0.25">
      <c r="A233">
        <v>2430530004</v>
      </c>
      <c r="B233" t="s">
        <v>3633</v>
      </c>
      <c r="C233" t="s">
        <v>89</v>
      </c>
      <c r="D233" t="s">
        <v>4888</v>
      </c>
      <c r="E233">
        <v>40</v>
      </c>
      <c r="F233">
        <v>7</v>
      </c>
      <c r="G233" t="s">
        <v>4900</v>
      </c>
    </row>
    <row r="234" spans="1:7" x14ac:dyDescent="0.25">
      <c r="A234">
        <v>2430530010</v>
      </c>
      <c r="B234" t="s">
        <v>3634</v>
      </c>
      <c r="C234" t="s">
        <v>89</v>
      </c>
      <c r="D234" t="s">
        <v>4888</v>
      </c>
      <c r="E234">
        <v>25</v>
      </c>
      <c r="F234">
        <v>7</v>
      </c>
      <c r="G234" t="s">
        <v>4900</v>
      </c>
    </row>
    <row r="235" spans="1:7" x14ac:dyDescent="0.25">
      <c r="A235">
        <v>2430540001</v>
      </c>
      <c r="B235" t="s">
        <v>3635</v>
      </c>
      <c r="C235" t="s">
        <v>89</v>
      </c>
      <c r="D235" t="s">
        <v>4888</v>
      </c>
      <c r="E235">
        <v>40</v>
      </c>
      <c r="F235">
        <v>7</v>
      </c>
      <c r="G235" t="s">
        <v>4900</v>
      </c>
    </row>
    <row r="236" spans="1:7" x14ac:dyDescent="0.25">
      <c r="A236">
        <v>2430550009</v>
      </c>
      <c r="B236" t="s">
        <v>4946</v>
      </c>
      <c r="C236" t="s">
        <v>89</v>
      </c>
      <c r="D236" t="s">
        <v>4888</v>
      </c>
      <c r="E236">
        <v>25</v>
      </c>
      <c r="F236">
        <v>7</v>
      </c>
      <c r="G236" t="s">
        <v>4900</v>
      </c>
    </row>
    <row r="237" spans="1:7" x14ac:dyDescent="0.25">
      <c r="A237">
        <v>2430550010</v>
      </c>
      <c r="B237" t="s">
        <v>4947</v>
      </c>
      <c r="C237" t="s">
        <v>89</v>
      </c>
      <c r="D237" t="s">
        <v>4888</v>
      </c>
      <c r="E237">
        <v>25</v>
      </c>
      <c r="F237">
        <v>7</v>
      </c>
      <c r="G237" t="s">
        <v>4900</v>
      </c>
    </row>
    <row r="238" spans="1:7" x14ac:dyDescent="0.25">
      <c r="A238">
        <v>2430580001</v>
      </c>
      <c r="B238" t="s">
        <v>3641</v>
      </c>
      <c r="C238" t="s">
        <v>89</v>
      </c>
      <c r="D238" t="s">
        <v>4888</v>
      </c>
      <c r="E238">
        <v>20</v>
      </c>
      <c r="F238">
        <v>7</v>
      </c>
      <c r="G238" t="s">
        <v>4948</v>
      </c>
    </row>
    <row r="239" spans="1:7" x14ac:dyDescent="0.25">
      <c r="A239">
        <v>2430580002</v>
      </c>
      <c r="B239" t="s">
        <v>3642</v>
      </c>
      <c r="C239" t="s">
        <v>89</v>
      </c>
      <c r="D239" t="s">
        <v>4888</v>
      </c>
      <c r="E239">
        <v>10</v>
      </c>
      <c r="F239">
        <v>7</v>
      </c>
      <c r="G239" t="s">
        <v>4895</v>
      </c>
    </row>
    <row r="240" spans="1:7" x14ac:dyDescent="0.25">
      <c r="A240">
        <v>2430600005</v>
      </c>
      <c r="B240" t="s">
        <v>3644</v>
      </c>
      <c r="C240" t="s">
        <v>89</v>
      </c>
      <c r="D240" t="s">
        <v>4888</v>
      </c>
      <c r="E240">
        <v>20</v>
      </c>
      <c r="F240">
        <v>7</v>
      </c>
      <c r="G240" t="s">
        <v>4895</v>
      </c>
    </row>
    <row r="241" spans="1:7" x14ac:dyDescent="0.25">
      <c r="A241">
        <v>2430620001</v>
      </c>
      <c r="B241" t="s">
        <v>3647</v>
      </c>
      <c r="C241" t="s">
        <v>89</v>
      </c>
      <c r="D241" t="s">
        <v>4888</v>
      </c>
      <c r="E241">
        <v>20</v>
      </c>
      <c r="F241">
        <v>7</v>
      </c>
      <c r="G241" t="s">
        <v>4948</v>
      </c>
    </row>
    <row r="242" spans="1:7" x14ac:dyDescent="0.25">
      <c r="A242">
        <v>2430640003</v>
      </c>
      <c r="B242" t="s">
        <v>3652</v>
      </c>
      <c r="C242" t="s">
        <v>89</v>
      </c>
      <c r="D242" t="s">
        <v>4888</v>
      </c>
      <c r="E242">
        <v>20</v>
      </c>
      <c r="F242">
        <v>7</v>
      </c>
      <c r="G242" t="s">
        <v>4948</v>
      </c>
    </row>
    <row r="243" spans="1:7" x14ac:dyDescent="0.25">
      <c r="A243">
        <v>2430650001</v>
      </c>
      <c r="B243" t="s">
        <v>4949</v>
      </c>
      <c r="C243" t="s">
        <v>89</v>
      </c>
      <c r="D243" t="s">
        <v>4888</v>
      </c>
      <c r="G243" t="s">
        <v>4895</v>
      </c>
    </row>
    <row r="244" spans="1:7" x14ac:dyDescent="0.25">
      <c r="A244">
        <v>2430660006</v>
      </c>
      <c r="B244" t="s">
        <v>4950</v>
      </c>
      <c r="C244" t="s">
        <v>89</v>
      </c>
      <c r="D244" t="s">
        <v>4888</v>
      </c>
      <c r="E244">
        <v>25</v>
      </c>
      <c r="F244">
        <v>7</v>
      </c>
      <c r="G244" t="s">
        <v>4895</v>
      </c>
    </row>
    <row r="245" spans="1:7" x14ac:dyDescent="0.25">
      <c r="A245">
        <v>2430680002</v>
      </c>
      <c r="B245" t="s">
        <v>3659</v>
      </c>
      <c r="C245" t="s">
        <v>89</v>
      </c>
      <c r="D245" t="s">
        <v>4888</v>
      </c>
      <c r="G245" t="s">
        <v>4895</v>
      </c>
    </row>
    <row r="246" spans="1:7" x14ac:dyDescent="0.25">
      <c r="A246">
        <v>2430680003</v>
      </c>
      <c r="B246" t="s">
        <v>3660</v>
      </c>
      <c r="C246" t="s">
        <v>89</v>
      </c>
      <c r="D246" t="s">
        <v>4888</v>
      </c>
      <c r="E246">
        <v>20</v>
      </c>
      <c r="F246">
        <v>7</v>
      </c>
      <c r="G246" t="s">
        <v>4948</v>
      </c>
    </row>
    <row r="247" spans="1:7" x14ac:dyDescent="0.25">
      <c r="A247">
        <v>2430680005</v>
      </c>
      <c r="B247" t="s">
        <v>3661</v>
      </c>
      <c r="C247" t="s">
        <v>89</v>
      </c>
      <c r="D247" t="s">
        <v>4888</v>
      </c>
      <c r="G247" t="s">
        <v>4895</v>
      </c>
    </row>
    <row r="248" spans="1:7" x14ac:dyDescent="0.25">
      <c r="A248">
        <v>2430680010</v>
      </c>
      <c r="B248" t="s">
        <v>4951</v>
      </c>
      <c r="C248" t="s">
        <v>89</v>
      </c>
      <c r="D248" t="s">
        <v>4888</v>
      </c>
      <c r="G248" t="s">
        <v>4895</v>
      </c>
    </row>
    <row r="249" spans="1:7" x14ac:dyDescent="0.25">
      <c r="A249">
        <v>2430700001</v>
      </c>
      <c r="B249" t="s">
        <v>3666</v>
      </c>
      <c r="C249" t="s">
        <v>89</v>
      </c>
      <c r="D249" t="s">
        <v>4888</v>
      </c>
      <c r="E249">
        <v>25</v>
      </c>
      <c r="F249">
        <v>7</v>
      </c>
      <c r="G249" t="s">
        <v>4895</v>
      </c>
    </row>
    <row r="250" spans="1:7" x14ac:dyDescent="0.25">
      <c r="A250">
        <v>2430710002</v>
      </c>
      <c r="B250" t="s">
        <v>4952</v>
      </c>
      <c r="C250" t="s">
        <v>89</v>
      </c>
      <c r="D250" t="s">
        <v>4888</v>
      </c>
      <c r="G250" t="s">
        <v>4895</v>
      </c>
    </row>
    <row r="251" spans="1:7" x14ac:dyDescent="0.25">
      <c r="A251">
        <v>2430710003</v>
      </c>
      <c r="B251" t="s">
        <v>3672</v>
      </c>
      <c r="C251" t="s">
        <v>89</v>
      </c>
      <c r="D251" t="s">
        <v>4888</v>
      </c>
      <c r="E251">
        <v>25</v>
      </c>
      <c r="F251">
        <v>7</v>
      </c>
      <c r="G251" t="s">
        <v>4895</v>
      </c>
    </row>
    <row r="252" spans="1:7" x14ac:dyDescent="0.25">
      <c r="A252">
        <v>2430740002</v>
      </c>
      <c r="B252" t="s">
        <v>3677</v>
      </c>
      <c r="C252" t="s">
        <v>89</v>
      </c>
      <c r="D252" t="s">
        <v>4888</v>
      </c>
      <c r="E252">
        <v>25</v>
      </c>
      <c r="F252">
        <v>7</v>
      </c>
      <c r="G252" t="s">
        <v>4895</v>
      </c>
    </row>
    <row r="253" spans="1:7" x14ac:dyDescent="0.25">
      <c r="A253">
        <v>2430760003</v>
      </c>
      <c r="B253" t="s">
        <v>3681</v>
      </c>
      <c r="C253" t="s">
        <v>89</v>
      </c>
      <c r="D253" t="s">
        <v>4888</v>
      </c>
      <c r="E253">
        <v>20</v>
      </c>
      <c r="F253">
        <v>7</v>
      </c>
      <c r="G253" t="s">
        <v>4948</v>
      </c>
    </row>
    <row r="254" spans="1:7" x14ac:dyDescent="0.25">
      <c r="A254">
        <v>2430810004</v>
      </c>
      <c r="B254" t="s">
        <v>3687</v>
      </c>
      <c r="C254" t="s">
        <v>89</v>
      </c>
      <c r="D254" t="s">
        <v>4888</v>
      </c>
      <c r="E254">
        <v>230</v>
      </c>
      <c r="F254">
        <v>7</v>
      </c>
      <c r="G254" t="s">
        <v>4900</v>
      </c>
    </row>
    <row r="255" spans="1:7" x14ac:dyDescent="0.25">
      <c r="A255">
        <v>2430840003</v>
      </c>
      <c r="B255" t="s">
        <v>3690</v>
      </c>
      <c r="C255" t="s">
        <v>89</v>
      </c>
      <c r="D255" t="s">
        <v>4888</v>
      </c>
      <c r="E255">
        <v>20</v>
      </c>
      <c r="F255">
        <v>7</v>
      </c>
      <c r="G255" t="s">
        <v>4934</v>
      </c>
    </row>
    <row r="256" spans="1:7" x14ac:dyDescent="0.25">
      <c r="A256">
        <v>2430840005</v>
      </c>
      <c r="B256" t="s">
        <v>3691</v>
      </c>
      <c r="C256" t="s">
        <v>89</v>
      </c>
      <c r="D256" t="s">
        <v>4888</v>
      </c>
      <c r="E256">
        <v>20</v>
      </c>
      <c r="F256">
        <v>7</v>
      </c>
      <c r="G256" t="s">
        <v>4934</v>
      </c>
    </row>
    <row r="257" spans="1:7" x14ac:dyDescent="0.25">
      <c r="A257">
        <v>2430850012</v>
      </c>
      <c r="B257" t="s">
        <v>3695</v>
      </c>
      <c r="C257" t="s">
        <v>89</v>
      </c>
      <c r="D257" t="s">
        <v>4888</v>
      </c>
      <c r="E257">
        <v>170</v>
      </c>
      <c r="F257">
        <v>7</v>
      </c>
      <c r="G257" t="s">
        <v>4900</v>
      </c>
    </row>
    <row r="258" spans="1:7" x14ac:dyDescent="0.25">
      <c r="A258">
        <v>2430850013</v>
      </c>
      <c r="B258" t="s">
        <v>3696</v>
      </c>
      <c r="C258" t="s">
        <v>89</v>
      </c>
      <c r="D258" t="s">
        <v>4888</v>
      </c>
      <c r="E258">
        <v>200</v>
      </c>
      <c r="F258">
        <v>7</v>
      </c>
      <c r="G258" t="s">
        <v>4900</v>
      </c>
    </row>
    <row r="259" spans="1:7" x14ac:dyDescent="0.25">
      <c r="A259">
        <v>2430850015</v>
      </c>
      <c r="B259" t="s">
        <v>3698</v>
      </c>
      <c r="C259" t="s">
        <v>89</v>
      </c>
      <c r="D259" t="s">
        <v>4888</v>
      </c>
      <c r="E259">
        <v>25</v>
      </c>
      <c r="F259">
        <v>7</v>
      </c>
      <c r="G259" t="s">
        <v>4953</v>
      </c>
    </row>
    <row r="260" spans="1:7" x14ac:dyDescent="0.25">
      <c r="A260">
        <v>2430850022</v>
      </c>
      <c r="B260" t="s">
        <v>3700</v>
      </c>
      <c r="C260" t="s">
        <v>89</v>
      </c>
      <c r="D260" t="s">
        <v>4888</v>
      </c>
      <c r="E260">
        <v>25</v>
      </c>
      <c r="F260">
        <v>7</v>
      </c>
      <c r="G260" t="s">
        <v>4900</v>
      </c>
    </row>
    <row r="261" spans="1:7" x14ac:dyDescent="0.25">
      <c r="A261">
        <v>2430850037</v>
      </c>
      <c r="B261" t="s">
        <v>4954</v>
      </c>
      <c r="C261" t="s">
        <v>89</v>
      </c>
      <c r="D261" t="s">
        <v>4888</v>
      </c>
      <c r="E261">
        <v>150</v>
      </c>
      <c r="F261">
        <v>7</v>
      </c>
      <c r="G261" t="s">
        <v>4900</v>
      </c>
    </row>
    <row r="262" spans="1:7" x14ac:dyDescent="0.25">
      <c r="A262">
        <v>2430860001</v>
      </c>
      <c r="B262" t="s">
        <v>3705</v>
      </c>
      <c r="C262" t="s">
        <v>89</v>
      </c>
      <c r="D262" t="s">
        <v>4888</v>
      </c>
      <c r="G262" t="s">
        <v>4889</v>
      </c>
    </row>
    <row r="263" spans="1:7" x14ac:dyDescent="0.25">
      <c r="A263">
        <v>2430870004</v>
      </c>
      <c r="B263" t="s">
        <v>3707</v>
      </c>
      <c r="C263" t="s">
        <v>89</v>
      </c>
      <c r="D263" t="s">
        <v>4888</v>
      </c>
      <c r="E263">
        <v>25</v>
      </c>
      <c r="F263">
        <v>7</v>
      </c>
      <c r="G263" t="s">
        <v>4900</v>
      </c>
    </row>
    <row r="264" spans="1:7" x14ac:dyDescent="0.25">
      <c r="A264">
        <v>2430880005</v>
      </c>
      <c r="B264" t="s">
        <v>3709</v>
      </c>
      <c r="C264" t="s">
        <v>89</v>
      </c>
      <c r="D264" t="s">
        <v>4888</v>
      </c>
      <c r="E264">
        <v>25</v>
      </c>
      <c r="F264">
        <v>7</v>
      </c>
      <c r="G264" t="s">
        <v>4900</v>
      </c>
    </row>
    <row r="265" spans="1:7" x14ac:dyDescent="0.25">
      <c r="A265">
        <v>2430880022</v>
      </c>
      <c r="B265" t="s">
        <v>115</v>
      </c>
      <c r="C265" t="s">
        <v>89</v>
      </c>
      <c r="D265" t="s">
        <v>4888</v>
      </c>
      <c r="E265">
        <v>50</v>
      </c>
      <c r="F265">
        <v>7</v>
      </c>
      <c r="G265" t="s">
        <v>4900</v>
      </c>
    </row>
    <row r="266" spans="1:7" x14ac:dyDescent="0.25">
      <c r="A266">
        <v>2430880026</v>
      </c>
      <c r="B266" t="s">
        <v>3713</v>
      </c>
      <c r="C266" t="s">
        <v>89</v>
      </c>
      <c r="D266" t="s">
        <v>4888</v>
      </c>
      <c r="G266" t="s">
        <v>4889</v>
      </c>
    </row>
    <row r="267" spans="1:7" x14ac:dyDescent="0.25">
      <c r="A267">
        <v>2430890005</v>
      </c>
      <c r="B267" t="s">
        <v>3714</v>
      </c>
      <c r="C267" t="s">
        <v>89</v>
      </c>
      <c r="D267" t="s">
        <v>4915</v>
      </c>
      <c r="G267" t="s">
        <v>4900</v>
      </c>
    </row>
    <row r="268" spans="1:7" x14ac:dyDescent="0.25">
      <c r="A268">
        <v>2430930001</v>
      </c>
      <c r="B268" t="s">
        <v>114</v>
      </c>
      <c r="C268" t="s">
        <v>89</v>
      </c>
      <c r="D268" t="s">
        <v>4888</v>
      </c>
      <c r="E268">
        <v>160</v>
      </c>
      <c r="F268">
        <v>7</v>
      </c>
      <c r="G268" t="s">
        <v>4926</v>
      </c>
    </row>
    <row r="269" spans="1:7" x14ac:dyDescent="0.25">
      <c r="A269">
        <v>2430950002</v>
      </c>
      <c r="B269" t="s">
        <v>4955</v>
      </c>
      <c r="C269" t="s">
        <v>89</v>
      </c>
      <c r="D269" t="s">
        <v>4888</v>
      </c>
      <c r="E269">
        <v>20</v>
      </c>
      <c r="F269">
        <v>7</v>
      </c>
      <c r="G269" t="s">
        <v>4900</v>
      </c>
    </row>
    <row r="270" spans="1:7" x14ac:dyDescent="0.25">
      <c r="A270">
        <v>2500010161</v>
      </c>
      <c r="B270" t="s">
        <v>2868</v>
      </c>
      <c r="C270" t="s">
        <v>71</v>
      </c>
      <c r="D270" t="s">
        <v>4888</v>
      </c>
      <c r="G270" t="s">
        <v>4956</v>
      </c>
    </row>
    <row r="271" spans="1:7" x14ac:dyDescent="0.25">
      <c r="A271">
        <v>2500010162</v>
      </c>
      <c r="B271" t="s">
        <v>4893</v>
      </c>
      <c r="C271" t="s">
        <v>71</v>
      </c>
      <c r="D271" t="s">
        <v>4888</v>
      </c>
      <c r="G271" t="s">
        <v>4956</v>
      </c>
    </row>
    <row r="272" spans="1:7" x14ac:dyDescent="0.25">
      <c r="A272">
        <v>2500010163</v>
      </c>
      <c r="B272" t="s">
        <v>2869</v>
      </c>
      <c r="C272" t="s">
        <v>71</v>
      </c>
      <c r="D272" t="s">
        <v>4888</v>
      </c>
      <c r="G272" t="s">
        <v>4956</v>
      </c>
    </row>
    <row r="273" spans="1:7" x14ac:dyDescent="0.25">
      <c r="A273">
        <v>2500010164</v>
      </c>
      <c r="B273" t="s">
        <v>2870</v>
      </c>
      <c r="C273" t="s">
        <v>71</v>
      </c>
      <c r="D273" t="s">
        <v>4888</v>
      </c>
      <c r="G273" t="s">
        <v>4956</v>
      </c>
    </row>
    <row r="274" spans="1:7" x14ac:dyDescent="0.25">
      <c r="A274">
        <v>2500010165</v>
      </c>
      <c r="B274" t="s">
        <v>4957</v>
      </c>
      <c r="C274" t="s">
        <v>71</v>
      </c>
      <c r="D274" t="s">
        <v>4888</v>
      </c>
      <c r="G274" t="s">
        <v>4956</v>
      </c>
    </row>
    <row r="275" spans="1:7" x14ac:dyDescent="0.25">
      <c r="A275">
        <v>2500010166</v>
      </c>
      <c r="B275" t="s">
        <v>4958</v>
      </c>
      <c r="C275" t="s">
        <v>71</v>
      </c>
      <c r="D275" t="s">
        <v>4888</v>
      </c>
      <c r="G275" t="s">
        <v>4956</v>
      </c>
    </row>
    <row r="276" spans="1:7" x14ac:dyDescent="0.25">
      <c r="A276">
        <v>2500010167</v>
      </c>
      <c r="B276" t="s">
        <v>4959</v>
      </c>
      <c r="C276" t="s">
        <v>36</v>
      </c>
      <c r="D276" t="s">
        <v>4888</v>
      </c>
      <c r="G276" t="s">
        <v>4956</v>
      </c>
    </row>
    <row r="277" spans="1:7" x14ac:dyDescent="0.25">
      <c r="A277">
        <v>2500010168</v>
      </c>
      <c r="B277" t="s">
        <v>2872</v>
      </c>
      <c r="C277" t="s">
        <v>36</v>
      </c>
      <c r="D277" t="s">
        <v>4888</v>
      </c>
      <c r="G277" t="s">
        <v>4956</v>
      </c>
    </row>
    <row r="278" spans="1:7" x14ac:dyDescent="0.25">
      <c r="A278">
        <v>2500010169</v>
      </c>
      <c r="B278" t="s">
        <v>33</v>
      </c>
      <c r="C278" t="s">
        <v>36</v>
      </c>
      <c r="D278" t="s">
        <v>4888</v>
      </c>
      <c r="G278" t="s">
        <v>4956</v>
      </c>
    </row>
    <row r="279" spans="1:7" x14ac:dyDescent="0.25">
      <c r="A279">
        <v>2500020060</v>
      </c>
      <c r="B279" t="s">
        <v>2828</v>
      </c>
      <c r="C279" t="s">
        <v>71</v>
      </c>
      <c r="D279" t="s">
        <v>4888</v>
      </c>
      <c r="G279" t="s">
        <v>4956</v>
      </c>
    </row>
    <row r="280" spans="1:7" x14ac:dyDescent="0.25">
      <c r="A280">
        <v>2500030019</v>
      </c>
      <c r="B280" t="s">
        <v>3752</v>
      </c>
      <c r="C280" t="s">
        <v>71</v>
      </c>
      <c r="D280" t="s">
        <v>4888</v>
      </c>
      <c r="E280">
        <v>1.5</v>
      </c>
      <c r="F280">
        <v>15</v>
      </c>
      <c r="G280" t="s">
        <v>4956</v>
      </c>
    </row>
    <row r="281" spans="1:7" x14ac:dyDescent="0.25">
      <c r="A281">
        <v>2500030038</v>
      </c>
      <c r="B281" t="s">
        <v>3755</v>
      </c>
      <c r="C281" t="s">
        <v>71</v>
      </c>
      <c r="D281" t="s">
        <v>4888</v>
      </c>
      <c r="E281">
        <v>1.5</v>
      </c>
      <c r="F281">
        <v>15</v>
      </c>
      <c r="G281" t="s">
        <v>4956</v>
      </c>
    </row>
    <row r="282" spans="1:7" x14ac:dyDescent="0.25">
      <c r="A282">
        <v>2500030045</v>
      </c>
      <c r="B282" t="s">
        <v>4960</v>
      </c>
      <c r="C282" t="s">
        <v>71</v>
      </c>
      <c r="D282" t="s">
        <v>4888</v>
      </c>
      <c r="E282">
        <v>1.5</v>
      </c>
      <c r="F282">
        <v>15</v>
      </c>
      <c r="G282" t="s">
        <v>4956</v>
      </c>
    </row>
    <row r="283" spans="1:7" x14ac:dyDescent="0.25">
      <c r="A283">
        <v>2500030047</v>
      </c>
      <c r="B283" t="s">
        <v>3757</v>
      </c>
      <c r="C283" t="s">
        <v>71</v>
      </c>
      <c r="D283" t="s">
        <v>4888</v>
      </c>
      <c r="E283">
        <v>1.5</v>
      </c>
      <c r="F283">
        <v>15</v>
      </c>
      <c r="G283" t="s">
        <v>4956</v>
      </c>
    </row>
    <row r="284" spans="1:7" x14ac:dyDescent="0.25">
      <c r="A284">
        <v>2500030053</v>
      </c>
      <c r="B284" t="s">
        <v>3759</v>
      </c>
      <c r="C284" t="s">
        <v>71</v>
      </c>
      <c r="D284" t="s">
        <v>4888</v>
      </c>
      <c r="G284" t="s">
        <v>4956</v>
      </c>
    </row>
    <row r="285" spans="1:7" x14ac:dyDescent="0.25">
      <c r="A285">
        <v>2500030080</v>
      </c>
      <c r="B285" t="s">
        <v>4961</v>
      </c>
      <c r="C285" t="s">
        <v>71</v>
      </c>
      <c r="D285" t="s">
        <v>4888</v>
      </c>
      <c r="E285">
        <v>1.5</v>
      </c>
      <c r="F285">
        <v>15</v>
      </c>
      <c r="G285" t="s">
        <v>4956</v>
      </c>
    </row>
    <row r="286" spans="1:7" x14ac:dyDescent="0.25">
      <c r="A286">
        <v>2500030097</v>
      </c>
      <c r="B286" t="s">
        <v>3761</v>
      </c>
      <c r="C286" t="s">
        <v>71</v>
      </c>
      <c r="D286" t="s">
        <v>4888</v>
      </c>
      <c r="E286">
        <v>1.5</v>
      </c>
      <c r="F286">
        <v>15</v>
      </c>
      <c r="G286" t="s">
        <v>4956</v>
      </c>
    </row>
    <row r="287" spans="1:7" x14ac:dyDescent="0.25">
      <c r="A287">
        <v>2500030118</v>
      </c>
      <c r="B287" t="s">
        <v>3763</v>
      </c>
      <c r="C287" t="s">
        <v>71</v>
      </c>
      <c r="D287" t="s">
        <v>4888</v>
      </c>
      <c r="E287">
        <v>1.5</v>
      </c>
      <c r="F287">
        <v>15</v>
      </c>
      <c r="G287" t="s">
        <v>4956</v>
      </c>
    </row>
    <row r="288" spans="1:7" x14ac:dyDescent="0.25">
      <c r="A288">
        <v>2500030152</v>
      </c>
      <c r="B288" t="s">
        <v>3764</v>
      </c>
      <c r="C288" t="s">
        <v>71</v>
      </c>
      <c r="D288" t="s">
        <v>4888</v>
      </c>
      <c r="G288" t="s">
        <v>4956</v>
      </c>
    </row>
    <row r="289" spans="1:7" x14ac:dyDescent="0.25">
      <c r="A289">
        <v>2500030178</v>
      </c>
      <c r="B289" t="s">
        <v>3766</v>
      </c>
      <c r="C289" t="s">
        <v>71</v>
      </c>
      <c r="D289" t="s">
        <v>4888</v>
      </c>
      <c r="E289">
        <v>1.5</v>
      </c>
      <c r="F289">
        <v>15</v>
      </c>
      <c r="G289" t="s">
        <v>4956</v>
      </c>
    </row>
    <row r="290" spans="1:7" x14ac:dyDescent="0.25">
      <c r="A290">
        <v>2500030190</v>
      </c>
      <c r="B290" t="s">
        <v>4962</v>
      </c>
      <c r="C290" t="s">
        <v>71</v>
      </c>
      <c r="D290" t="s">
        <v>4888</v>
      </c>
      <c r="G290" t="s">
        <v>4956</v>
      </c>
    </row>
    <row r="291" spans="1:7" x14ac:dyDescent="0.25">
      <c r="A291">
        <v>2500030206</v>
      </c>
      <c r="B291" t="s">
        <v>4963</v>
      </c>
      <c r="C291" t="s">
        <v>71</v>
      </c>
      <c r="D291" t="s">
        <v>4888</v>
      </c>
      <c r="E291">
        <v>1.5</v>
      </c>
      <c r="F291">
        <v>15</v>
      </c>
      <c r="G291" t="s">
        <v>4956</v>
      </c>
    </row>
    <row r="292" spans="1:7" x14ac:dyDescent="0.25">
      <c r="A292">
        <v>2500030216</v>
      </c>
      <c r="B292" t="s">
        <v>3772</v>
      </c>
      <c r="C292" t="s">
        <v>71</v>
      </c>
      <c r="D292" t="s">
        <v>4888</v>
      </c>
      <c r="E292">
        <v>1.5</v>
      </c>
      <c r="F292">
        <v>15</v>
      </c>
      <c r="G292" t="s">
        <v>4956</v>
      </c>
    </row>
    <row r="293" spans="1:7" x14ac:dyDescent="0.25">
      <c r="A293">
        <v>2500030223</v>
      </c>
      <c r="B293" t="s">
        <v>3775</v>
      </c>
      <c r="C293" t="s">
        <v>71</v>
      </c>
      <c r="D293" t="s">
        <v>4888</v>
      </c>
      <c r="E293">
        <v>1.5</v>
      </c>
      <c r="F293">
        <v>15</v>
      </c>
      <c r="G293" t="s">
        <v>4956</v>
      </c>
    </row>
    <row r="294" spans="1:7" x14ac:dyDescent="0.25">
      <c r="A294">
        <v>2500030225</v>
      </c>
      <c r="B294" t="s">
        <v>3776</v>
      </c>
      <c r="C294" t="s">
        <v>71</v>
      </c>
      <c r="D294" t="s">
        <v>4888</v>
      </c>
      <c r="E294">
        <v>1.5</v>
      </c>
      <c r="F294">
        <v>15</v>
      </c>
      <c r="G294" t="s">
        <v>4956</v>
      </c>
    </row>
    <row r="295" spans="1:7" x14ac:dyDescent="0.25">
      <c r="A295">
        <v>2500030226</v>
      </c>
      <c r="B295" t="s">
        <v>3777</v>
      </c>
      <c r="C295" t="s">
        <v>71</v>
      </c>
      <c r="D295" t="s">
        <v>4888</v>
      </c>
      <c r="E295">
        <v>1.5</v>
      </c>
      <c r="F295">
        <v>15</v>
      </c>
      <c r="G295" t="s">
        <v>4956</v>
      </c>
    </row>
    <row r="296" spans="1:7" x14ac:dyDescent="0.25">
      <c r="A296">
        <v>2500030257</v>
      </c>
      <c r="B296" t="s">
        <v>3784</v>
      </c>
      <c r="C296" t="s">
        <v>71</v>
      </c>
      <c r="D296" t="s">
        <v>4888</v>
      </c>
      <c r="E296">
        <v>1.5</v>
      </c>
      <c r="F296">
        <v>15</v>
      </c>
      <c r="G296" t="s">
        <v>4956</v>
      </c>
    </row>
    <row r="297" spans="1:7" x14ac:dyDescent="0.25">
      <c r="A297">
        <v>2500030258</v>
      </c>
      <c r="B297" t="s">
        <v>3785</v>
      </c>
      <c r="C297" t="s">
        <v>71</v>
      </c>
      <c r="D297" t="s">
        <v>4888</v>
      </c>
      <c r="E297">
        <v>1.5</v>
      </c>
      <c r="F297">
        <v>15</v>
      </c>
      <c r="G297" t="s">
        <v>4956</v>
      </c>
    </row>
    <row r="298" spans="1:7" x14ac:dyDescent="0.25">
      <c r="A298">
        <v>2500030284</v>
      </c>
      <c r="B298" t="s">
        <v>3791</v>
      </c>
      <c r="C298" t="s">
        <v>71</v>
      </c>
      <c r="D298" t="s">
        <v>4888</v>
      </c>
      <c r="E298">
        <v>1.5</v>
      </c>
      <c r="F298">
        <v>15</v>
      </c>
      <c r="G298" t="s">
        <v>4956</v>
      </c>
    </row>
    <row r="299" spans="1:7" x14ac:dyDescent="0.25">
      <c r="A299">
        <v>2500030293</v>
      </c>
      <c r="B299" t="s">
        <v>3795</v>
      </c>
      <c r="C299" t="s">
        <v>71</v>
      </c>
      <c r="D299" t="s">
        <v>4888</v>
      </c>
      <c r="G299" t="s">
        <v>4956</v>
      </c>
    </row>
    <row r="300" spans="1:7" x14ac:dyDescent="0.25">
      <c r="A300">
        <v>2500030306</v>
      </c>
      <c r="B300" t="s">
        <v>4964</v>
      </c>
      <c r="C300" t="s">
        <v>71</v>
      </c>
      <c r="D300" t="s">
        <v>4888</v>
      </c>
      <c r="E300">
        <v>1.5</v>
      </c>
      <c r="F300">
        <v>15</v>
      </c>
      <c r="G300" t="s">
        <v>4956</v>
      </c>
    </row>
    <row r="301" spans="1:7" x14ac:dyDescent="0.25">
      <c r="A301">
        <v>2500030331</v>
      </c>
      <c r="B301" t="s">
        <v>3810</v>
      </c>
      <c r="C301" t="s">
        <v>71</v>
      </c>
      <c r="D301" t="s">
        <v>4888</v>
      </c>
      <c r="G301" t="s">
        <v>4956</v>
      </c>
    </row>
    <row r="302" spans="1:7" x14ac:dyDescent="0.25">
      <c r="A302">
        <v>2500030334</v>
      </c>
      <c r="B302" t="s">
        <v>3813</v>
      </c>
      <c r="C302" t="s">
        <v>71</v>
      </c>
      <c r="D302" t="s">
        <v>4888</v>
      </c>
      <c r="E302">
        <v>1.5</v>
      </c>
      <c r="F302">
        <v>15</v>
      </c>
      <c r="G302" t="s">
        <v>4956</v>
      </c>
    </row>
    <row r="303" spans="1:7" x14ac:dyDescent="0.25">
      <c r="A303">
        <v>2500030343</v>
      </c>
      <c r="B303" t="s">
        <v>4965</v>
      </c>
      <c r="C303" t="s">
        <v>71</v>
      </c>
      <c r="D303" t="s">
        <v>4888</v>
      </c>
      <c r="G303" t="s">
        <v>4956</v>
      </c>
    </row>
    <row r="304" spans="1:7" x14ac:dyDescent="0.25">
      <c r="A304">
        <v>2500030344</v>
      </c>
      <c r="B304" t="s">
        <v>4966</v>
      </c>
      <c r="C304" t="s">
        <v>71</v>
      </c>
      <c r="D304" t="s">
        <v>4888</v>
      </c>
      <c r="G304" t="s">
        <v>4956</v>
      </c>
    </row>
    <row r="305" spans="1:7" x14ac:dyDescent="0.25">
      <c r="A305">
        <v>2500030345</v>
      </c>
      <c r="B305" t="s">
        <v>4967</v>
      </c>
      <c r="C305" t="s">
        <v>71</v>
      </c>
      <c r="D305" t="s">
        <v>4888</v>
      </c>
      <c r="G305" t="s">
        <v>4956</v>
      </c>
    </row>
    <row r="306" spans="1:7" x14ac:dyDescent="0.25">
      <c r="A306">
        <v>2500030346</v>
      </c>
      <c r="B306" t="s">
        <v>4968</v>
      </c>
      <c r="C306" t="s">
        <v>71</v>
      </c>
      <c r="D306" t="s">
        <v>4888</v>
      </c>
      <c r="G306" t="s">
        <v>4956</v>
      </c>
    </row>
    <row r="307" spans="1:7" x14ac:dyDescent="0.25">
      <c r="A307">
        <v>2500070137</v>
      </c>
      <c r="B307" t="s">
        <v>3827</v>
      </c>
      <c r="C307" t="s">
        <v>71</v>
      </c>
      <c r="D307" t="s">
        <v>4888</v>
      </c>
      <c r="E307">
        <v>5</v>
      </c>
      <c r="F307">
        <v>12</v>
      </c>
      <c r="G307" t="s">
        <v>4894</v>
      </c>
    </row>
    <row r="308" spans="1:7" x14ac:dyDescent="0.25">
      <c r="A308">
        <v>2500070207</v>
      </c>
      <c r="B308" t="s">
        <v>3828</v>
      </c>
      <c r="C308" t="s">
        <v>71</v>
      </c>
      <c r="D308" t="s">
        <v>4888</v>
      </c>
      <c r="E308">
        <v>5</v>
      </c>
      <c r="F308">
        <v>12</v>
      </c>
      <c r="G308" t="s">
        <v>4894</v>
      </c>
    </row>
    <row r="309" spans="1:7" x14ac:dyDescent="0.25">
      <c r="A309">
        <v>2500070208</v>
      </c>
      <c r="B309" t="s">
        <v>3829</v>
      </c>
      <c r="C309" t="s">
        <v>71</v>
      </c>
      <c r="D309" t="s">
        <v>4888</v>
      </c>
      <c r="E309">
        <v>5</v>
      </c>
      <c r="F309">
        <v>12</v>
      </c>
      <c r="G309" t="s">
        <v>4894</v>
      </c>
    </row>
    <row r="310" spans="1:7" x14ac:dyDescent="0.25">
      <c r="A310">
        <v>2500070209</v>
      </c>
      <c r="B310" t="s">
        <v>3830</v>
      </c>
      <c r="C310" t="s">
        <v>71</v>
      </c>
      <c r="D310" t="s">
        <v>4888</v>
      </c>
      <c r="E310">
        <v>5</v>
      </c>
      <c r="F310">
        <v>12</v>
      </c>
      <c r="G310" t="s">
        <v>4894</v>
      </c>
    </row>
    <row r="311" spans="1:7" x14ac:dyDescent="0.25">
      <c r="A311">
        <v>2500070210</v>
      </c>
      <c r="B311" t="s">
        <v>3831</v>
      </c>
      <c r="C311" t="s">
        <v>71</v>
      </c>
      <c r="D311" t="s">
        <v>4888</v>
      </c>
      <c r="E311">
        <v>5</v>
      </c>
      <c r="F311">
        <v>12</v>
      </c>
      <c r="G311" t="s">
        <v>4894</v>
      </c>
    </row>
    <row r="312" spans="1:7" x14ac:dyDescent="0.25">
      <c r="A312">
        <v>2500070211</v>
      </c>
      <c r="B312" t="s">
        <v>3832</v>
      </c>
      <c r="C312" t="s">
        <v>71</v>
      </c>
      <c r="D312" t="s">
        <v>4888</v>
      </c>
      <c r="E312">
        <v>5</v>
      </c>
      <c r="F312">
        <v>12</v>
      </c>
      <c r="G312" t="s">
        <v>4894</v>
      </c>
    </row>
    <row r="313" spans="1:7" x14ac:dyDescent="0.25">
      <c r="A313">
        <v>2500070212</v>
      </c>
      <c r="B313" t="s">
        <v>3833</v>
      </c>
      <c r="C313" t="s">
        <v>71</v>
      </c>
      <c r="D313" t="s">
        <v>4888</v>
      </c>
      <c r="E313">
        <v>5</v>
      </c>
      <c r="F313">
        <v>12</v>
      </c>
      <c r="G313" t="s">
        <v>4894</v>
      </c>
    </row>
    <row r="314" spans="1:7" x14ac:dyDescent="0.25">
      <c r="A314">
        <v>2500070213</v>
      </c>
      <c r="B314" t="s">
        <v>3834</v>
      </c>
      <c r="C314" t="s">
        <v>71</v>
      </c>
      <c r="D314" t="s">
        <v>4888</v>
      </c>
      <c r="E314">
        <v>5</v>
      </c>
      <c r="F314">
        <v>12</v>
      </c>
      <c r="G314" t="s">
        <v>4894</v>
      </c>
    </row>
    <row r="315" spans="1:7" x14ac:dyDescent="0.25">
      <c r="A315">
        <v>2500070214</v>
      </c>
      <c r="B315" t="s">
        <v>3835</v>
      </c>
      <c r="C315" t="s">
        <v>71</v>
      </c>
      <c r="D315" t="s">
        <v>4888</v>
      </c>
      <c r="E315">
        <v>5</v>
      </c>
      <c r="F315">
        <v>12</v>
      </c>
      <c r="G315" t="s">
        <v>4894</v>
      </c>
    </row>
    <row r="316" spans="1:7" x14ac:dyDescent="0.25">
      <c r="A316">
        <v>2500070215</v>
      </c>
      <c r="B316" t="s">
        <v>3836</v>
      </c>
      <c r="C316" t="s">
        <v>71</v>
      </c>
      <c r="D316" t="s">
        <v>4888</v>
      </c>
      <c r="E316">
        <v>5</v>
      </c>
      <c r="F316">
        <v>12</v>
      </c>
      <c r="G316" t="s">
        <v>4894</v>
      </c>
    </row>
    <row r="317" spans="1:7" x14ac:dyDescent="0.25">
      <c r="A317">
        <v>2500070216</v>
      </c>
      <c r="B317" t="s">
        <v>3837</v>
      </c>
      <c r="C317" t="s">
        <v>71</v>
      </c>
      <c r="D317" t="s">
        <v>4888</v>
      </c>
      <c r="E317">
        <v>5</v>
      </c>
      <c r="F317">
        <v>12</v>
      </c>
      <c r="G317" t="s">
        <v>4894</v>
      </c>
    </row>
    <row r="318" spans="1:7" x14ac:dyDescent="0.25">
      <c r="A318">
        <v>2500070217</v>
      </c>
      <c r="B318" t="s">
        <v>3838</v>
      </c>
      <c r="C318" t="s">
        <v>71</v>
      </c>
      <c r="D318" t="s">
        <v>4888</v>
      </c>
      <c r="E318">
        <v>5</v>
      </c>
      <c r="F318">
        <v>12</v>
      </c>
      <c r="G318" t="s">
        <v>4894</v>
      </c>
    </row>
    <row r="319" spans="1:7" x14ac:dyDescent="0.25">
      <c r="A319">
        <v>2500070218</v>
      </c>
      <c r="B319" t="s">
        <v>3839</v>
      </c>
      <c r="C319" t="s">
        <v>71</v>
      </c>
      <c r="D319" t="s">
        <v>4888</v>
      </c>
      <c r="E319">
        <v>5</v>
      </c>
      <c r="F319">
        <v>12</v>
      </c>
      <c r="G319" t="s">
        <v>4894</v>
      </c>
    </row>
    <row r="320" spans="1:7" x14ac:dyDescent="0.25">
      <c r="A320">
        <v>2500070219</v>
      </c>
      <c r="B320" t="s">
        <v>3840</v>
      </c>
      <c r="C320" t="s">
        <v>71</v>
      </c>
      <c r="D320" t="s">
        <v>4888</v>
      </c>
      <c r="E320">
        <v>5</v>
      </c>
      <c r="F320">
        <v>12</v>
      </c>
      <c r="G320" t="s">
        <v>4894</v>
      </c>
    </row>
    <row r="321" spans="1:7" x14ac:dyDescent="0.25">
      <c r="A321">
        <v>2500070220</v>
      </c>
      <c r="B321" t="s">
        <v>3841</v>
      </c>
      <c r="C321" t="s">
        <v>71</v>
      </c>
      <c r="D321" t="s">
        <v>4888</v>
      </c>
      <c r="E321">
        <v>5</v>
      </c>
      <c r="F321">
        <v>12</v>
      </c>
      <c r="G321" t="s">
        <v>4894</v>
      </c>
    </row>
    <row r="322" spans="1:7" x14ac:dyDescent="0.25">
      <c r="A322">
        <v>2500070221</v>
      </c>
      <c r="B322" t="s">
        <v>3842</v>
      </c>
      <c r="C322" t="s">
        <v>71</v>
      </c>
      <c r="D322" t="s">
        <v>4888</v>
      </c>
      <c r="E322">
        <v>5</v>
      </c>
      <c r="F322">
        <v>12</v>
      </c>
      <c r="G322" t="s">
        <v>4894</v>
      </c>
    </row>
    <row r="323" spans="1:7" x14ac:dyDescent="0.25">
      <c r="A323">
        <v>2500070222</v>
      </c>
      <c r="B323" t="s">
        <v>3843</v>
      </c>
      <c r="C323" t="s">
        <v>71</v>
      </c>
      <c r="D323" t="s">
        <v>4888</v>
      </c>
      <c r="E323">
        <v>5</v>
      </c>
      <c r="F323">
        <v>12</v>
      </c>
      <c r="G323" t="s">
        <v>4894</v>
      </c>
    </row>
    <row r="324" spans="1:7" x14ac:dyDescent="0.25">
      <c r="A324">
        <v>2500070223</v>
      </c>
      <c r="B324" t="s">
        <v>3844</v>
      </c>
      <c r="C324" t="s">
        <v>71</v>
      </c>
      <c r="D324" t="s">
        <v>4888</v>
      </c>
      <c r="E324">
        <v>5</v>
      </c>
      <c r="F324">
        <v>12</v>
      </c>
      <c r="G324" t="s">
        <v>4894</v>
      </c>
    </row>
    <row r="325" spans="1:7" x14ac:dyDescent="0.25">
      <c r="A325">
        <v>2500070224</v>
      </c>
      <c r="B325" t="s">
        <v>3845</v>
      </c>
      <c r="C325" t="s">
        <v>71</v>
      </c>
      <c r="D325" t="s">
        <v>4888</v>
      </c>
      <c r="E325">
        <v>5</v>
      </c>
      <c r="F325">
        <v>12</v>
      </c>
      <c r="G325" t="s">
        <v>4894</v>
      </c>
    </row>
    <row r="326" spans="1:7" x14ac:dyDescent="0.25">
      <c r="A326">
        <v>2500070225</v>
      </c>
      <c r="B326" t="s">
        <v>3846</v>
      </c>
      <c r="C326" t="s">
        <v>71</v>
      </c>
      <c r="D326" t="s">
        <v>4888</v>
      </c>
      <c r="E326">
        <v>5</v>
      </c>
      <c r="F326">
        <v>12</v>
      </c>
      <c r="G326" t="s">
        <v>4894</v>
      </c>
    </row>
    <row r="327" spans="1:7" x14ac:dyDescent="0.25">
      <c r="A327">
        <v>2500070226</v>
      </c>
      <c r="B327" t="s">
        <v>3847</v>
      </c>
      <c r="C327" t="s">
        <v>71</v>
      </c>
      <c r="D327" t="s">
        <v>4888</v>
      </c>
      <c r="E327">
        <v>5</v>
      </c>
      <c r="F327">
        <v>12</v>
      </c>
      <c r="G327" t="s">
        <v>4894</v>
      </c>
    </row>
    <row r="328" spans="1:7" x14ac:dyDescent="0.25">
      <c r="A328">
        <v>2500070227</v>
      </c>
      <c r="B328" t="s">
        <v>3848</v>
      </c>
      <c r="C328" t="s">
        <v>71</v>
      </c>
      <c r="D328" t="s">
        <v>4888</v>
      </c>
      <c r="E328">
        <v>5</v>
      </c>
      <c r="F328">
        <v>12</v>
      </c>
      <c r="G328" t="s">
        <v>4894</v>
      </c>
    </row>
    <row r="329" spans="1:7" x14ac:dyDescent="0.25">
      <c r="A329">
        <v>2500070363</v>
      </c>
      <c r="B329" t="s">
        <v>3849</v>
      </c>
      <c r="C329" t="s">
        <v>71</v>
      </c>
      <c r="D329" t="s">
        <v>4888</v>
      </c>
      <c r="E329">
        <v>5</v>
      </c>
      <c r="F329">
        <v>12</v>
      </c>
      <c r="G329" t="s">
        <v>4894</v>
      </c>
    </row>
    <row r="330" spans="1:7" x14ac:dyDescent="0.25">
      <c r="A330">
        <v>2500070414</v>
      </c>
      <c r="B330" t="s">
        <v>3857</v>
      </c>
      <c r="C330" t="s">
        <v>71</v>
      </c>
      <c r="D330" t="s">
        <v>4888</v>
      </c>
      <c r="G330" t="s">
        <v>4894</v>
      </c>
    </row>
    <row r="331" spans="1:7" x14ac:dyDescent="0.25">
      <c r="A331">
        <v>2500070430</v>
      </c>
      <c r="B331" t="s">
        <v>3859</v>
      </c>
      <c r="C331" t="s">
        <v>71</v>
      </c>
      <c r="D331" t="s">
        <v>4888</v>
      </c>
      <c r="E331">
        <v>5</v>
      </c>
      <c r="F331">
        <v>12</v>
      </c>
      <c r="G331" t="s">
        <v>4894</v>
      </c>
    </row>
    <row r="332" spans="1:7" x14ac:dyDescent="0.25">
      <c r="A332">
        <v>2500070520</v>
      </c>
      <c r="B332" t="s">
        <v>3876</v>
      </c>
      <c r="C332" t="s">
        <v>71</v>
      </c>
      <c r="D332" t="s">
        <v>4888</v>
      </c>
      <c r="E332">
        <v>5</v>
      </c>
      <c r="F332">
        <v>12</v>
      </c>
      <c r="G332" t="s">
        <v>4894</v>
      </c>
    </row>
    <row r="333" spans="1:7" x14ac:dyDescent="0.25">
      <c r="A333">
        <v>2500070664</v>
      </c>
      <c r="B333" t="s">
        <v>3989</v>
      </c>
      <c r="C333" t="s">
        <v>71</v>
      </c>
      <c r="D333" t="s">
        <v>4888</v>
      </c>
      <c r="E333">
        <v>5</v>
      </c>
      <c r="F333">
        <v>12</v>
      </c>
      <c r="G333" t="s">
        <v>4894</v>
      </c>
    </row>
    <row r="334" spans="1:7" x14ac:dyDescent="0.25">
      <c r="A334">
        <v>2500090014</v>
      </c>
      <c r="B334" t="s">
        <v>4969</v>
      </c>
      <c r="C334" t="s">
        <v>36</v>
      </c>
      <c r="D334" t="s">
        <v>4888</v>
      </c>
      <c r="E334">
        <v>1</v>
      </c>
      <c r="F334">
        <v>3</v>
      </c>
      <c r="G334" t="s">
        <v>4970</v>
      </c>
    </row>
    <row r="335" spans="1:7" x14ac:dyDescent="0.25">
      <c r="A335">
        <v>2500090019</v>
      </c>
      <c r="B335" t="s">
        <v>4971</v>
      </c>
      <c r="C335" t="s">
        <v>71</v>
      </c>
      <c r="D335" t="s">
        <v>4888</v>
      </c>
      <c r="E335">
        <v>1</v>
      </c>
      <c r="F335">
        <v>3</v>
      </c>
      <c r="G335" t="s">
        <v>4970</v>
      </c>
    </row>
    <row r="336" spans="1:7" x14ac:dyDescent="0.25">
      <c r="A336">
        <v>2500090069</v>
      </c>
      <c r="B336" t="s">
        <v>4007</v>
      </c>
      <c r="C336" t="s">
        <v>36</v>
      </c>
      <c r="D336" t="s">
        <v>4888</v>
      </c>
      <c r="G336" t="s">
        <v>4970</v>
      </c>
    </row>
    <row r="337" spans="1:7" x14ac:dyDescent="0.25">
      <c r="A337">
        <v>2500090086</v>
      </c>
      <c r="B337" t="s">
        <v>4972</v>
      </c>
      <c r="C337" t="s">
        <v>36</v>
      </c>
      <c r="D337" t="s">
        <v>4888</v>
      </c>
      <c r="G337" t="s">
        <v>4970</v>
      </c>
    </row>
    <row r="338" spans="1:7" x14ac:dyDescent="0.25">
      <c r="A338">
        <v>2500090087</v>
      </c>
      <c r="B338" t="s">
        <v>4015</v>
      </c>
      <c r="C338" t="s">
        <v>71</v>
      </c>
      <c r="D338" t="s">
        <v>4888</v>
      </c>
      <c r="E338">
        <v>90</v>
      </c>
      <c r="F338">
        <v>30</v>
      </c>
      <c r="G338" t="s">
        <v>4970</v>
      </c>
    </row>
    <row r="339" spans="1:7" x14ac:dyDescent="0.25">
      <c r="A339">
        <v>2500090088</v>
      </c>
      <c r="B339" t="s">
        <v>4016</v>
      </c>
      <c r="C339" t="s">
        <v>71</v>
      </c>
      <c r="D339" t="s">
        <v>4888</v>
      </c>
      <c r="E339">
        <v>60</v>
      </c>
      <c r="F339">
        <v>30</v>
      </c>
      <c r="G339" t="s">
        <v>4970</v>
      </c>
    </row>
    <row r="340" spans="1:7" x14ac:dyDescent="0.25">
      <c r="A340">
        <v>2500090089</v>
      </c>
      <c r="B340" t="s">
        <v>4017</v>
      </c>
      <c r="C340" t="s">
        <v>71</v>
      </c>
      <c r="D340" t="s">
        <v>4888</v>
      </c>
      <c r="E340">
        <v>90</v>
      </c>
      <c r="F340">
        <v>30</v>
      </c>
      <c r="G340" t="s">
        <v>4970</v>
      </c>
    </row>
    <row r="341" spans="1:7" x14ac:dyDescent="0.25">
      <c r="A341">
        <v>2500100006</v>
      </c>
      <c r="B341" t="s">
        <v>4028</v>
      </c>
      <c r="C341" t="s">
        <v>89</v>
      </c>
      <c r="D341" t="s">
        <v>4888</v>
      </c>
      <c r="E341">
        <v>150</v>
      </c>
      <c r="F341">
        <v>8</v>
      </c>
      <c r="G341" t="s">
        <v>4900</v>
      </c>
    </row>
    <row r="342" spans="1:7" x14ac:dyDescent="0.25">
      <c r="A342">
        <v>2500100007</v>
      </c>
      <c r="B342" t="s">
        <v>4029</v>
      </c>
      <c r="C342" t="s">
        <v>89</v>
      </c>
      <c r="D342" t="s">
        <v>4888</v>
      </c>
      <c r="E342">
        <v>150</v>
      </c>
      <c r="F342">
        <v>7</v>
      </c>
      <c r="G342" t="s">
        <v>4900</v>
      </c>
    </row>
    <row r="343" spans="1:7" x14ac:dyDescent="0.25">
      <c r="A343">
        <v>2500110024</v>
      </c>
      <c r="B343" t="s">
        <v>4034</v>
      </c>
      <c r="C343" t="s">
        <v>89</v>
      </c>
      <c r="D343" t="s">
        <v>4888</v>
      </c>
      <c r="E343">
        <v>15</v>
      </c>
      <c r="F343">
        <v>7</v>
      </c>
      <c r="G343" t="s">
        <v>4900</v>
      </c>
    </row>
    <row r="344" spans="1:7" x14ac:dyDescent="0.25">
      <c r="A344">
        <v>2500110030</v>
      </c>
      <c r="B344" t="s">
        <v>4037</v>
      </c>
      <c r="C344" t="s">
        <v>89</v>
      </c>
      <c r="D344" t="s">
        <v>4888</v>
      </c>
      <c r="E344">
        <v>15</v>
      </c>
      <c r="F344">
        <v>7</v>
      </c>
      <c r="G344" t="s">
        <v>4900</v>
      </c>
    </row>
    <row r="345" spans="1:7" x14ac:dyDescent="0.25">
      <c r="A345">
        <v>2500150004</v>
      </c>
      <c r="B345" t="s">
        <v>4044</v>
      </c>
      <c r="C345" t="s">
        <v>4871</v>
      </c>
      <c r="D345" t="s">
        <v>4888</v>
      </c>
      <c r="E345">
        <v>1</v>
      </c>
      <c r="F345">
        <v>3</v>
      </c>
      <c r="G345" t="s">
        <v>4900</v>
      </c>
    </row>
    <row r="346" spans="1:7" x14ac:dyDescent="0.25">
      <c r="A346">
        <v>2510020046</v>
      </c>
      <c r="B346" t="s">
        <v>4056</v>
      </c>
      <c r="C346" t="s">
        <v>71</v>
      </c>
      <c r="D346" t="s">
        <v>4888</v>
      </c>
      <c r="E346">
        <v>5</v>
      </c>
      <c r="F346">
        <v>12</v>
      </c>
      <c r="G346" t="s">
        <v>4894</v>
      </c>
    </row>
    <row r="347" spans="1:7" x14ac:dyDescent="0.25">
      <c r="A347">
        <v>2600045244</v>
      </c>
      <c r="B347" t="s">
        <v>4512</v>
      </c>
      <c r="C347" t="s">
        <v>36</v>
      </c>
      <c r="D347" t="s">
        <v>4888</v>
      </c>
      <c r="G347" t="s">
        <v>4900</v>
      </c>
    </row>
    <row r="348" spans="1:7" x14ac:dyDescent="0.25">
      <c r="A348">
        <v>2500030058</v>
      </c>
      <c r="B348" t="s">
        <v>3760</v>
      </c>
      <c r="C348" t="s">
        <v>36</v>
      </c>
      <c r="D348" t="s">
        <v>4888</v>
      </c>
      <c r="G348" t="s">
        <v>4956</v>
      </c>
    </row>
    <row r="349" spans="1:7" x14ac:dyDescent="0.25">
      <c r="A349">
        <v>2500030318</v>
      </c>
      <c r="B349" t="s">
        <v>3760</v>
      </c>
      <c r="C349" t="s">
        <v>36</v>
      </c>
      <c r="D349" t="s">
        <v>4888</v>
      </c>
      <c r="G349" t="s">
        <v>4956</v>
      </c>
    </row>
    <row r="350" spans="1:7" x14ac:dyDescent="0.25">
      <c r="A350">
        <v>2500070670</v>
      </c>
      <c r="B350" t="s">
        <v>3990</v>
      </c>
      <c r="C350" t="s">
        <v>36</v>
      </c>
      <c r="D350" t="s">
        <v>4888</v>
      </c>
      <c r="G350" t="s">
        <v>4894</v>
      </c>
    </row>
    <row r="351" spans="1:7" x14ac:dyDescent="0.25">
      <c r="A351">
        <v>2500090100</v>
      </c>
      <c r="B351" t="s">
        <v>4025</v>
      </c>
      <c r="C351" t="s">
        <v>36</v>
      </c>
      <c r="D351" t="s">
        <v>4888</v>
      </c>
      <c r="G351" t="s">
        <v>4970</v>
      </c>
    </row>
    <row r="352" spans="1:7" x14ac:dyDescent="0.25">
      <c r="A352">
        <v>2410090176</v>
      </c>
      <c r="B352" t="s">
        <v>3237</v>
      </c>
      <c r="C352" t="s">
        <v>89</v>
      </c>
      <c r="G352" t="s">
        <v>4895</v>
      </c>
    </row>
    <row r="353" spans="1:7" x14ac:dyDescent="0.25">
      <c r="A353">
        <v>2410090245</v>
      </c>
      <c r="B353" t="s">
        <v>3244</v>
      </c>
      <c r="C353" t="s">
        <v>89</v>
      </c>
      <c r="G353" t="s">
        <v>4900</v>
      </c>
    </row>
    <row r="354" spans="1:7" x14ac:dyDescent="0.25">
      <c r="A354">
        <v>2410090246</v>
      </c>
      <c r="B354" t="s">
        <v>108</v>
      </c>
      <c r="C354" t="s">
        <v>89</v>
      </c>
      <c r="G354" t="s">
        <v>4900</v>
      </c>
    </row>
    <row r="355" spans="1:7" x14ac:dyDescent="0.25">
      <c r="A355">
        <v>2410110108</v>
      </c>
      <c r="B355" t="s">
        <v>3313</v>
      </c>
      <c r="C355" t="s">
        <v>89</v>
      </c>
      <c r="G355" t="s">
        <v>4973</v>
      </c>
    </row>
    <row r="356" spans="1:7" x14ac:dyDescent="0.25">
      <c r="A356">
        <v>2410130015</v>
      </c>
      <c r="B356" t="s">
        <v>3327</v>
      </c>
      <c r="C356" t="s">
        <v>36</v>
      </c>
      <c r="G356" t="s">
        <v>4920</v>
      </c>
    </row>
    <row r="357" spans="1:7" x14ac:dyDescent="0.25">
      <c r="A357">
        <v>2410130243</v>
      </c>
      <c r="B357" t="s">
        <v>4974</v>
      </c>
      <c r="C357" t="s">
        <v>36</v>
      </c>
      <c r="G357" t="s">
        <v>4920</v>
      </c>
    </row>
    <row r="358" spans="1:7" x14ac:dyDescent="0.25">
      <c r="A358">
        <v>2410170056</v>
      </c>
      <c r="B358" t="s">
        <v>3340</v>
      </c>
      <c r="C358" t="s">
        <v>89</v>
      </c>
      <c r="G358" t="s">
        <v>4916</v>
      </c>
    </row>
    <row r="359" spans="1:7" x14ac:dyDescent="0.25">
      <c r="A359">
        <v>2410170209</v>
      </c>
      <c r="B359" t="s">
        <v>3349</v>
      </c>
      <c r="C359" t="s">
        <v>36</v>
      </c>
      <c r="G359" t="s">
        <v>4922</v>
      </c>
    </row>
    <row r="360" spans="1:7" x14ac:dyDescent="0.25">
      <c r="A360">
        <v>2410170241</v>
      </c>
      <c r="B360" t="s">
        <v>3355</v>
      </c>
      <c r="C360" t="s">
        <v>36</v>
      </c>
      <c r="G360" t="s">
        <v>4922</v>
      </c>
    </row>
    <row r="361" spans="1:7" x14ac:dyDescent="0.25">
      <c r="A361">
        <v>2410200005</v>
      </c>
      <c r="B361" t="s">
        <v>3363</v>
      </c>
      <c r="C361" t="s">
        <v>89</v>
      </c>
      <c r="G361" t="s">
        <v>4900</v>
      </c>
    </row>
    <row r="362" spans="1:7" x14ac:dyDescent="0.25">
      <c r="A362">
        <v>2410290152</v>
      </c>
      <c r="B362" t="s">
        <v>3395</v>
      </c>
      <c r="C362" t="s">
        <v>89</v>
      </c>
      <c r="G362" t="s">
        <v>4913</v>
      </c>
    </row>
    <row r="363" spans="1:7" x14ac:dyDescent="0.25">
      <c r="A363">
        <v>2410290467</v>
      </c>
      <c r="B363" t="s">
        <v>3402</v>
      </c>
      <c r="C363" t="s">
        <v>89</v>
      </c>
      <c r="G363" t="s">
        <v>4926</v>
      </c>
    </row>
    <row r="364" spans="1:7" x14ac:dyDescent="0.25">
      <c r="A364">
        <v>2430620015</v>
      </c>
      <c r="B364" t="s">
        <v>3648</v>
      </c>
      <c r="C364" t="s">
        <v>89</v>
      </c>
      <c r="G364" t="s">
        <v>4895</v>
      </c>
    </row>
    <row r="365" spans="1:7" x14ac:dyDescent="0.25">
      <c r="A365">
        <v>2430620016</v>
      </c>
      <c r="B365" t="s">
        <v>3649</v>
      </c>
      <c r="C365" t="s">
        <v>89</v>
      </c>
      <c r="G365" t="s">
        <v>4895</v>
      </c>
    </row>
    <row r="366" spans="1:7" x14ac:dyDescent="0.25">
      <c r="A366">
        <v>2430630001</v>
      </c>
      <c r="B366" t="s">
        <v>3650</v>
      </c>
      <c r="C366" t="s">
        <v>89</v>
      </c>
      <c r="G366" t="s">
        <v>4895</v>
      </c>
    </row>
    <row r="367" spans="1:7" x14ac:dyDescent="0.25">
      <c r="A367">
        <v>2430640007</v>
      </c>
      <c r="B367" t="s">
        <v>3655</v>
      </c>
      <c r="C367" t="s">
        <v>89</v>
      </c>
      <c r="G367" t="s">
        <v>4895</v>
      </c>
    </row>
    <row r="368" spans="1:7" x14ac:dyDescent="0.25">
      <c r="A368">
        <v>2430690012</v>
      </c>
      <c r="B368" t="s">
        <v>3664</v>
      </c>
      <c r="C368" t="s">
        <v>89</v>
      </c>
      <c r="G368" t="s">
        <v>4895</v>
      </c>
    </row>
    <row r="369" spans="1:7" x14ac:dyDescent="0.25">
      <c r="A369">
        <v>2430690013</v>
      </c>
      <c r="B369" t="s">
        <v>3665</v>
      </c>
      <c r="C369" t="s">
        <v>89</v>
      </c>
      <c r="G369" t="s">
        <v>4895</v>
      </c>
    </row>
    <row r="370" spans="1:7" x14ac:dyDescent="0.25">
      <c r="A370">
        <v>2430700006</v>
      </c>
      <c r="B370" t="s">
        <v>3669</v>
      </c>
      <c r="C370" t="s">
        <v>89</v>
      </c>
      <c r="G370" t="s">
        <v>4895</v>
      </c>
    </row>
    <row r="371" spans="1:7" x14ac:dyDescent="0.25">
      <c r="A371">
        <v>2430700007</v>
      </c>
      <c r="B371" t="s">
        <v>3670</v>
      </c>
      <c r="C371" t="s">
        <v>89</v>
      </c>
      <c r="G371" t="s">
        <v>4895</v>
      </c>
    </row>
    <row r="372" spans="1:7" x14ac:dyDescent="0.25">
      <c r="A372">
        <v>2430710006</v>
      </c>
      <c r="B372" t="s">
        <v>3673</v>
      </c>
      <c r="C372" t="s">
        <v>89</v>
      </c>
      <c r="G372" t="s">
        <v>4948</v>
      </c>
    </row>
    <row r="373" spans="1:7" x14ac:dyDescent="0.25">
      <c r="A373">
        <v>2430740010</v>
      </c>
      <c r="B373" t="s">
        <v>3679</v>
      </c>
      <c r="C373" t="s">
        <v>89</v>
      </c>
      <c r="G373" t="s">
        <v>4895</v>
      </c>
    </row>
    <row r="374" spans="1:7" x14ac:dyDescent="0.25">
      <c r="A374">
        <v>2430740011</v>
      </c>
      <c r="B374" t="s">
        <v>3680</v>
      </c>
      <c r="C374" t="s">
        <v>89</v>
      </c>
      <c r="G374" t="s">
        <v>4895</v>
      </c>
    </row>
    <row r="375" spans="1:7" x14ac:dyDescent="0.25">
      <c r="A375">
        <v>2430760008</v>
      </c>
      <c r="B375" t="s">
        <v>3685</v>
      </c>
      <c r="C375" t="s">
        <v>89</v>
      </c>
      <c r="G375" t="s">
        <v>4895</v>
      </c>
    </row>
    <row r="376" spans="1:7" x14ac:dyDescent="0.25">
      <c r="A376">
        <v>2430760009</v>
      </c>
      <c r="B376" t="s">
        <v>3686</v>
      </c>
      <c r="C376" t="s">
        <v>89</v>
      </c>
      <c r="G376" t="s">
        <v>4895</v>
      </c>
    </row>
    <row r="377" spans="1:7" x14ac:dyDescent="0.25">
      <c r="A377">
        <v>2430850040</v>
      </c>
      <c r="B377" t="s">
        <v>3703</v>
      </c>
      <c r="C377" t="s">
        <v>89</v>
      </c>
      <c r="G377" t="s">
        <v>4900</v>
      </c>
    </row>
    <row r="378" spans="1:7" x14ac:dyDescent="0.25">
      <c r="A378">
        <v>2500030227</v>
      </c>
      <c r="B378" t="s">
        <v>3778</v>
      </c>
      <c r="C378" t="s">
        <v>36</v>
      </c>
      <c r="G378" t="s">
        <v>4956</v>
      </c>
    </row>
    <row r="379" spans="1:7" x14ac:dyDescent="0.25">
      <c r="A379">
        <v>2500090029</v>
      </c>
      <c r="B379" t="s">
        <v>3999</v>
      </c>
      <c r="C379" t="s">
        <v>36</v>
      </c>
      <c r="G379" t="s">
        <v>4970</v>
      </c>
    </row>
    <row r="380" spans="1:7" x14ac:dyDescent="0.25">
      <c r="A380">
        <v>2600040941</v>
      </c>
      <c r="B380" t="s">
        <v>4343</v>
      </c>
      <c r="C380" t="s">
        <v>89</v>
      </c>
      <c r="G380" t="s">
        <v>4900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88AD1-B7FD-4EDA-9F40-33CB120376B1}">
  <dimension ref="A1:W40"/>
  <sheetViews>
    <sheetView topLeftCell="D1" workbookViewId="0">
      <selection activeCell="Q3" sqref="Q3"/>
    </sheetView>
  </sheetViews>
  <sheetFormatPr baseColWidth="10" defaultRowHeight="15" x14ac:dyDescent="0.25"/>
  <cols>
    <col min="2" max="2" width="40" bestFit="1" customWidth="1"/>
    <col min="3" max="3" width="12.28515625" customWidth="1"/>
    <col min="4" max="4" width="56.7109375" bestFit="1" customWidth="1"/>
  </cols>
  <sheetData>
    <row r="1" spans="1:22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4867</v>
      </c>
      <c r="I1" t="s">
        <v>10</v>
      </c>
      <c r="J1" t="s">
        <v>4854</v>
      </c>
      <c r="K1" t="s">
        <v>4864</v>
      </c>
      <c r="L1" t="s">
        <v>4866</v>
      </c>
      <c r="M1" t="s">
        <v>16</v>
      </c>
      <c r="N1" t="s">
        <v>17</v>
      </c>
      <c r="O1" t="s">
        <v>12</v>
      </c>
      <c r="P1" t="s">
        <v>13</v>
      </c>
      <c r="Q1" t="s">
        <v>14</v>
      </c>
      <c r="R1" t="s">
        <v>4861</v>
      </c>
      <c r="S1" t="s">
        <v>4860</v>
      </c>
      <c r="T1" t="s">
        <v>4862</v>
      </c>
      <c r="U1" t="s">
        <v>4863</v>
      </c>
      <c r="V1" t="s">
        <v>4865</v>
      </c>
    </row>
    <row r="2" spans="1:22" x14ac:dyDescent="0.25">
      <c r="A2">
        <v>2110020095</v>
      </c>
      <c r="B2" t="s">
        <v>18</v>
      </c>
      <c r="C2">
        <v>2310210127</v>
      </c>
      <c r="D2" t="s">
        <v>19</v>
      </c>
      <c r="E2" t="s">
        <v>20</v>
      </c>
      <c r="F2">
        <v>8000</v>
      </c>
      <c r="G2">
        <v>1</v>
      </c>
      <c r="H2">
        <v>8000</v>
      </c>
      <c r="I2">
        <f>+VLOOKUP(C2,Costos!$A$1:$I$7161,9,FALSE)</f>
        <v>0.14463300000000001</v>
      </c>
      <c r="J2" t="str">
        <f>+LEFT(C2,3)</f>
        <v>231</v>
      </c>
      <c r="K2" s="6">
        <f>+V9</f>
        <v>0.11621286683041895</v>
      </c>
      <c r="L2">
        <f>+VLOOKUP(A2,Tiempos!$A$1:$I$63,3,FALSE)</f>
        <v>8000</v>
      </c>
      <c r="M2">
        <f>+VLOOKUP(A2,Tiempos!$A$1:$I$63,8,FALSE)</f>
        <v>172.78649999999999</v>
      </c>
      <c r="N2">
        <f>+VLOOKUP(A2,Tiempos!$A$1:$I$63,9,FALSE)</f>
        <v>9.1811199999999999</v>
      </c>
      <c r="O2">
        <f>+VLOOKUP(A2,Tiempos!$A$1:$I$63,4,FALSE)</f>
        <v>72</v>
      </c>
      <c r="P2">
        <f>+VLOOKUP(A2,Tiempos!$A$1:$I$63,5,FALSE)</f>
        <v>12</v>
      </c>
      <c r="Q2">
        <f>+VLOOKUP(A2,Tiempos!$A$1:$I$63,6,FALSE)</f>
        <v>6</v>
      </c>
      <c r="R2" s="6">
        <f>+K2*F2</f>
        <v>929.70293464335168</v>
      </c>
      <c r="S2">
        <f>((O2*H2)/L2)*M2*1</f>
        <v>12440.627999999999</v>
      </c>
      <c r="T2">
        <f>((O2*H2)/L2)*N2</f>
        <v>661.04063999999994</v>
      </c>
      <c r="U2" s="4">
        <f>+SUM(R2:T5)</f>
        <v>15432.76232854155</v>
      </c>
      <c r="V2">
        <f>+U2/8000</f>
        <v>1.9290952910676937</v>
      </c>
    </row>
    <row r="3" spans="1:22" x14ac:dyDescent="0.25">
      <c r="A3">
        <v>2110020095</v>
      </c>
      <c r="B3" t="s">
        <v>18</v>
      </c>
      <c r="C3">
        <v>2320050818</v>
      </c>
      <c r="D3" t="s">
        <v>32</v>
      </c>
      <c r="E3" t="s">
        <v>20</v>
      </c>
      <c r="F3">
        <v>8000</v>
      </c>
      <c r="G3">
        <v>1</v>
      </c>
      <c r="H3">
        <v>8000</v>
      </c>
      <c r="I3">
        <f>+VLOOKUP(C3,Costos!$A$1:$I$7161,9,FALSE)</f>
        <v>0.11834500000000001</v>
      </c>
      <c r="J3" t="str">
        <f t="shared" ref="J3:J5" si="0">+LEFT(C3,3)</f>
        <v>232</v>
      </c>
      <c r="K3" s="6">
        <f>+I3</f>
        <v>0.11834500000000001</v>
      </c>
      <c r="O3">
        <f>+VLOOKUP(A3,Tiempos!$A$1:$I$63,4,FALSE)</f>
        <v>72</v>
      </c>
      <c r="P3">
        <f>+VLOOKUP(A3,Tiempos!$A$1:$I$63,5,FALSE)</f>
        <v>12</v>
      </c>
      <c r="Q3">
        <f>+VLOOKUP(A3,Tiempos!$A$1:$I$63,6,FALSE)</f>
        <v>6</v>
      </c>
      <c r="R3" s="6">
        <f>+K3*F3</f>
        <v>946.76</v>
      </c>
    </row>
    <row r="4" spans="1:22" x14ac:dyDescent="0.25">
      <c r="A4">
        <v>2110020095</v>
      </c>
      <c r="B4" t="s">
        <v>18</v>
      </c>
      <c r="C4">
        <v>2320050826</v>
      </c>
      <c r="D4" t="s">
        <v>33</v>
      </c>
      <c r="E4" t="s">
        <v>20</v>
      </c>
      <c r="F4">
        <v>666.66669999999999</v>
      </c>
      <c r="G4">
        <v>1</v>
      </c>
      <c r="H4">
        <v>8000</v>
      </c>
      <c r="I4">
        <f>+VLOOKUP(C4,Costos!$A$1:$I$7161,9,FALSE)</f>
        <v>0.46694600000000003</v>
      </c>
      <c r="J4" t="str">
        <f t="shared" si="0"/>
        <v>232</v>
      </c>
      <c r="K4" s="6">
        <f>+I4</f>
        <v>0.46694600000000003</v>
      </c>
      <c r="O4">
        <f>+VLOOKUP(A4,Tiempos!$A$1:$I$63,4,FALSE)</f>
        <v>72</v>
      </c>
      <c r="P4">
        <f>+VLOOKUP(A4,Tiempos!$A$1:$I$63,5,FALSE)</f>
        <v>12</v>
      </c>
      <c r="Q4">
        <f>+VLOOKUP(A4,Tiempos!$A$1:$I$63,6,FALSE)</f>
        <v>6</v>
      </c>
      <c r="R4" s="6">
        <f>+K4*F4</f>
        <v>311.29734889820003</v>
      </c>
    </row>
    <row r="5" spans="1:22" x14ac:dyDescent="0.25">
      <c r="A5">
        <v>2110020095</v>
      </c>
      <c r="B5" t="s">
        <v>18</v>
      </c>
      <c r="C5">
        <v>2500030344</v>
      </c>
      <c r="D5" t="s">
        <v>34</v>
      </c>
      <c r="E5" t="s">
        <v>20</v>
      </c>
      <c r="F5">
        <v>66.666700000000006</v>
      </c>
      <c r="G5">
        <v>1</v>
      </c>
      <c r="H5">
        <v>8000</v>
      </c>
      <c r="I5">
        <f>+VLOOKUP(C5,Costos!$A$1:$I$7161,9,FALSE)</f>
        <v>2.15</v>
      </c>
      <c r="J5" t="str">
        <f t="shared" si="0"/>
        <v>250</v>
      </c>
      <c r="K5" s="6">
        <f>+I5</f>
        <v>2.15</v>
      </c>
      <c r="O5">
        <f>+VLOOKUP(A5,Tiempos!$A$1:$I$63,4,FALSE)</f>
        <v>72</v>
      </c>
      <c r="P5">
        <f>+VLOOKUP(A5,Tiempos!$A$1:$I$63,5,FALSE)</f>
        <v>12</v>
      </c>
      <c r="Q5">
        <f>+VLOOKUP(A5,Tiempos!$A$1:$I$63,6,FALSE)</f>
        <v>6</v>
      </c>
      <c r="R5" s="6">
        <f>+K5*F5</f>
        <v>143.333405</v>
      </c>
    </row>
    <row r="6" spans="1:22" x14ac:dyDescent="0.25">
      <c r="K6" s="6"/>
      <c r="M6">
        <f>+M2/8000</f>
        <v>2.1598312499999998E-2</v>
      </c>
      <c r="N6">
        <f>+N2/8000</f>
        <v>1.1476399999999999E-3</v>
      </c>
      <c r="R6" s="6"/>
    </row>
    <row r="8" spans="1:22" x14ac:dyDescent="0.25">
      <c r="A8" t="s">
        <v>2</v>
      </c>
      <c r="B8" t="s">
        <v>3</v>
      </c>
      <c r="C8" t="s">
        <v>4</v>
      </c>
      <c r="D8" t="s">
        <v>5</v>
      </c>
      <c r="E8" t="s">
        <v>6</v>
      </c>
      <c r="F8" t="s">
        <v>7</v>
      </c>
      <c r="G8" t="s">
        <v>8</v>
      </c>
      <c r="H8" t="s">
        <v>4867</v>
      </c>
      <c r="I8" t="s">
        <v>10</v>
      </c>
      <c r="J8" t="s">
        <v>4854</v>
      </c>
      <c r="K8" t="s">
        <v>4864</v>
      </c>
      <c r="L8" t="s">
        <v>4866</v>
      </c>
      <c r="M8" t="s">
        <v>16</v>
      </c>
      <c r="N8" t="s">
        <v>17</v>
      </c>
      <c r="O8" t="s">
        <v>12</v>
      </c>
      <c r="P8" t="s">
        <v>13</v>
      </c>
      <c r="Q8" t="s">
        <v>14</v>
      </c>
      <c r="R8" t="s">
        <v>4861</v>
      </c>
      <c r="S8" t="s">
        <v>4860</v>
      </c>
      <c r="T8" t="s">
        <v>4862</v>
      </c>
      <c r="U8" t="s">
        <v>4863</v>
      </c>
      <c r="V8" t="s">
        <v>4865</v>
      </c>
    </row>
    <row r="9" spans="1:22" x14ac:dyDescent="0.25">
      <c r="A9">
        <v>2310210127</v>
      </c>
      <c r="B9" t="s">
        <v>19</v>
      </c>
      <c r="C9">
        <v>2310090439</v>
      </c>
      <c r="D9" t="s">
        <v>35</v>
      </c>
      <c r="E9" t="s">
        <v>36</v>
      </c>
      <c r="F9">
        <v>8000</v>
      </c>
      <c r="G9">
        <v>2</v>
      </c>
      <c r="H9">
        <v>8000</v>
      </c>
      <c r="I9">
        <f>+VLOOKUP(C9,Costos!$A$1:$I$7161,9,FALSE)</f>
        <v>5.5183000000000003E-2</v>
      </c>
      <c r="J9" t="str">
        <f t="shared" ref="J9:J15" si="1">+LEFT(C9,3)</f>
        <v>231</v>
      </c>
      <c r="K9">
        <f>+V18</f>
        <v>2.8771011351388886E-2</v>
      </c>
      <c r="L9">
        <f>+VLOOKUP(A9,Tiempos!$A$1:$I$63,3,FALSE)</f>
        <v>50000</v>
      </c>
      <c r="M9">
        <f>+VLOOKUP(A9,Tiempos!$A$1:$I$63,8,FALSE)</f>
        <v>128.5658</v>
      </c>
      <c r="N9">
        <f>+VLOOKUP(A9,Tiempos!$A$1:$I$63,9,FALSE)</f>
        <v>11.9658</v>
      </c>
      <c r="O9">
        <f>+VLOOKUP(A9,Tiempos!$A$1:$I$63,4,FALSE)</f>
        <v>12</v>
      </c>
      <c r="P9">
        <f>+VLOOKUP(A9,Tiempos!$A$1:$I$63,5,FALSE)</f>
        <v>12</v>
      </c>
      <c r="Q9">
        <f>+VLOOKUP(A9,Tiempos!$A$1:$I$63,6,FALSE)</f>
        <v>1</v>
      </c>
      <c r="R9" s="5">
        <f t="shared" ref="R9:R15" si="2">+K9*F9</f>
        <v>230.16809081111109</v>
      </c>
      <c r="S9" s="5">
        <f>((O9*H9)/L9)*M9*1</f>
        <v>246.84633599999998</v>
      </c>
      <c r="T9">
        <f>((O9*H9)/L9)*N9</f>
        <v>22.974335999999997</v>
      </c>
      <c r="U9" s="4">
        <f>+SUM(R9:T15)</f>
        <v>929.70293464335168</v>
      </c>
      <c r="V9">
        <f>+U9/H9</f>
        <v>0.11621286683041895</v>
      </c>
    </row>
    <row r="10" spans="1:22" x14ac:dyDescent="0.25">
      <c r="A10">
        <v>2310210127</v>
      </c>
      <c r="B10" t="s">
        <v>19</v>
      </c>
      <c r="C10">
        <v>2310160468</v>
      </c>
      <c r="D10" t="s">
        <v>37</v>
      </c>
      <c r="E10" t="s">
        <v>36</v>
      </c>
      <c r="F10">
        <v>8000</v>
      </c>
      <c r="G10">
        <v>2</v>
      </c>
      <c r="H10">
        <v>8000</v>
      </c>
      <c r="I10">
        <f>+VLOOKUP(C10,Costos!$A$1:$I$7161,9,FALSE)</f>
        <v>8.9440000000000006E-3</v>
      </c>
      <c r="J10" t="str">
        <f t="shared" si="1"/>
        <v>231</v>
      </c>
      <c r="K10">
        <f>+V21</f>
        <v>9.5285940492000013E-3</v>
      </c>
      <c r="L10">
        <f>+VLOOKUP(A10,Tiempos!$A$1:$I$63,3,FALSE)</f>
        <v>50000</v>
      </c>
      <c r="M10">
        <f>+VLOOKUP(A10,Tiempos!$A$1:$I$63,8,FALSE)</f>
        <v>128.5658</v>
      </c>
      <c r="N10">
        <f>+VLOOKUP(A10,Tiempos!$A$1:$I$63,9,FALSE)</f>
        <v>11.9658</v>
      </c>
      <c r="O10">
        <f>+VLOOKUP(A10,Tiempos!$A$1:$I$63,4,FALSE)</f>
        <v>12</v>
      </c>
      <c r="P10">
        <f>+VLOOKUP(A10,Tiempos!$A$1:$I$63,5,FALSE)</f>
        <v>12</v>
      </c>
      <c r="Q10">
        <f>+VLOOKUP(A10,Tiempos!$A$1:$I$63,6,FALSE)</f>
        <v>1</v>
      </c>
      <c r="R10" s="5">
        <f t="shared" si="2"/>
        <v>76.228752393600004</v>
      </c>
      <c r="S10" s="5"/>
      <c r="T10" s="5"/>
    </row>
    <row r="11" spans="1:22" x14ac:dyDescent="0.25">
      <c r="A11">
        <v>2310210127</v>
      </c>
      <c r="B11" t="s">
        <v>19</v>
      </c>
      <c r="C11">
        <v>2310160480</v>
      </c>
      <c r="D11" t="s">
        <v>38</v>
      </c>
      <c r="E11" t="s">
        <v>36</v>
      </c>
      <c r="F11">
        <v>8000</v>
      </c>
      <c r="G11">
        <v>2</v>
      </c>
      <c r="H11">
        <v>8000</v>
      </c>
      <c r="I11">
        <f>+VLOOKUP(C11,Costos!$A$1:$I$7161,9,FALSE)</f>
        <v>9.7940000000000006E-3</v>
      </c>
      <c r="J11" t="str">
        <f t="shared" si="1"/>
        <v>231</v>
      </c>
      <c r="K11">
        <f>+V24</f>
        <v>9.5302795900925937E-3</v>
      </c>
      <c r="L11">
        <f>+VLOOKUP(A11,Tiempos!$A$1:$I$63,3,FALSE)</f>
        <v>50000</v>
      </c>
      <c r="M11">
        <f>+VLOOKUP(A11,Tiempos!$A$1:$I$63,8,FALSE)</f>
        <v>128.5658</v>
      </c>
      <c r="N11">
        <f>+VLOOKUP(A11,Tiempos!$A$1:$I$63,9,FALSE)</f>
        <v>11.9658</v>
      </c>
      <c r="O11">
        <f>+VLOOKUP(A11,Tiempos!$A$1:$I$63,4,FALSE)</f>
        <v>12</v>
      </c>
      <c r="P11">
        <f>+VLOOKUP(A11,Tiempos!$A$1:$I$63,5,FALSE)</f>
        <v>12</v>
      </c>
      <c r="Q11">
        <f>+VLOOKUP(A11,Tiempos!$A$1:$I$63,6,FALSE)</f>
        <v>1</v>
      </c>
      <c r="R11" s="5">
        <f t="shared" si="2"/>
        <v>76.242236720740749</v>
      </c>
      <c r="S11" s="5"/>
      <c r="T11" s="5"/>
    </row>
    <row r="12" spans="1:22" x14ac:dyDescent="0.25">
      <c r="A12">
        <v>2310210127</v>
      </c>
      <c r="B12" t="s">
        <v>19</v>
      </c>
      <c r="C12">
        <v>2410170071</v>
      </c>
      <c r="D12" t="s">
        <v>39</v>
      </c>
      <c r="E12" t="s">
        <v>36</v>
      </c>
      <c r="F12">
        <v>8000</v>
      </c>
      <c r="G12">
        <v>2</v>
      </c>
      <c r="H12">
        <v>8000</v>
      </c>
      <c r="I12">
        <f>+VLOOKUP(C12,Costos!$A$1:$I$7161,9,FALSE)</f>
        <v>1.4323000000000001E-2</v>
      </c>
      <c r="J12" t="str">
        <f t="shared" si="1"/>
        <v>241</v>
      </c>
      <c r="K12">
        <f>+I12</f>
        <v>1.4323000000000001E-2</v>
      </c>
      <c r="L12">
        <f>+VLOOKUP(A12,Tiempos!$A$1:$I$63,3,FALSE)</f>
        <v>50000</v>
      </c>
      <c r="M12">
        <f>+VLOOKUP(A12,Tiempos!$A$1:$I$63,8,FALSE)</f>
        <v>128.5658</v>
      </c>
      <c r="N12">
        <f>+VLOOKUP(A12,Tiempos!$A$1:$I$63,9,FALSE)</f>
        <v>11.9658</v>
      </c>
      <c r="O12">
        <f>+VLOOKUP(A12,Tiempos!$A$1:$I$63,4,FALSE)</f>
        <v>12</v>
      </c>
      <c r="P12">
        <f>+VLOOKUP(A12,Tiempos!$A$1:$I$63,5,FALSE)</f>
        <v>12</v>
      </c>
      <c r="Q12">
        <f>+VLOOKUP(A12,Tiempos!$A$1:$I$63,6,FALSE)</f>
        <v>1</v>
      </c>
      <c r="R12" s="5">
        <f t="shared" si="2"/>
        <v>114.584</v>
      </c>
      <c r="S12" s="5"/>
      <c r="T12" s="5"/>
    </row>
    <row r="13" spans="1:22" x14ac:dyDescent="0.25">
      <c r="A13">
        <v>2310210127</v>
      </c>
      <c r="B13" t="s">
        <v>19</v>
      </c>
      <c r="C13">
        <v>2410290156</v>
      </c>
      <c r="D13" t="s">
        <v>40</v>
      </c>
      <c r="E13" t="s">
        <v>36</v>
      </c>
      <c r="F13">
        <v>0.32</v>
      </c>
      <c r="G13">
        <v>2</v>
      </c>
      <c r="H13">
        <v>8000</v>
      </c>
      <c r="I13">
        <f>+VLOOKUP(C13,Costos!$A$1:$I$7161,9,FALSE)</f>
        <v>23.787500000000001</v>
      </c>
      <c r="J13" t="str">
        <f t="shared" si="1"/>
        <v>241</v>
      </c>
      <c r="K13">
        <f>+I13</f>
        <v>23.787500000000001</v>
      </c>
      <c r="L13">
        <f>+VLOOKUP(A13,Tiempos!$A$1:$I$63,3,FALSE)</f>
        <v>50000</v>
      </c>
      <c r="M13">
        <f>+VLOOKUP(A13,Tiempos!$A$1:$I$63,8,FALSE)</f>
        <v>128.5658</v>
      </c>
      <c r="N13">
        <f>+VLOOKUP(A13,Tiempos!$A$1:$I$63,9,FALSE)</f>
        <v>11.9658</v>
      </c>
      <c r="O13">
        <f>+VLOOKUP(A13,Tiempos!$A$1:$I$63,4,FALSE)</f>
        <v>12</v>
      </c>
      <c r="P13">
        <f>+VLOOKUP(A13,Tiempos!$A$1:$I$63,5,FALSE)</f>
        <v>12</v>
      </c>
      <c r="Q13">
        <f>+VLOOKUP(A13,Tiempos!$A$1:$I$63,6,FALSE)</f>
        <v>1</v>
      </c>
      <c r="R13" s="5">
        <f t="shared" si="2"/>
        <v>7.612000000000001</v>
      </c>
      <c r="S13" s="5"/>
      <c r="T13" s="5"/>
    </row>
    <row r="14" spans="1:22" x14ac:dyDescent="0.25">
      <c r="A14">
        <v>2310210127</v>
      </c>
      <c r="B14" t="s">
        <v>19</v>
      </c>
      <c r="C14">
        <v>2410130017</v>
      </c>
      <c r="D14" t="s">
        <v>41</v>
      </c>
      <c r="E14" t="s">
        <v>36</v>
      </c>
      <c r="F14">
        <v>8000</v>
      </c>
      <c r="G14">
        <v>2</v>
      </c>
      <c r="H14">
        <v>8000</v>
      </c>
      <c r="I14">
        <f>+VLOOKUP(C14,Costos!$A$1:$I$7161,9,FALSE)</f>
        <v>7.5389999999999997E-3</v>
      </c>
      <c r="J14" t="str">
        <f t="shared" si="1"/>
        <v>241</v>
      </c>
      <c r="K14">
        <f>+I14</f>
        <v>7.5389999999999997E-3</v>
      </c>
      <c r="L14">
        <f>+VLOOKUP(A14,Tiempos!$A$1:$I$63,3,FALSE)</f>
        <v>50000</v>
      </c>
      <c r="M14">
        <f>+VLOOKUP(A14,Tiempos!$A$1:$I$63,8,FALSE)</f>
        <v>128.5658</v>
      </c>
      <c r="N14">
        <f>+VLOOKUP(A14,Tiempos!$A$1:$I$63,9,FALSE)</f>
        <v>11.9658</v>
      </c>
      <c r="O14">
        <f>+VLOOKUP(A14,Tiempos!$A$1:$I$63,4,FALSE)</f>
        <v>12</v>
      </c>
      <c r="P14">
        <f>+VLOOKUP(A14,Tiempos!$A$1:$I$63,5,FALSE)</f>
        <v>12</v>
      </c>
      <c r="Q14">
        <f>+VLOOKUP(A14,Tiempos!$A$1:$I$63,6,FALSE)</f>
        <v>1</v>
      </c>
      <c r="R14" s="5">
        <f t="shared" ref="R14" si="3">+K14*F14</f>
        <v>60.311999999999998</v>
      </c>
      <c r="S14" s="5"/>
      <c r="T14" s="5"/>
    </row>
    <row r="15" spans="1:22" x14ac:dyDescent="0.25">
      <c r="A15">
        <v>2310210127</v>
      </c>
      <c r="B15" t="s">
        <v>19</v>
      </c>
      <c r="C15">
        <v>2310180036</v>
      </c>
      <c r="D15" t="s">
        <v>42</v>
      </c>
      <c r="E15" t="s">
        <v>36</v>
      </c>
      <c r="F15">
        <v>7.2</v>
      </c>
      <c r="G15">
        <v>2</v>
      </c>
      <c r="H15">
        <v>8000</v>
      </c>
      <c r="I15">
        <f>+VLOOKUP(C15,Costos!$A$1:$I$7161,9,FALSE)</f>
        <v>13.235526999999999</v>
      </c>
      <c r="J15" t="str">
        <f t="shared" si="1"/>
        <v>231</v>
      </c>
      <c r="K15">
        <f>+V27</f>
        <v>13.157664266375001</v>
      </c>
      <c r="L15">
        <f>+VLOOKUP(A15,Tiempos!$A$1:$I$63,3,FALSE)</f>
        <v>50000</v>
      </c>
      <c r="M15">
        <f>+VLOOKUP(A15,Tiempos!$A$1:$I$63,8,FALSE)</f>
        <v>128.5658</v>
      </c>
      <c r="N15">
        <f>+VLOOKUP(A15,Tiempos!$A$1:$I$63,9,FALSE)</f>
        <v>11.9658</v>
      </c>
      <c r="O15">
        <f>+VLOOKUP(A15,Tiempos!$A$1:$I$63,4,FALSE)</f>
        <v>12</v>
      </c>
      <c r="P15">
        <f>+VLOOKUP(A15,Tiempos!$A$1:$I$63,5,FALSE)</f>
        <v>12</v>
      </c>
      <c r="Q15">
        <f>+VLOOKUP(A15,Tiempos!$A$1:$I$63,6,FALSE)</f>
        <v>1</v>
      </c>
      <c r="R15" s="5">
        <f t="shared" si="2"/>
        <v>94.735182717900003</v>
      </c>
      <c r="S15" s="5"/>
      <c r="T15" s="5"/>
    </row>
    <row r="17" spans="1:23" x14ac:dyDescent="0.25">
      <c r="A17" t="s">
        <v>2</v>
      </c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4867</v>
      </c>
      <c r="I17" t="s">
        <v>10</v>
      </c>
      <c r="J17" t="s">
        <v>4854</v>
      </c>
      <c r="K17" t="s">
        <v>4864</v>
      </c>
      <c r="L17" t="s">
        <v>4866</v>
      </c>
      <c r="M17" t="s">
        <v>16</v>
      </c>
      <c r="N17" t="s">
        <v>17</v>
      </c>
      <c r="O17" t="s">
        <v>12</v>
      </c>
      <c r="P17" t="s">
        <v>13</v>
      </c>
      <c r="Q17" t="s">
        <v>14</v>
      </c>
      <c r="R17" t="s">
        <v>4861</v>
      </c>
      <c r="S17" t="s">
        <v>4860</v>
      </c>
      <c r="T17" t="s">
        <v>4862</v>
      </c>
      <c r="U17" t="s">
        <v>4863</v>
      </c>
      <c r="V17" t="s">
        <v>4865</v>
      </c>
    </row>
    <row r="18" spans="1:23" x14ac:dyDescent="0.25">
      <c r="A18">
        <v>2310090439</v>
      </c>
      <c r="B18" t="s">
        <v>35</v>
      </c>
      <c r="C18">
        <v>2410090295</v>
      </c>
      <c r="D18" t="s">
        <v>88</v>
      </c>
      <c r="E18" t="s">
        <v>89</v>
      </c>
      <c r="F18">
        <v>0.51370000000000005</v>
      </c>
      <c r="G18">
        <v>3</v>
      </c>
      <c r="H18">
        <v>8000</v>
      </c>
      <c r="I18">
        <f>+VLOOKUP(C18,Costos!$A$1:$I$7161,9,FALSE)</f>
        <v>18.454999999999998</v>
      </c>
      <c r="J18" t="str">
        <f t="shared" ref="J18:J32" si="4">+LEFT(C18,3)</f>
        <v>241</v>
      </c>
      <c r="K18">
        <f t="shared" ref="K18:K22" si="5">++I18</f>
        <v>18.454999999999998</v>
      </c>
      <c r="L18">
        <f>+VLOOKUP(A18,Tiempos!$A$1:$I$63,3,FALSE)</f>
        <v>98742.857142857159</v>
      </c>
      <c r="M18">
        <f>+VLOOKUP(A18,Tiempos!$A$1:$I$63,8,FALSE)</f>
        <v>37.881599999999999</v>
      </c>
      <c r="N18">
        <f>+VLOOKUP(A18,Tiempos!$A$1:$I$63,9,FALSE)</f>
        <v>9.8240499999999997</v>
      </c>
      <c r="O18">
        <f>+VLOOKUP(A18,Tiempos!$A$1:$I$63,4,FALSE)</f>
        <v>24</v>
      </c>
      <c r="P18">
        <f>+VLOOKUP(A18,Tiempos!$A$1:$I$63,5,FALSE)</f>
        <v>24</v>
      </c>
      <c r="Q18">
        <f>+VLOOKUP(A18,Tiempos!$A$1:$I$63,6,FALSE)</f>
        <v>2</v>
      </c>
      <c r="R18">
        <f t="shared" ref="R18:R32" si="6">+K18*F18</f>
        <v>9.4803335000000004</v>
      </c>
      <c r="S18">
        <f>((O18*H18)/L18)*M18*1</f>
        <v>73.658666666666662</v>
      </c>
      <c r="T18">
        <f>((O18*H18)/L18)*N18</f>
        <v>19.10231944444444</v>
      </c>
      <c r="U18">
        <f>+SUM(R18:T19)</f>
        <v>230.16809081111109</v>
      </c>
      <c r="V18">
        <f>+U18/H18</f>
        <v>2.8771011351388886E-2</v>
      </c>
    </row>
    <row r="19" spans="1:23" x14ac:dyDescent="0.25">
      <c r="A19">
        <v>2310090439</v>
      </c>
      <c r="B19" t="s">
        <v>35</v>
      </c>
      <c r="C19">
        <v>2410290153</v>
      </c>
      <c r="D19" t="s">
        <v>90</v>
      </c>
      <c r="E19" t="s">
        <v>89</v>
      </c>
      <c r="F19">
        <v>26.56</v>
      </c>
      <c r="G19">
        <v>3</v>
      </c>
      <c r="H19">
        <v>8000</v>
      </c>
      <c r="I19">
        <f>+VLOOKUP(C19,Costos!$A$1:$I$7161,9,FALSE)</f>
        <v>4.8165199999999997</v>
      </c>
      <c r="J19" t="str">
        <f t="shared" si="4"/>
        <v>241</v>
      </c>
      <c r="K19">
        <f t="shared" si="5"/>
        <v>4.8165199999999997</v>
      </c>
      <c r="L19">
        <f>+VLOOKUP(A19,Tiempos!$A$1:$I$63,3,FALSE)</f>
        <v>98742.857142857159</v>
      </c>
      <c r="M19">
        <f>+VLOOKUP(A19,Tiempos!$A$1:$I$63,8,FALSE)</f>
        <v>37.881599999999999</v>
      </c>
      <c r="N19">
        <f>+VLOOKUP(A19,Tiempos!$A$1:$I$63,9,FALSE)</f>
        <v>9.8240499999999997</v>
      </c>
      <c r="O19">
        <f>+VLOOKUP(A19,Tiempos!$A$1:$I$63,4,FALSE)</f>
        <v>24</v>
      </c>
      <c r="P19">
        <f>+VLOOKUP(A19,Tiempos!$A$1:$I$63,5,FALSE)</f>
        <v>24</v>
      </c>
      <c r="Q19">
        <f>+VLOOKUP(A19,Tiempos!$A$1:$I$63,6,FALSE)</f>
        <v>2</v>
      </c>
      <c r="R19">
        <f t="shared" si="6"/>
        <v>127.92677119999999</v>
      </c>
    </row>
    <row r="20" spans="1:23" x14ac:dyDescent="0.25">
      <c r="A20" t="s">
        <v>2</v>
      </c>
      <c r="B20" t="s">
        <v>3</v>
      </c>
      <c r="C20" t="s">
        <v>4</v>
      </c>
      <c r="D20" t="s">
        <v>5</v>
      </c>
      <c r="E20" t="s">
        <v>6</v>
      </c>
      <c r="F20" t="s">
        <v>7</v>
      </c>
      <c r="G20" t="s">
        <v>8</v>
      </c>
      <c r="H20" t="s">
        <v>4867</v>
      </c>
      <c r="I20" t="s">
        <v>10</v>
      </c>
      <c r="J20" t="s">
        <v>4854</v>
      </c>
      <c r="K20" t="s">
        <v>4864</v>
      </c>
      <c r="L20" t="s">
        <v>4866</v>
      </c>
      <c r="M20" t="s">
        <v>16</v>
      </c>
      <c r="N20" t="s">
        <v>17</v>
      </c>
      <c r="O20" t="s">
        <v>12</v>
      </c>
      <c r="P20" t="s">
        <v>13</v>
      </c>
      <c r="Q20" t="s">
        <v>14</v>
      </c>
      <c r="R20" t="s">
        <v>4861</v>
      </c>
      <c r="S20" t="s">
        <v>4860</v>
      </c>
      <c r="T20" t="s">
        <v>4862</v>
      </c>
      <c r="U20" t="s">
        <v>4863</v>
      </c>
      <c r="V20" t="s">
        <v>4865</v>
      </c>
    </row>
    <row r="21" spans="1:23" x14ac:dyDescent="0.25">
      <c r="A21">
        <v>2310160468</v>
      </c>
      <c r="B21" t="s">
        <v>37</v>
      </c>
      <c r="C21">
        <v>2410090295</v>
      </c>
      <c r="D21" t="s">
        <v>88</v>
      </c>
      <c r="E21" t="s">
        <v>89</v>
      </c>
      <c r="F21">
        <v>0.18240000000000001</v>
      </c>
      <c r="G21">
        <v>3</v>
      </c>
      <c r="H21">
        <v>8000</v>
      </c>
      <c r="I21">
        <f>+VLOOKUP(C21,Costos!$A$1:$I$7161,9,FALSE)</f>
        <v>18.454999999999998</v>
      </c>
      <c r="J21" t="str">
        <f t="shared" si="4"/>
        <v>241</v>
      </c>
      <c r="K21">
        <f t="shared" si="5"/>
        <v>18.454999999999998</v>
      </c>
      <c r="L21">
        <f>+VLOOKUP(A21,Tiempos!$A$1:$I$63,3,FALSE)</f>
        <v>96000</v>
      </c>
      <c r="M21">
        <f>+VLOOKUP(A21,Tiempos!$A$1:$I$63,8,FALSE)</f>
        <v>7.1628999999999996</v>
      </c>
      <c r="N21">
        <f>+VLOOKUP(A21,Tiempos!$A$1:$I$63,9,FALSE)</f>
        <v>9.6438400000000009</v>
      </c>
      <c r="O21">
        <f>+VLOOKUP(A21,Tiempos!$A$1:$I$63,4,FALSE)</f>
        <v>24</v>
      </c>
      <c r="P21">
        <f>+VLOOKUP(A21,Tiempos!$A$1:$I$63,5,FALSE)</f>
        <v>24</v>
      </c>
      <c r="Q21">
        <f>+VLOOKUP(A21,Tiempos!$A$1:$I$63,6,FALSE)</f>
        <v>1</v>
      </c>
      <c r="R21">
        <f t="shared" si="6"/>
        <v>3.3661919999999999</v>
      </c>
      <c r="S21">
        <f>((O21*H21)/L21)*M21*1</f>
        <v>14.325799999999999</v>
      </c>
      <c r="T21">
        <f>((O21*H21)/L21)*N21</f>
        <v>19.287680000000002</v>
      </c>
      <c r="U21">
        <f>+SUM(R21:T22)</f>
        <v>76.228752393600004</v>
      </c>
      <c r="V21">
        <f>+U21/H21</f>
        <v>9.5285940492000013E-3</v>
      </c>
    </row>
    <row r="22" spans="1:23" x14ac:dyDescent="0.25">
      <c r="A22">
        <v>2310160468</v>
      </c>
      <c r="B22" t="s">
        <v>37</v>
      </c>
      <c r="C22">
        <v>2410290624</v>
      </c>
      <c r="D22" t="s">
        <v>91</v>
      </c>
      <c r="E22" t="s">
        <v>89</v>
      </c>
      <c r="F22">
        <v>9.1196000000000002</v>
      </c>
      <c r="G22">
        <v>3</v>
      </c>
      <c r="H22">
        <v>8000</v>
      </c>
      <c r="I22">
        <f>+VLOOKUP(C22,Costos!$A$1:$I$7161,9,FALSE)</f>
        <v>4.3038160000000003</v>
      </c>
      <c r="J22" t="str">
        <f t="shared" si="4"/>
        <v>241</v>
      </c>
      <c r="K22">
        <f t="shared" si="5"/>
        <v>4.3038160000000003</v>
      </c>
      <c r="L22">
        <f>+VLOOKUP(A22,Tiempos!$A$1:$I$63,3,FALSE)</f>
        <v>96000</v>
      </c>
      <c r="M22">
        <f>+VLOOKUP(A22,Tiempos!$A$1:$I$63,8,FALSE)</f>
        <v>7.1628999999999996</v>
      </c>
      <c r="N22">
        <f>+VLOOKUP(A22,Tiempos!$A$1:$I$63,9,FALSE)</f>
        <v>9.6438400000000009</v>
      </c>
      <c r="O22">
        <f>+VLOOKUP(A22,Tiempos!$A$1:$I$63,4,FALSE)</f>
        <v>24</v>
      </c>
      <c r="P22">
        <f>+VLOOKUP(A22,Tiempos!$A$1:$I$63,5,FALSE)</f>
        <v>24</v>
      </c>
      <c r="Q22">
        <f>+VLOOKUP(A22,Tiempos!$A$1:$I$63,6,FALSE)</f>
        <v>1</v>
      </c>
      <c r="R22">
        <f t="shared" si="6"/>
        <v>39.249080393600003</v>
      </c>
    </row>
    <row r="23" spans="1:23" x14ac:dyDescent="0.25">
      <c r="A23" t="s">
        <v>2</v>
      </c>
      <c r="B23" t="s">
        <v>3</v>
      </c>
      <c r="C23" t="s">
        <v>4</v>
      </c>
      <c r="D23" t="s">
        <v>5</v>
      </c>
      <c r="E23" t="s">
        <v>6</v>
      </c>
      <c r="F23" t="s">
        <v>7</v>
      </c>
      <c r="G23" t="s">
        <v>8</v>
      </c>
      <c r="H23" t="s">
        <v>4867</v>
      </c>
      <c r="I23" t="s">
        <v>10</v>
      </c>
      <c r="J23" t="s">
        <v>4854</v>
      </c>
      <c r="K23" t="s">
        <v>4864</v>
      </c>
      <c r="L23" t="s">
        <v>4866</v>
      </c>
      <c r="M23" t="s">
        <v>16</v>
      </c>
      <c r="N23" t="s">
        <v>17</v>
      </c>
      <c r="O23" t="s">
        <v>12</v>
      </c>
      <c r="P23" t="s">
        <v>13</v>
      </c>
      <c r="Q23" t="s">
        <v>14</v>
      </c>
      <c r="R23" t="s">
        <v>4861</v>
      </c>
      <c r="S23" t="s">
        <v>4860</v>
      </c>
      <c r="T23" t="s">
        <v>4862</v>
      </c>
      <c r="U23" t="s">
        <v>4863</v>
      </c>
      <c r="V23" t="s">
        <v>4865</v>
      </c>
    </row>
    <row r="24" spans="1:23" x14ac:dyDescent="0.25">
      <c r="A24">
        <v>2310160480</v>
      </c>
      <c r="B24" t="s">
        <v>38</v>
      </c>
      <c r="C24">
        <v>2410090295</v>
      </c>
      <c r="D24" t="s">
        <v>88</v>
      </c>
      <c r="E24" t="s">
        <v>89</v>
      </c>
      <c r="F24">
        <v>0.1409</v>
      </c>
      <c r="G24">
        <v>3</v>
      </c>
      <c r="H24">
        <v>8000</v>
      </c>
      <c r="I24">
        <f>+VLOOKUP(C24,Costos!$A$1:$I$7161,9,FALSE)</f>
        <v>18.454999999999998</v>
      </c>
      <c r="J24" t="str">
        <f t="shared" si="4"/>
        <v>241</v>
      </c>
      <c r="K24">
        <f>++I24</f>
        <v>18.454999999999998</v>
      </c>
      <c r="L24">
        <f>+VLOOKUP(A24,Tiempos!$A$1:$I$63,3,FALSE)</f>
        <v>86979.865771812067</v>
      </c>
      <c r="M24">
        <f>+VLOOKUP(A24,Tiempos!$A$1:$I$63,8,FALSE)</f>
        <v>9.6456</v>
      </c>
      <c r="N24">
        <f>+VLOOKUP(A24,Tiempos!$A$1:$I$63,9,FALSE)</f>
        <v>9.6438400000000009</v>
      </c>
      <c r="O24">
        <f>+VLOOKUP(A24,Tiempos!$A$1:$I$63,4,FALSE)</f>
        <v>24</v>
      </c>
      <c r="P24">
        <f>+VLOOKUP(A24,Tiempos!$A$1:$I$63,5,FALSE)</f>
        <v>24</v>
      </c>
      <c r="Q24">
        <f>+VLOOKUP(A24,Tiempos!$A$1:$I$63,6,FALSE)</f>
        <v>1</v>
      </c>
      <c r="R24">
        <f t="shared" si="6"/>
        <v>2.6003094999999998</v>
      </c>
      <c r="S24">
        <f>((O24*H24)/L24)*M24*1</f>
        <v>21.291768888888893</v>
      </c>
      <c r="T24">
        <f>((O24*H24)/L24)*N24</f>
        <v>21.287883851851856</v>
      </c>
      <c r="U24">
        <f>+SUM(R24:T25)</f>
        <v>76.242236720740749</v>
      </c>
      <c r="V24">
        <f>+U24/H24</f>
        <v>9.5302795900925937E-3</v>
      </c>
    </row>
    <row r="25" spans="1:23" x14ac:dyDescent="0.25">
      <c r="A25">
        <v>2310160480</v>
      </c>
      <c r="B25" t="s">
        <v>38</v>
      </c>
      <c r="C25">
        <v>2410290626</v>
      </c>
      <c r="D25" t="s">
        <v>92</v>
      </c>
      <c r="E25" t="s">
        <v>89</v>
      </c>
      <c r="F25">
        <v>7.12</v>
      </c>
      <c r="G25">
        <v>3</v>
      </c>
      <c r="H25">
        <v>8000</v>
      </c>
      <c r="I25">
        <f>+VLOOKUP(C25,Costos!$A$1:$I$7161,9,FALSE)</f>
        <v>4.362679</v>
      </c>
      <c r="J25" t="str">
        <f t="shared" si="4"/>
        <v>241</v>
      </c>
      <c r="K25">
        <f>++I25</f>
        <v>4.362679</v>
      </c>
      <c r="L25">
        <f>+VLOOKUP(A25,Tiempos!$A$1:$I$63,3,FALSE)</f>
        <v>86979.865771812067</v>
      </c>
      <c r="M25">
        <f>+VLOOKUP(A25,Tiempos!$A$1:$I$63,8,FALSE)</f>
        <v>9.6456</v>
      </c>
      <c r="N25">
        <f>+VLOOKUP(A25,Tiempos!$A$1:$I$63,9,FALSE)</f>
        <v>9.6438400000000009</v>
      </c>
      <c r="O25">
        <f>+VLOOKUP(A25,Tiempos!$A$1:$I$63,4,FALSE)</f>
        <v>24</v>
      </c>
      <c r="P25">
        <f>+VLOOKUP(A25,Tiempos!$A$1:$I$63,5,FALSE)</f>
        <v>24</v>
      </c>
      <c r="Q25">
        <f>+VLOOKUP(A25,Tiempos!$A$1:$I$63,6,FALSE)</f>
        <v>1</v>
      </c>
      <c r="R25">
        <f t="shared" si="6"/>
        <v>31.062274479999999</v>
      </c>
    </row>
    <row r="26" spans="1:23" x14ac:dyDescent="0.25">
      <c r="A26" t="s">
        <v>2</v>
      </c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4867</v>
      </c>
      <c r="I26" t="s">
        <v>10</v>
      </c>
      <c r="J26" t="s">
        <v>4854</v>
      </c>
      <c r="K26" t="s">
        <v>4864</v>
      </c>
      <c r="L26" t="s">
        <v>4866</v>
      </c>
      <c r="M26" t="s">
        <v>16</v>
      </c>
      <c r="N26" t="s">
        <v>17</v>
      </c>
      <c r="O26" t="s">
        <v>12</v>
      </c>
      <c r="P26" t="s">
        <v>13</v>
      </c>
      <c r="Q26" t="s">
        <v>14</v>
      </c>
      <c r="R26" t="s">
        <v>4861</v>
      </c>
      <c r="S26" t="s">
        <v>4860</v>
      </c>
      <c r="T26" t="s">
        <v>4862</v>
      </c>
      <c r="U26" t="s">
        <v>4863</v>
      </c>
      <c r="V26" t="s">
        <v>4865</v>
      </c>
    </row>
    <row r="27" spans="1:23" x14ac:dyDescent="0.25">
      <c r="A27">
        <v>2310180036</v>
      </c>
      <c r="B27" t="s">
        <v>42</v>
      </c>
      <c r="C27">
        <v>2430450001</v>
      </c>
      <c r="D27" t="s">
        <v>93</v>
      </c>
      <c r="E27" t="s">
        <v>89</v>
      </c>
      <c r="F27">
        <v>0.72</v>
      </c>
      <c r="G27">
        <v>3</v>
      </c>
      <c r="H27">
        <f>+$F$15</f>
        <v>7.2</v>
      </c>
      <c r="I27">
        <f>+VLOOKUP(C27,Costos!$A$1:$I$7161,9,FALSE)</f>
        <v>5.0953559999999998</v>
      </c>
      <c r="J27" t="str">
        <f t="shared" si="4"/>
        <v>243</v>
      </c>
      <c r="K27">
        <f>++I27</f>
        <v>5.0953559999999998</v>
      </c>
      <c r="L27">
        <f>+VLOOKUP(A27,Tiempos!$A$1:$I$63,3,FALSE)</f>
        <v>200</v>
      </c>
      <c r="M27">
        <f>+VLOOKUP(A27,Tiempos!$A$1:$I$63,8,FALSE)</f>
        <v>32.546500000000002</v>
      </c>
      <c r="N27">
        <f>+VLOOKUP(A27,Tiempos!$A$1:$I$63,9,FALSE)</f>
        <v>10.63879</v>
      </c>
      <c r="O27">
        <f>+VLOOKUP(A27,Tiempos!$A$1:$I$63,4,FALSE)</f>
        <v>4</v>
      </c>
      <c r="P27">
        <f>+VLOOKUP(A27,Tiempos!$A$1:$I$63,5,FALSE)</f>
        <v>4</v>
      </c>
      <c r="Q27">
        <f>+VLOOKUP(A27,Tiempos!$A$1:$I$63,6,FALSE)</f>
        <v>1</v>
      </c>
      <c r="R27">
        <f t="shared" si="6"/>
        <v>3.6686563199999997</v>
      </c>
      <c r="S27">
        <f>((O27*H27)/L27)*M27*1</f>
        <v>4.6866960000000004</v>
      </c>
      <c r="T27">
        <f>((O27*H27)/L27)*N27</f>
        <v>1.5319857600000002</v>
      </c>
      <c r="U27">
        <f>+SUM(R27:T32)</f>
        <v>94.735182717900003</v>
      </c>
      <c r="V27">
        <f>+U27/H27</f>
        <v>13.157664266375001</v>
      </c>
      <c r="W27">
        <f>+V27/7.2</f>
        <v>1.8274533703298612</v>
      </c>
    </row>
    <row r="28" spans="1:23" x14ac:dyDescent="0.25">
      <c r="A28">
        <v>2310180036</v>
      </c>
      <c r="B28" t="s">
        <v>42</v>
      </c>
      <c r="C28">
        <v>2310180048</v>
      </c>
      <c r="D28" t="s">
        <v>94</v>
      </c>
      <c r="E28" t="s">
        <v>89</v>
      </c>
      <c r="F28">
        <v>0.9</v>
      </c>
      <c r="G28">
        <v>3</v>
      </c>
      <c r="H28">
        <f t="shared" ref="H28:H32" si="7">+$F$15</f>
        <v>7.2</v>
      </c>
      <c r="I28">
        <f>+VLOOKUP(C28,Costos!$A$1:$I$7161,9,FALSE)</f>
        <v>2.7850670000000002</v>
      </c>
      <c r="J28" t="str">
        <f t="shared" si="4"/>
        <v>231</v>
      </c>
      <c r="K28">
        <f>+V35</f>
        <v>3.461923267</v>
      </c>
      <c r="L28">
        <f>+VLOOKUP(A28,Tiempos!$A$1:$I$63,3,FALSE)</f>
        <v>200</v>
      </c>
      <c r="M28">
        <f>+VLOOKUP(A28,Tiempos!$A$1:$I$63,8,FALSE)</f>
        <v>32.546500000000002</v>
      </c>
      <c r="N28">
        <f>+VLOOKUP(A28,Tiempos!$A$1:$I$63,9,FALSE)</f>
        <v>10.63879</v>
      </c>
      <c r="O28">
        <f>+VLOOKUP(A28,Tiempos!$A$1:$I$63,4,FALSE)</f>
        <v>4</v>
      </c>
      <c r="P28">
        <f>+VLOOKUP(A28,Tiempos!$A$1:$I$63,5,FALSE)</f>
        <v>4</v>
      </c>
      <c r="Q28">
        <f>+VLOOKUP(A28,Tiempos!$A$1:$I$63,6,FALSE)</f>
        <v>1</v>
      </c>
      <c r="R28">
        <f t="shared" si="6"/>
        <v>3.1157309403000002</v>
      </c>
    </row>
    <row r="29" spans="1:23" x14ac:dyDescent="0.25">
      <c r="A29">
        <v>2310180036</v>
      </c>
      <c r="B29" t="s">
        <v>42</v>
      </c>
      <c r="C29">
        <v>2410210003</v>
      </c>
      <c r="D29" t="s">
        <v>95</v>
      </c>
      <c r="E29" t="s">
        <v>89</v>
      </c>
      <c r="F29">
        <v>1.44</v>
      </c>
      <c r="G29">
        <v>3</v>
      </c>
      <c r="H29">
        <f t="shared" si="7"/>
        <v>7.2</v>
      </c>
      <c r="I29">
        <f>+VLOOKUP(C29,Costos!$A$1:$I$7161,9,FALSE)</f>
        <v>5.0519999999999996</v>
      </c>
      <c r="J29" t="str">
        <f t="shared" si="4"/>
        <v>241</v>
      </c>
      <c r="K29">
        <f>+I29</f>
        <v>5.0519999999999996</v>
      </c>
      <c r="L29">
        <f>+VLOOKUP(A29,Tiempos!$A$1:$I$63,3,FALSE)</f>
        <v>200</v>
      </c>
      <c r="M29">
        <f>+VLOOKUP(A29,Tiempos!$A$1:$I$63,8,FALSE)</f>
        <v>32.546500000000002</v>
      </c>
      <c r="N29">
        <f>+VLOOKUP(A29,Tiempos!$A$1:$I$63,9,FALSE)</f>
        <v>10.63879</v>
      </c>
      <c r="O29">
        <f>+VLOOKUP(A29,Tiempos!$A$1:$I$63,4,FALSE)</f>
        <v>4</v>
      </c>
      <c r="P29">
        <f>+VLOOKUP(A29,Tiempos!$A$1:$I$63,5,FALSE)</f>
        <v>4</v>
      </c>
      <c r="Q29">
        <f>+VLOOKUP(A29,Tiempos!$A$1:$I$63,6,FALSE)</f>
        <v>1</v>
      </c>
      <c r="R29">
        <f t="shared" si="6"/>
        <v>7.2748799999999996</v>
      </c>
    </row>
    <row r="30" spans="1:23" x14ac:dyDescent="0.25">
      <c r="A30">
        <v>2310180036</v>
      </c>
      <c r="B30" t="s">
        <v>42</v>
      </c>
      <c r="C30">
        <v>2410090267</v>
      </c>
      <c r="D30" t="s">
        <v>96</v>
      </c>
      <c r="E30" t="s">
        <v>89</v>
      </c>
      <c r="F30">
        <v>1.4E-3</v>
      </c>
      <c r="G30">
        <v>3</v>
      </c>
      <c r="H30">
        <f t="shared" si="7"/>
        <v>7.2</v>
      </c>
      <c r="I30">
        <f>+VLOOKUP(C30,Costos!$A$1:$I$7161,9,FALSE)</f>
        <v>125.553377</v>
      </c>
      <c r="J30" t="str">
        <f t="shared" si="4"/>
        <v>241</v>
      </c>
      <c r="K30">
        <f>+I30</f>
        <v>125.553377</v>
      </c>
      <c r="L30">
        <f>+VLOOKUP(A30,Tiempos!$A$1:$I$63,3,FALSE)</f>
        <v>200</v>
      </c>
      <c r="M30">
        <f>+VLOOKUP(A30,Tiempos!$A$1:$I$63,8,FALSE)</f>
        <v>32.546500000000002</v>
      </c>
      <c r="N30">
        <f>+VLOOKUP(A30,Tiempos!$A$1:$I$63,9,FALSE)</f>
        <v>10.63879</v>
      </c>
      <c r="O30">
        <f>+VLOOKUP(A30,Tiempos!$A$1:$I$63,4,FALSE)</f>
        <v>4</v>
      </c>
      <c r="P30">
        <f>+VLOOKUP(A30,Tiempos!$A$1:$I$63,5,FALSE)</f>
        <v>4</v>
      </c>
      <c r="Q30">
        <f>+VLOOKUP(A30,Tiempos!$A$1:$I$63,6,FALSE)</f>
        <v>1</v>
      </c>
      <c r="R30">
        <f t="shared" si="6"/>
        <v>0.1757747278</v>
      </c>
    </row>
    <row r="31" spans="1:23" x14ac:dyDescent="0.25">
      <c r="A31">
        <v>2310180036</v>
      </c>
      <c r="B31" t="s">
        <v>42</v>
      </c>
      <c r="C31">
        <v>2410090268</v>
      </c>
      <c r="D31" t="s">
        <v>97</v>
      </c>
      <c r="E31" t="s">
        <v>89</v>
      </c>
      <c r="F31">
        <v>0.23760000000000001</v>
      </c>
      <c r="G31">
        <v>3</v>
      </c>
      <c r="H31">
        <f t="shared" si="7"/>
        <v>7.2</v>
      </c>
      <c r="I31">
        <f>+VLOOKUP(C31,Costos!$A$1:$I$7161,9,FALSE)</f>
        <v>138.307931</v>
      </c>
      <c r="J31" t="str">
        <f t="shared" si="4"/>
        <v>241</v>
      </c>
      <c r="K31">
        <f>+I31</f>
        <v>138.307931</v>
      </c>
      <c r="L31">
        <f>+VLOOKUP(A31,Tiempos!$A$1:$I$63,3,FALSE)</f>
        <v>200</v>
      </c>
      <c r="M31">
        <f>+VLOOKUP(A31,Tiempos!$A$1:$I$63,8,FALSE)</f>
        <v>32.546500000000002</v>
      </c>
      <c r="N31">
        <f>+VLOOKUP(A31,Tiempos!$A$1:$I$63,9,FALSE)</f>
        <v>10.63879</v>
      </c>
      <c r="O31">
        <f>+VLOOKUP(A31,Tiempos!$A$1:$I$63,4,FALSE)</f>
        <v>4</v>
      </c>
      <c r="P31">
        <f>+VLOOKUP(A31,Tiempos!$A$1:$I$63,5,FALSE)</f>
        <v>4</v>
      </c>
      <c r="Q31">
        <f>+VLOOKUP(A31,Tiempos!$A$1:$I$63,6,FALSE)</f>
        <v>1</v>
      </c>
      <c r="R31">
        <f t="shared" si="6"/>
        <v>32.861964405599998</v>
      </c>
    </row>
    <row r="32" spans="1:23" x14ac:dyDescent="0.25">
      <c r="A32">
        <v>2310180036</v>
      </c>
      <c r="B32" t="s">
        <v>42</v>
      </c>
      <c r="C32">
        <v>2410090269</v>
      </c>
      <c r="D32" t="s">
        <v>98</v>
      </c>
      <c r="E32" t="s">
        <v>89</v>
      </c>
      <c r="F32">
        <v>0.12820000000000001</v>
      </c>
      <c r="G32">
        <v>3</v>
      </c>
      <c r="H32">
        <f t="shared" si="7"/>
        <v>7.2</v>
      </c>
      <c r="I32">
        <f>+VLOOKUP(C32,Costos!$A$1:$I$7161,9,FALSE)</f>
        <v>323.08498100000003</v>
      </c>
      <c r="J32" t="str">
        <f t="shared" si="4"/>
        <v>241</v>
      </c>
      <c r="K32">
        <f>+I32</f>
        <v>323.08498100000003</v>
      </c>
      <c r="L32">
        <f>+VLOOKUP(A32,Tiempos!$A$1:$I$63,3,FALSE)</f>
        <v>200</v>
      </c>
      <c r="M32">
        <f>+VLOOKUP(A32,Tiempos!$A$1:$I$63,8,FALSE)</f>
        <v>32.546500000000002</v>
      </c>
      <c r="N32">
        <f>+VLOOKUP(A32,Tiempos!$A$1:$I$63,9,FALSE)</f>
        <v>10.63879</v>
      </c>
      <c r="O32">
        <f>+VLOOKUP(A32,Tiempos!$A$1:$I$63,4,FALSE)</f>
        <v>4</v>
      </c>
      <c r="P32">
        <f>+VLOOKUP(A32,Tiempos!$A$1:$I$63,5,FALSE)</f>
        <v>4</v>
      </c>
      <c r="Q32">
        <f>+VLOOKUP(A32,Tiempos!$A$1:$I$63,6,FALSE)</f>
        <v>1</v>
      </c>
      <c r="R32">
        <f t="shared" si="6"/>
        <v>41.419494564200008</v>
      </c>
    </row>
    <row r="34" spans="1:22" x14ac:dyDescent="0.25">
      <c r="A34" t="s">
        <v>2</v>
      </c>
      <c r="B34" t="s">
        <v>3</v>
      </c>
      <c r="C34" t="s">
        <v>4</v>
      </c>
      <c r="D34" t="s">
        <v>5</v>
      </c>
      <c r="E34" t="s">
        <v>6</v>
      </c>
      <c r="F34" t="s">
        <v>7</v>
      </c>
      <c r="G34" t="s">
        <v>8</v>
      </c>
      <c r="H34" t="s">
        <v>4867</v>
      </c>
      <c r="I34" t="s">
        <v>10</v>
      </c>
      <c r="J34" t="s">
        <v>4854</v>
      </c>
      <c r="K34" t="s">
        <v>4864</v>
      </c>
      <c r="L34" t="s">
        <v>4866</v>
      </c>
      <c r="M34" t="s">
        <v>16</v>
      </c>
      <c r="N34" t="s">
        <v>17</v>
      </c>
      <c r="O34" t="s">
        <v>12</v>
      </c>
      <c r="P34" t="s">
        <v>13</v>
      </c>
      <c r="Q34" t="s">
        <v>14</v>
      </c>
      <c r="R34" t="s">
        <v>4861</v>
      </c>
      <c r="S34" t="s">
        <v>4860</v>
      </c>
      <c r="T34" t="s">
        <v>4862</v>
      </c>
      <c r="U34" t="s">
        <v>4863</v>
      </c>
      <c r="V34" t="s">
        <v>4865</v>
      </c>
    </row>
    <row r="35" spans="1:22" x14ac:dyDescent="0.25">
      <c r="A35">
        <v>2310180048</v>
      </c>
      <c r="B35" t="s">
        <v>94</v>
      </c>
      <c r="C35">
        <v>2410210019</v>
      </c>
      <c r="D35" t="s">
        <v>113</v>
      </c>
      <c r="E35" t="s">
        <v>89</v>
      </c>
      <c r="F35">
        <v>1.7999999999999999E-2</v>
      </c>
      <c r="G35">
        <v>4</v>
      </c>
      <c r="H35">
        <f>+$F$28</f>
        <v>0.9</v>
      </c>
      <c r="I35">
        <f>+VLOOKUP(C35,Costos!$A$1:$I$7161,9,FALSE)</f>
        <v>7.5043049999999996</v>
      </c>
      <c r="J35" t="str">
        <f t="shared" ref="J35:J37" si="8">+LEFT(C35,3)</f>
        <v>241</v>
      </c>
      <c r="L35">
        <f>+VLOOKUP(A35,Tiempos!$A$1:$I$63,3,FALSE)</f>
        <v>200</v>
      </c>
      <c r="M35">
        <f>+VLOOKUP(A35,Tiempos!$A$1:$I$63,8,FALSE)</f>
        <v>32.546500000000002</v>
      </c>
      <c r="N35">
        <f>+VLOOKUP(A35,Tiempos!$A$1:$I$63,9,FALSE)</f>
        <v>10.63879</v>
      </c>
      <c r="O35">
        <f>+VLOOKUP(A35,Tiempos!$A$1:$I$63,4,FALSE)</f>
        <v>4</v>
      </c>
      <c r="P35">
        <f>+VLOOKUP(A35,Tiempos!$A$1:$I$63,5,FALSE)</f>
        <v>4</v>
      </c>
      <c r="Q35">
        <f>+VLOOKUP(A35,Tiempos!$A$1:$I$63,6,FALSE)</f>
        <v>1</v>
      </c>
      <c r="R35">
        <f>+I35*F35</f>
        <v>0.13507748999999999</v>
      </c>
      <c r="S35">
        <f>((O35*H35)/L35)*M35*1</f>
        <v>0.58583700000000005</v>
      </c>
      <c r="T35">
        <f>((O35*H35)/L35)*N35</f>
        <v>0.19149822000000002</v>
      </c>
      <c r="U35">
        <f>+SUM(R35:T37)</f>
        <v>3.1157309403000002</v>
      </c>
      <c r="V35">
        <f>+U35/H35</f>
        <v>3.461923267</v>
      </c>
    </row>
    <row r="36" spans="1:22" x14ac:dyDescent="0.25">
      <c r="A36">
        <v>2310180048</v>
      </c>
      <c r="B36" t="s">
        <v>94</v>
      </c>
      <c r="C36">
        <v>2430930001</v>
      </c>
      <c r="D36" t="s">
        <v>114</v>
      </c>
      <c r="E36" t="s">
        <v>89</v>
      </c>
      <c r="F36">
        <v>0.45900000000000002</v>
      </c>
      <c r="G36">
        <v>4</v>
      </c>
      <c r="H36">
        <f>+$F$28</f>
        <v>0.9</v>
      </c>
      <c r="I36">
        <v>4.7685019999999998</v>
      </c>
      <c r="J36" t="str">
        <f t="shared" si="8"/>
        <v>243</v>
      </c>
      <c r="L36">
        <f>+VLOOKUP(A36,Tiempos!$A$1:$I$63,3,FALSE)</f>
        <v>200</v>
      </c>
      <c r="M36">
        <f>+VLOOKUP(A36,Tiempos!$A$1:$I$63,8,FALSE)</f>
        <v>32.546500000000002</v>
      </c>
      <c r="N36">
        <f>+VLOOKUP(A36,Tiempos!$A$1:$I$63,9,FALSE)</f>
        <v>10.63879</v>
      </c>
      <c r="O36">
        <f>+VLOOKUP(A36,Tiempos!$A$1:$I$63,4,FALSE)</f>
        <v>4</v>
      </c>
      <c r="P36">
        <f>+VLOOKUP(A36,Tiempos!$A$1:$I$63,5,FALSE)</f>
        <v>4</v>
      </c>
      <c r="Q36">
        <f>+VLOOKUP(A36,Tiempos!$A$1:$I$63,6,FALSE)</f>
        <v>1</v>
      </c>
      <c r="R36">
        <f>+I36*F36</f>
        <v>2.1887424179999999</v>
      </c>
    </row>
    <row r="37" spans="1:22" x14ac:dyDescent="0.25">
      <c r="A37">
        <v>2310180048</v>
      </c>
      <c r="B37" t="s">
        <v>94</v>
      </c>
      <c r="C37">
        <v>2430880022</v>
      </c>
      <c r="D37" t="s">
        <v>115</v>
      </c>
      <c r="E37" t="s">
        <v>89</v>
      </c>
      <c r="F37">
        <v>2.7000000000000001E-3</v>
      </c>
      <c r="G37">
        <v>4</v>
      </c>
      <c r="H37">
        <f>+$F$28</f>
        <v>0.9</v>
      </c>
      <c r="I37">
        <f>+VLOOKUP(C37,Costos!$A$1:$I$7161,9,FALSE)</f>
        <v>5.3984490000000003</v>
      </c>
      <c r="J37" t="str">
        <f t="shared" si="8"/>
        <v>243</v>
      </c>
      <c r="L37">
        <f>+VLOOKUP(A37,Tiempos!$A$1:$I$63,3,FALSE)</f>
        <v>200</v>
      </c>
      <c r="M37">
        <f>+VLOOKUP(A37,Tiempos!$A$1:$I$63,8,FALSE)</f>
        <v>32.546500000000002</v>
      </c>
      <c r="N37">
        <f>+VLOOKUP(A37,Tiempos!$A$1:$I$63,9,FALSE)</f>
        <v>10.63879</v>
      </c>
      <c r="O37">
        <f>+VLOOKUP(A37,Tiempos!$A$1:$I$63,4,FALSE)</f>
        <v>4</v>
      </c>
      <c r="P37">
        <f>+VLOOKUP(A37,Tiempos!$A$1:$I$63,5,FALSE)</f>
        <v>4</v>
      </c>
      <c r="Q37">
        <f>+VLOOKUP(A37,Tiempos!$A$1:$I$63,6,FALSE)</f>
        <v>1</v>
      </c>
      <c r="R37">
        <f>+I37*F37</f>
        <v>1.4575812300000001E-2</v>
      </c>
    </row>
    <row r="39" spans="1:22" x14ac:dyDescent="0.25">
      <c r="H39">
        <f>8000*3.32</f>
        <v>26560</v>
      </c>
    </row>
    <row r="40" spans="1:22" x14ac:dyDescent="0.25">
      <c r="H40">
        <f>+H39/1000</f>
        <v>26.56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F2A12-555A-441E-A076-6AE1D050A8EC}">
  <dimension ref="A1:O152"/>
  <sheetViews>
    <sheetView workbookViewId="0">
      <pane ySplit="1" topLeftCell="A2" activePane="bottomLeft" state="frozen"/>
      <selection pane="bottomLeft" activeCell="B18" sqref="B18:G18"/>
    </sheetView>
  </sheetViews>
  <sheetFormatPr baseColWidth="10" defaultRowHeight="15" x14ac:dyDescent="0.25"/>
  <cols>
    <col min="1" max="1" width="12.28515625" bestFit="1" customWidth="1"/>
    <col min="2" max="2" width="65" bestFit="1" customWidth="1"/>
    <col min="3" max="3" width="16.85546875" bestFit="1" customWidth="1"/>
    <col min="4" max="4" width="8.7109375" bestFit="1" customWidth="1"/>
    <col min="5" max="5" width="9.5703125" bestFit="1" customWidth="1"/>
    <col min="6" max="7" width="12" bestFit="1" customWidth="1"/>
    <col min="8" max="8" width="17.5703125" bestFit="1" customWidth="1"/>
    <col min="9" max="9" width="12.28515625" bestFit="1" customWidth="1"/>
    <col min="10" max="10" width="11.140625" bestFit="1" customWidth="1"/>
    <col min="11" max="11" width="9.140625" bestFit="1" customWidth="1"/>
    <col min="12" max="12" width="11.7109375" bestFit="1" customWidth="1"/>
    <col min="13" max="13" width="10.140625" bestFit="1" customWidth="1"/>
  </cols>
  <sheetData>
    <row r="1" spans="1:13" x14ac:dyDescent="0.25">
      <c r="A1" t="s">
        <v>11</v>
      </c>
      <c r="B1" t="s">
        <v>3</v>
      </c>
      <c r="C1" t="s">
        <v>9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4855</v>
      </c>
      <c r="K1" t="s">
        <v>4868</v>
      </c>
      <c r="L1" t="s">
        <v>4869</v>
      </c>
      <c r="M1" t="s">
        <v>4870</v>
      </c>
    </row>
    <row r="2" spans="1:13" x14ac:dyDescent="0.25">
      <c r="A2">
        <v>2110020095</v>
      </c>
      <c r="B2" t="s">
        <v>18</v>
      </c>
      <c r="C2">
        <v>8000</v>
      </c>
      <c r="D2">
        <f>6*12</f>
        <v>72</v>
      </c>
      <c r="E2">
        <v>12</v>
      </c>
      <c r="F2">
        <v>6</v>
      </c>
      <c r="G2" t="s">
        <v>4675</v>
      </c>
      <c r="H2" s="4">
        <v>172.78649999999999</v>
      </c>
      <c r="I2" s="4">
        <v>9.1811199999999999</v>
      </c>
      <c r="J2" t="s">
        <v>4856</v>
      </c>
    </row>
    <row r="3" spans="1:13" x14ac:dyDescent="0.25">
      <c r="A3">
        <v>2310210127</v>
      </c>
      <c r="B3" t="s">
        <v>19</v>
      </c>
      <c r="C3">
        <v>50000</v>
      </c>
      <c r="D3">
        <v>12</v>
      </c>
      <c r="E3">
        <v>12</v>
      </c>
      <c r="F3">
        <v>1</v>
      </c>
      <c r="G3" t="s">
        <v>4683</v>
      </c>
      <c r="H3" s="4">
        <v>128.5658</v>
      </c>
      <c r="I3" s="4">
        <v>11.9658</v>
      </c>
      <c r="J3" t="s">
        <v>4857</v>
      </c>
    </row>
    <row r="4" spans="1:13" x14ac:dyDescent="0.25">
      <c r="A4">
        <v>2310210128</v>
      </c>
      <c r="B4" t="s">
        <v>21</v>
      </c>
      <c r="C4">
        <v>50000</v>
      </c>
      <c r="D4">
        <v>12</v>
      </c>
      <c r="E4">
        <v>12</v>
      </c>
      <c r="F4">
        <v>1</v>
      </c>
      <c r="G4" t="s">
        <v>4683</v>
      </c>
      <c r="H4" s="4">
        <v>128.5658</v>
      </c>
      <c r="I4" s="4">
        <v>11.9658</v>
      </c>
      <c r="J4" t="s">
        <v>4857</v>
      </c>
    </row>
    <row r="5" spans="1:13" x14ac:dyDescent="0.25">
      <c r="A5">
        <v>2310210129</v>
      </c>
      <c r="B5" t="s">
        <v>22</v>
      </c>
      <c r="C5">
        <v>50000</v>
      </c>
      <c r="D5">
        <v>12</v>
      </c>
      <c r="E5">
        <v>12</v>
      </c>
      <c r="F5">
        <v>1</v>
      </c>
      <c r="G5" t="s">
        <v>4683</v>
      </c>
      <c r="H5" s="4">
        <v>128.5658</v>
      </c>
      <c r="I5" s="4">
        <v>11.9658</v>
      </c>
      <c r="J5" t="s">
        <v>4857</v>
      </c>
    </row>
    <row r="6" spans="1:13" x14ac:dyDescent="0.25">
      <c r="A6">
        <v>2310210130</v>
      </c>
      <c r="B6" t="s">
        <v>23</v>
      </c>
      <c r="C6">
        <v>50000</v>
      </c>
      <c r="D6">
        <v>12</v>
      </c>
      <c r="E6">
        <v>12</v>
      </c>
      <c r="F6">
        <v>1</v>
      </c>
      <c r="G6" t="s">
        <v>4683</v>
      </c>
      <c r="H6" s="4">
        <v>128.5658</v>
      </c>
      <c r="I6" s="4">
        <v>11.9658</v>
      </c>
      <c r="J6" t="s">
        <v>4857</v>
      </c>
    </row>
    <row r="7" spans="1:13" x14ac:dyDescent="0.25">
      <c r="A7">
        <v>2310210131</v>
      </c>
      <c r="B7" t="s">
        <v>24</v>
      </c>
      <c r="C7">
        <v>50000</v>
      </c>
      <c r="D7">
        <v>12</v>
      </c>
      <c r="E7">
        <v>12</v>
      </c>
      <c r="F7">
        <v>1</v>
      </c>
      <c r="G7" t="s">
        <v>4683</v>
      </c>
      <c r="H7" s="4">
        <v>128.5658</v>
      </c>
      <c r="I7" s="4">
        <v>11.9658</v>
      </c>
      <c r="J7" t="s">
        <v>4857</v>
      </c>
    </row>
    <row r="8" spans="1:13" x14ac:dyDescent="0.25">
      <c r="A8">
        <v>2310210132</v>
      </c>
      <c r="B8" t="s">
        <v>25</v>
      </c>
      <c r="C8">
        <v>50000</v>
      </c>
      <c r="D8">
        <v>12</v>
      </c>
      <c r="E8">
        <v>12</v>
      </c>
      <c r="F8">
        <v>1</v>
      </c>
      <c r="G8" t="s">
        <v>4683</v>
      </c>
      <c r="H8" s="4">
        <v>128.5658</v>
      </c>
      <c r="I8" s="4">
        <v>11.9658</v>
      </c>
      <c r="J8" t="s">
        <v>4857</v>
      </c>
    </row>
    <row r="9" spans="1:13" x14ac:dyDescent="0.25">
      <c r="A9">
        <v>2310210133</v>
      </c>
      <c r="B9" t="s">
        <v>26</v>
      </c>
      <c r="C9">
        <v>50000</v>
      </c>
      <c r="D9">
        <v>12</v>
      </c>
      <c r="E9">
        <v>12</v>
      </c>
      <c r="F9">
        <v>1</v>
      </c>
      <c r="G9" t="s">
        <v>4683</v>
      </c>
      <c r="H9" s="4">
        <v>128.5658</v>
      </c>
      <c r="I9" s="4">
        <v>11.9658</v>
      </c>
      <c r="J9" t="s">
        <v>4857</v>
      </c>
    </row>
    <row r="10" spans="1:13" x14ac:dyDescent="0.25">
      <c r="A10">
        <v>2310210134</v>
      </c>
      <c r="B10" t="s">
        <v>27</v>
      </c>
      <c r="C10">
        <v>50000</v>
      </c>
      <c r="D10">
        <v>12</v>
      </c>
      <c r="E10">
        <v>12</v>
      </c>
      <c r="F10">
        <v>1</v>
      </c>
      <c r="G10" t="s">
        <v>4683</v>
      </c>
      <c r="H10" s="4">
        <v>128.5658</v>
      </c>
      <c r="I10" s="4">
        <v>11.9658</v>
      </c>
      <c r="J10" t="s">
        <v>4857</v>
      </c>
    </row>
    <row r="11" spans="1:13" x14ac:dyDescent="0.25">
      <c r="A11">
        <v>2310210135</v>
      </c>
      <c r="B11" t="s">
        <v>28</v>
      </c>
      <c r="C11">
        <v>50000</v>
      </c>
      <c r="D11">
        <v>12</v>
      </c>
      <c r="E11">
        <v>12</v>
      </c>
      <c r="F11">
        <v>1</v>
      </c>
      <c r="G11" t="s">
        <v>4683</v>
      </c>
      <c r="H11" s="4">
        <v>128.5658</v>
      </c>
      <c r="I11" s="4">
        <v>11.9658</v>
      </c>
      <c r="J11" t="s">
        <v>4857</v>
      </c>
    </row>
    <row r="12" spans="1:13" x14ac:dyDescent="0.25">
      <c r="A12">
        <v>2310210136</v>
      </c>
      <c r="B12" t="s">
        <v>29</v>
      </c>
      <c r="C12">
        <v>50000</v>
      </c>
      <c r="D12">
        <v>12</v>
      </c>
      <c r="E12">
        <v>12</v>
      </c>
      <c r="F12">
        <v>1</v>
      </c>
      <c r="G12" t="s">
        <v>4683</v>
      </c>
      <c r="H12" s="4">
        <v>128.5658</v>
      </c>
      <c r="I12" s="4">
        <v>11.9658</v>
      </c>
      <c r="J12" t="s">
        <v>4857</v>
      </c>
    </row>
    <row r="13" spans="1:13" x14ac:dyDescent="0.25">
      <c r="A13">
        <v>2310210137</v>
      </c>
      <c r="B13" t="s">
        <v>30</v>
      </c>
      <c r="C13">
        <v>50000</v>
      </c>
      <c r="D13">
        <v>12</v>
      </c>
      <c r="E13">
        <v>12</v>
      </c>
      <c r="F13">
        <v>1</v>
      </c>
      <c r="G13" t="s">
        <v>4683</v>
      </c>
      <c r="H13" s="4">
        <v>128.5658</v>
      </c>
      <c r="I13" s="4">
        <v>11.9658</v>
      </c>
      <c r="J13" t="s">
        <v>4857</v>
      </c>
    </row>
    <row r="14" spans="1:13" x14ac:dyDescent="0.25">
      <c r="A14">
        <v>2310210138</v>
      </c>
      <c r="B14" t="s">
        <v>31</v>
      </c>
      <c r="C14">
        <v>50000</v>
      </c>
      <c r="D14">
        <v>12</v>
      </c>
      <c r="E14">
        <v>12</v>
      </c>
      <c r="F14">
        <v>1</v>
      </c>
      <c r="G14" t="s">
        <v>4683</v>
      </c>
      <c r="H14" s="4">
        <v>128.5658</v>
      </c>
      <c r="I14" s="4">
        <v>11.9658</v>
      </c>
      <c r="J14" t="s">
        <v>4857</v>
      </c>
    </row>
    <row r="15" spans="1:13" x14ac:dyDescent="0.25">
      <c r="A15">
        <v>2310090439</v>
      </c>
      <c r="B15" t="s">
        <v>35</v>
      </c>
      <c r="C15" s="4">
        <f>+(3600/K15)*L15*24</f>
        <v>98742.857142857159</v>
      </c>
      <c r="D15">
        <v>24</v>
      </c>
      <c r="E15">
        <v>24</v>
      </c>
      <c r="F15">
        <v>2</v>
      </c>
      <c r="G15" t="s">
        <v>4828</v>
      </c>
      <c r="H15" s="4">
        <v>37.881599999999999</v>
      </c>
      <c r="I15" s="4">
        <v>9.8240499999999997</v>
      </c>
      <c r="J15" t="s">
        <v>4858</v>
      </c>
      <c r="K15">
        <v>24.5</v>
      </c>
      <c r="L15">
        <v>28</v>
      </c>
      <c r="M15">
        <v>32</v>
      </c>
    </row>
    <row r="16" spans="1:13" x14ac:dyDescent="0.25">
      <c r="A16">
        <v>2310160468</v>
      </c>
      <c r="B16" t="s">
        <v>37</v>
      </c>
      <c r="C16" s="4">
        <f>+(3600/K16)*L16*24</f>
        <v>96000</v>
      </c>
      <c r="D16">
        <v>24</v>
      </c>
      <c r="E16">
        <v>24</v>
      </c>
      <c r="F16">
        <v>1</v>
      </c>
      <c r="G16" t="s">
        <v>4836</v>
      </c>
      <c r="H16" s="4">
        <v>7.1628999999999996</v>
      </c>
      <c r="I16" s="4">
        <v>9.6438400000000009</v>
      </c>
      <c r="J16" t="s">
        <v>4858</v>
      </c>
      <c r="K16">
        <v>21.6</v>
      </c>
      <c r="L16">
        <v>24</v>
      </c>
      <c r="M16">
        <v>24</v>
      </c>
    </row>
    <row r="17" spans="1:13" x14ac:dyDescent="0.25">
      <c r="A17">
        <v>2310160480</v>
      </c>
      <c r="B17" t="s">
        <v>38</v>
      </c>
      <c r="C17" s="4">
        <f>+(3600/K17)*L17*24</f>
        <v>86979.865771812067</v>
      </c>
      <c r="D17">
        <v>24</v>
      </c>
      <c r="E17">
        <v>24</v>
      </c>
      <c r="F17">
        <v>1</v>
      </c>
      <c r="G17" t="s">
        <v>4840</v>
      </c>
      <c r="H17" s="4">
        <v>9.6456</v>
      </c>
      <c r="I17" s="4">
        <v>9.6438400000000009</v>
      </c>
      <c r="J17" t="s">
        <v>4858</v>
      </c>
      <c r="K17">
        <v>29.8</v>
      </c>
      <c r="L17">
        <v>30</v>
      </c>
      <c r="M17">
        <v>32</v>
      </c>
    </row>
    <row r="18" spans="1:13" x14ac:dyDescent="0.25">
      <c r="A18">
        <v>2310180036</v>
      </c>
      <c r="B18" t="s">
        <v>42</v>
      </c>
      <c r="C18">
        <v>200</v>
      </c>
      <c r="D18">
        <v>4</v>
      </c>
      <c r="E18">
        <v>4</v>
      </c>
      <c r="F18">
        <v>1</v>
      </c>
      <c r="G18" t="s">
        <v>4756</v>
      </c>
      <c r="H18" s="4">
        <v>32.546500000000002</v>
      </c>
      <c r="I18" s="4">
        <v>10.63879</v>
      </c>
      <c r="J18" t="s">
        <v>4859</v>
      </c>
    </row>
    <row r="19" spans="1:13" x14ac:dyDescent="0.25">
      <c r="A19">
        <v>2310090441</v>
      </c>
      <c r="B19" t="s">
        <v>43</v>
      </c>
      <c r="C19" s="4">
        <f>+(3600/K19)*L19*24</f>
        <v>98742.857142857159</v>
      </c>
      <c r="D19">
        <v>24</v>
      </c>
      <c r="E19">
        <v>24</v>
      </c>
      <c r="F19">
        <v>2</v>
      </c>
      <c r="G19" t="s">
        <v>4828</v>
      </c>
      <c r="H19" s="4">
        <v>37.881599999999999</v>
      </c>
      <c r="I19" s="4">
        <v>9.8240499999999997</v>
      </c>
      <c r="J19" t="s">
        <v>4858</v>
      </c>
      <c r="K19">
        <v>24.5</v>
      </c>
      <c r="L19">
        <v>28</v>
      </c>
      <c r="M19">
        <v>32</v>
      </c>
    </row>
    <row r="20" spans="1:13" x14ac:dyDescent="0.25">
      <c r="A20">
        <v>2310160470</v>
      </c>
      <c r="B20" t="s">
        <v>44</v>
      </c>
      <c r="C20" s="4">
        <f>+(3600/K20)*L20*24</f>
        <v>96000</v>
      </c>
      <c r="D20">
        <v>24</v>
      </c>
      <c r="E20">
        <v>24</v>
      </c>
      <c r="F20">
        <v>1</v>
      </c>
      <c r="G20" t="s">
        <v>4836</v>
      </c>
      <c r="H20" s="4">
        <v>7.1628999999999996</v>
      </c>
      <c r="I20" s="4">
        <v>9.6438400000000009</v>
      </c>
      <c r="J20" t="s">
        <v>4858</v>
      </c>
      <c r="K20">
        <v>21.6</v>
      </c>
      <c r="L20">
        <v>24</v>
      </c>
      <c r="M20">
        <v>24</v>
      </c>
    </row>
    <row r="21" spans="1:13" x14ac:dyDescent="0.25">
      <c r="A21">
        <v>2310160482</v>
      </c>
      <c r="B21" t="s">
        <v>45</v>
      </c>
      <c r="C21" s="4">
        <f>+(3600/K21)*L21*24</f>
        <v>86979.865771812067</v>
      </c>
      <c r="D21">
        <v>24</v>
      </c>
      <c r="E21">
        <v>24</v>
      </c>
      <c r="F21">
        <v>1</v>
      </c>
      <c r="G21" t="s">
        <v>4840</v>
      </c>
      <c r="H21" s="4">
        <v>9.6456</v>
      </c>
      <c r="I21" s="4">
        <v>9.6438400000000009</v>
      </c>
      <c r="J21" t="s">
        <v>4858</v>
      </c>
      <c r="K21">
        <v>29.8</v>
      </c>
      <c r="L21">
        <v>30</v>
      </c>
      <c r="M21">
        <v>32</v>
      </c>
    </row>
    <row r="22" spans="1:13" x14ac:dyDescent="0.25">
      <c r="A22">
        <v>2310180042</v>
      </c>
      <c r="B22" t="s">
        <v>46</v>
      </c>
      <c r="C22">
        <v>200</v>
      </c>
      <c r="D22">
        <v>4</v>
      </c>
      <c r="E22">
        <v>4</v>
      </c>
      <c r="F22">
        <v>1</v>
      </c>
      <c r="G22" t="s">
        <v>4756</v>
      </c>
      <c r="H22" s="4">
        <v>32.546500000000002</v>
      </c>
      <c r="I22" s="4">
        <v>10.63879</v>
      </c>
      <c r="J22" t="s">
        <v>4859</v>
      </c>
    </row>
    <row r="23" spans="1:13" x14ac:dyDescent="0.25">
      <c r="A23">
        <v>2310090440</v>
      </c>
      <c r="B23" t="s">
        <v>47</v>
      </c>
      <c r="C23" s="4">
        <f>+(3600/K23)*L23*24</f>
        <v>98742.857142857159</v>
      </c>
      <c r="D23">
        <v>24</v>
      </c>
      <c r="E23">
        <v>24</v>
      </c>
      <c r="F23">
        <v>2</v>
      </c>
      <c r="G23" t="s">
        <v>4828</v>
      </c>
      <c r="H23" s="4">
        <v>37.881599999999999</v>
      </c>
      <c r="I23" s="4">
        <v>9.8240499999999997</v>
      </c>
      <c r="J23" t="s">
        <v>4858</v>
      </c>
      <c r="K23">
        <v>24.5</v>
      </c>
      <c r="L23">
        <v>28</v>
      </c>
      <c r="M23">
        <v>32</v>
      </c>
    </row>
    <row r="24" spans="1:13" x14ac:dyDescent="0.25">
      <c r="A24">
        <v>2310160469</v>
      </c>
      <c r="B24" t="s">
        <v>48</v>
      </c>
      <c r="C24" s="4">
        <f>+(3600/K24)*L24*24</f>
        <v>96000</v>
      </c>
      <c r="D24">
        <v>24</v>
      </c>
      <c r="E24">
        <v>24</v>
      </c>
      <c r="F24">
        <v>1</v>
      </c>
      <c r="G24" t="s">
        <v>4836</v>
      </c>
      <c r="H24" s="4">
        <v>7.1628999999999996</v>
      </c>
      <c r="I24" s="4">
        <v>9.6438400000000009</v>
      </c>
      <c r="J24" t="s">
        <v>4858</v>
      </c>
      <c r="K24">
        <v>21.6</v>
      </c>
      <c r="L24">
        <v>24</v>
      </c>
      <c r="M24">
        <v>24</v>
      </c>
    </row>
    <row r="25" spans="1:13" x14ac:dyDescent="0.25">
      <c r="A25">
        <v>2310160481</v>
      </c>
      <c r="B25" t="s">
        <v>49</v>
      </c>
      <c r="C25" s="4">
        <f>+(3600/K25)*L25*24</f>
        <v>86979.865771812067</v>
      </c>
      <c r="D25">
        <v>24</v>
      </c>
      <c r="E25">
        <v>24</v>
      </c>
      <c r="F25">
        <v>1</v>
      </c>
      <c r="G25" t="s">
        <v>4840</v>
      </c>
      <c r="H25" s="4">
        <v>9.6456</v>
      </c>
      <c r="I25" s="4">
        <v>9.6438400000000009</v>
      </c>
      <c r="J25" t="s">
        <v>4858</v>
      </c>
      <c r="K25">
        <v>29.8</v>
      </c>
      <c r="L25">
        <v>30</v>
      </c>
      <c r="M25">
        <v>32</v>
      </c>
    </row>
    <row r="26" spans="1:13" x14ac:dyDescent="0.25">
      <c r="A26">
        <v>2310180041</v>
      </c>
      <c r="B26" t="s">
        <v>50</v>
      </c>
      <c r="C26">
        <v>200</v>
      </c>
      <c r="D26">
        <v>4</v>
      </c>
      <c r="E26">
        <v>4</v>
      </c>
      <c r="F26">
        <v>1</v>
      </c>
      <c r="G26" t="s">
        <v>4756</v>
      </c>
      <c r="H26" s="4">
        <v>32.546500000000002</v>
      </c>
      <c r="I26" s="4">
        <v>10.63879</v>
      </c>
      <c r="J26" t="s">
        <v>4859</v>
      </c>
    </row>
    <row r="27" spans="1:13" x14ac:dyDescent="0.25">
      <c r="A27">
        <v>2310090442</v>
      </c>
      <c r="B27" t="s">
        <v>51</v>
      </c>
      <c r="C27" s="4">
        <f>+(3600/K27)*L27*24</f>
        <v>98742.857142857159</v>
      </c>
      <c r="D27">
        <v>24</v>
      </c>
      <c r="E27">
        <v>24</v>
      </c>
      <c r="F27">
        <v>2</v>
      </c>
      <c r="G27" t="s">
        <v>4828</v>
      </c>
      <c r="H27" s="4">
        <v>37.881599999999999</v>
      </c>
      <c r="I27" s="4">
        <v>9.8240499999999997</v>
      </c>
      <c r="J27" t="s">
        <v>4858</v>
      </c>
      <c r="K27">
        <v>24.5</v>
      </c>
      <c r="L27">
        <v>28</v>
      </c>
      <c r="M27">
        <v>32</v>
      </c>
    </row>
    <row r="28" spans="1:13" x14ac:dyDescent="0.25">
      <c r="A28">
        <v>2310160471</v>
      </c>
      <c r="B28" t="s">
        <v>52</v>
      </c>
      <c r="C28" s="4">
        <f>+(3600/K28)*L28*24</f>
        <v>96000</v>
      </c>
      <c r="D28">
        <v>24</v>
      </c>
      <c r="E28">
        <v>24</v>
      </c>
      <c r="F28">
        <v>1</v>
      </c>
      <c r="G28" t="s">
        <v>4836</v>
      </c>
      <c r="H28" s="4">
        <v>7.1628999999999996</v>
      </c>
      <c r="I28" s="4">
        <v>9.6438400000000009</v>
      </c>
      <c r="J28" t="s">
        <v>4858</v>
      </c>
      <c r="K28">
        <v>21.6</v>
      </c>
      <c r="L28">
        <v>24</v>
      </c>
      <c r="M28">
        <v>24</v>
      </c>
    </row>
    <row r="29" spans="1:13" x14ac:dyDescent="0.25">
      <c r="A29">
        <v>2310160483</v>
      </c>
      <c r="B29" t="s">
        <v>53</v>
      </c>
      <c r="C29" s="4">
        <f>+(3600/K29)*L29*24</f>
        <v>86979.865771812067</v>
      </c>
      <c r="D29">
        <v>24</v>
      </c>
      <c r="E29">
        <v>24</v>
      </c>
      <c r="F29">
        <v>1</v>
      </c>
      <c r="G29" t="s">
        <v>4840</v>
      </c>
      <c r="H29" s="4">
        <v>9.6456</v>
      </c>
      <c r="I29" s="4">
        <v>9.6438400000000009</v>
      </c>
      <c r="J29" t="s">
        <v>4858</v>
      </c>
      <c r="K29">
        <v>29.8</v>
      </c>
      <c r="L29">
        <v>30</v>
      </c>
      <c r="M29">
        <v>32</v>
      </c>
    </row>
    <row r="30" spans="1:13" x14ac:dyDescent="0.25">
      <c r="A30">
        <v>2310180044</v>
      </c>
      <c r="B30" t="s">
        <v>54</v>
      </c>
      <c r="C30">
        <v>200</v>
      </c>
      <c r="D30">
        <v>4</v>
      </c>
      <c r="E30">
        <v>4</v>
      </c>
      <c r="F30">
        <v>1</v>
      </c>
      <c r="G30" t="s">
        <v>4756</v>
      </c>
      <c r="H30" s="4">
        <v>32.546500000000002</v>
      </c>
      <c r="I30" s="4">
        <v>10.63879</v>
      </c>
      <c r="J30" t="s">
        <v>4859</v>
      </c>
    </row>
    <row r="31" spans="1:13" x14ac:dyDescent="0.25">
      <c r="A31">
        <v>2310090443</v>
      </c>
      <c r="B31" t="s">
        <v>55</v>
      </c>
      <c r="C31" s="4">
        <f>+(3600/K31)*L31*24</f>
        <v>98742.857142857159</v>
      </c>
      <c r="D31">
        <v>24</v>
      </c>
      <c r="E31">
        <v>24</v>
      </c>
      <c r="F31">
        <v>2</v>
      </c>
      <c r="G31" t="s">
        <v>4828</v>
      </c>
      <c r="H31" s="4">
        <v>37.881599999999999</v>
      </c>
      <c r="I31" s="4">
        <v>9.8240499999999997</v>
      </c>
      <c r="J31" t="s">
        <v>4858</v>
      </c>
      <c r="K31">
        <v>24.5</v>
      </c>
      <c r="L31">
        <v>28</v>
      </c>
      <c r="M31">
        <v>32</v>
      </c>
    </row>
    <row r="32" spans="1:13" x14ac:dyDescent="0.25">
      <c r="A32">
        <v>2310160472</v>
      </c>
      <c r="B32" t="s">
        <v>56</v>
      </c>
      <c r="C32" s="4">
        <f>+(3600/K32)*L32*24</f>
        <v>96000</v>
      </c>
      <c r="D32">
        <v>24</v>
      </c>
      <c r="E32">
        <v>24</v>
      </c>
      <c r="F32">
        <v>1</v>
      </c>
      <c r="G32" t="s">
        <v>4836</v>
      </c>
      <c r="H32" s="4">
        <v>7.1628999999999996</v>
      </c>
      <c r="I32" s="4">
        <v>9.6438400000000009</v>
      </c>
      <c r="J32" t="s">
        <v>4858</v>
      </c>
      <c r="K32">
        <v>21.6</v>
      </c>
      <c r="L32">
        <v>24</v>
      </c>
      <c r="M32">
        <v>24</v>
      </c>
    </row>
    <row r="33" spans="1:13" x14ac:dyDescent="0.25">
      <c r="A33">
        <v>2310160484</v>
      </c>
      <c r="B33" t="s">
        <v>57</v>
      </c>
      <c r="C33" s="4">
        <f>+(3600/K33)*L33*24</f>
        <v>86979.865771812067</v>
      </c>
      <c r="D33">
        <v>24</v>
      </c>
      <c r="E33">
        <v>24</v>
      </c>
      <c r="F33">
        <v>1</v>
      </c>
      <c r="G33" t="s">
        <v>4840</v>
      </c>
      <c r="H33" s="4">
        <v>9.6456</v>
      </c>
      <c r="I33" s="4">
        <v>9.6438400000000009</v>
      </c>
      <c r="J33" t="s">
        <v>4858</v>
      </c>
      <c r="K33">
        <v>29.8</v>
      </c>
      <c r="L33">
        <v>30</v>
      </c>
      <c r="M33">
        <v>32</v>
      </c>
    </row>
    <row r="34" spans="1:13" x14ac:dyDescent="0.25">
      <c r="A34">
        <v>2310180035</v>
      </c>
      <c r="B34" t="s">
        <v>58</v>
      </c>
      <c r="C34">
        <v>200</v>
      </c>
      <c r="D34">
        <v>4</v>
      </c>
      <c r="E34">
        <v>4</v>
      </c>
      <c r="F34">
        <v>1</v>
      </c>
      <c r="G34" t="s">
        <v>4756</v>
      </c>
      <c r="H34" s="4">
        <v>32.546500000000002</v>
      </c>
      <c r="I34" s="4">
        <v>10.63879</v>
      </c>
      <c r="J34" t="s">
        <v>4859</v>
      </c>
    </row>
    <row r="35" spans="1:13" x14ac:dyDescent="0.25">
      <c r="A35">
        <v>2310090444</v>
      </c>
      <c r="B35" t="s">
        <v>59</v>
      </c>
      <c r="C35" s="4">
        <f>+(3600/K35)*L35*24</f>
        <v>98742.857142857159</v>
      </c>
      <c r="D35">
        <v>24</v>
      </c>
      <c r="E35">
        <v>24</v>
      </c>
      <c r="F35">
        <v>2</v>
      </c>
      <c r="G35" t="s">
        <v>4828</v>
      </c>
      <c r="H35" s="4">
        <v>37.881599999999999</v>
      </c>
      <c r="I35" s="4">
        <v>9.8240499999999997</v>
      </c>
      <c r="J35" t="s">
        <v>4858</v>
      </c>
      <c r="K35">
        <v>24.5</v>
      </c>
      <c r="L35">
        <v>28</v>
      </c>
      <c r="M35">
        <v>32</v>
      </c>
    </row>
    <row r="36" spans="1:13" x14ac:dyDescent="0.25">
      <c r="A36">
        <v>2310160473</v>
      </c>
      <c r="B36" t="s">
        <v>60</v>
      </c>
      <c r="C36" s="4">
        <f>+(3600/K36)*L36*24</f>
        <v>96000</v>
      </c>
      <c r="D36">
        <v>24</v>
      </c>
      <c r="E36">
        <v>24</v>
      </c>
      <c r="F36">
        <v>1</v>
      </c>
      <c r="G36" t="s">
        <v>4836</v>
      </c>
      <c r="H36" s="4">
        <v>7.1628999999999996</v>
      </c>
      <c r="I36" s="4">
        <v>9.6438400000000009</v>
      </c>
      <c r="J36" t="s">
        <v>4858</v>
      </c>
      <c r="K36">
        <v>21.6</v>
      </c>
      <c r="L36">
        <v>24</v>
      </c>
      <c r="M36">
        <v>24</v>
      </c>
    </row>
    <row r="37" spans="1:13" x14ac:dyDescent="0.25">
      <c r="A37">
        <v>2310160485</v>
      </c>
      <c r="B37" t="s">
        <v>61</v>
      </c>
      <c r="C37" s="4">
        <f>+(3600/K37)*L37*24</f>
        <v>86979.865771812067</v>
      </c>
      <c r="D37">
        <v>24</v>
      </c>
      <c r="E37">
        <v>24</v>
      </c>
      <c r="F37">
        <v>1</v>
      </c>
      <c r="G37" t="s">
        <v>4840</v>
      </c>
      <c r="H37" s="4">
        <v>9.6456</v>
      </c>
      <c r="I37" s="4">
        <v>9.6438400000000009</v>
      </c>
      <c r="J37" t="s">
        <v>4858</v>
      </c>
      <c r="K37">
        <v>29.8</v>
      </c>
      <c r="L37">
        <v>30</v>
      </c>
      <c r="M37">
        <v>32</v>
      </c>
    </row>
    <row r="38" spans="1:13" x14ac:dyDescent="0.25">
      <c r="A38">
        <v>2310180039</v>
      </c>
      <c r="B38" t="s">
        <v>62</v>
      </c>
      <c r="C38">
        <v>200</v>
      </c>
      <c r="D38">
        <v>4</v>
      </c>
      <c r="E38">
        <v>4</v>
      </c>
      <c r="F38">
        <v>1</v>
      </c>
      <c r="G38" t="s">
        <v>4756</v>
      </c>
      <c r="H38" s="4">
        <v>32.546500000000002</v>
      </c>
      <c r="I38" s="4">
        <v>10.63879</v>
      </c>
      <c r="J38" t="s">
        <v>4859</v>
      </c>
    </row>
    <row r="39" spans="1:13" x14ac:dyDescent="0.25">
      <c r="A39">
        <v>2310090447</v>
      </c>
      <c r="B39" t="s">
        <v>63</v>
      </c>
      <c r="C39" s="4">
        <f>+(3600/K39)*L39*24</f>
        <v>98742.857142857159</v>
      </c>
      <c r="D39">
        <v>24</v>
      </c>
      <c r="E39">
        <v>24</v>
      </c>
      <c r="F39">
        <v>2</v>
      </c>
      <c r="G39" t="s">
        <v>4828</v>
      </c>
      <c r="H39" s="4">
        <v>37.881599999999999</v>
      </c>
      <c r="I39" s="4">
        <v>9.8240499999999997</v>
      </c>
      <c r="J39" t="s">
        <v>4858</v>
      </c>
      <c r="K39">
        <v>24.5</v>
      </c>
      <c r="L39">
        <v>28</v>
      </c>
      <c r="M39">
        <v>32</v>
      </c>
    </row>
    <row r="40" spans="1:13" x14ac:dyDescent="0.25">
      <c r="A40">
        <v>2310160476</v>
      </c>
      <c r="B40" t="s">
        <v>64</v>
      </c>
      <c r="C40" s="4">
        <f>+(3600/K40)*L40*24</f>
        <v>96000</v>
      </c>
      <c r="D40">
        <v>24</v>
      </c>
      <c r="E40">
        <v>24</v>
      </c>
      <c r="F40">
        <v>1</v>
      </c>
      <c r="G40" t="s">
        <v>4836</v>
      </c>
      <c r="H40" s="4">
        <v>7.1628999999999996</v>
      </c>
      <c r="I40" s="4">
        <v>9.6438400000000009</v>
      </c>
      <c r="J40" t="s">
        <v>4858</v>
      </c>
      <c r="K40">
        <v>21.6</v>
      </c>
      <c r="L40">
        <v>24</v>
      </c>
      <c r="M40">
        <v>24</v>
      </c>
    </row>
    <row r="41" spans="1:13" x14ac:dyDescent="0.25">
      <c r="A41">
        <v>2310160488</v>
      </c>
      <c r="B41" t="s">
        <v>65</v>
      </c>
      <c r="C41" s="4">
        <f>+(3600/K41)*L41*24</f>
        <v>86979.865771812067</v>
      </c>
      <c r="D41">
        <v>24</v>
      </c>
      <c r="E41">
        <v>24</v>
      </c>
      <c r="F41">
        <v>1</v>
      </c>
      <c r="G41" t="s">
        <v>4840</v>
      </c>
      <c r="H41" s="4">
        <v>9.6456</v>
      </c>
      <c r="I41" s="4">
        <v>9.6438400000000009</v>
      </c>
      <c r="J41" t="s">
        <v>4858</v>
      </c>
      <c r="K41">
        <v>29.8</v>
      </c>
      <c r="L41">
        <v>30</v>
      </c>
      <c r="M41">
        <v>32</v>
      </c>
    </row>
    <row r="42" spans="1:13" x14ac:dyDescent="0.25">
      <c r="A42">
        <v>2310180047</v>
      </c>
      <c r="B42" t="s">
        <v>66</v>
      </c>
      <c r="C42">
        <v>200</v>
      </c>
      <c r="D42">
        <v>4</v>
      </c>
      <c r="E42">
        <v>4</v>
      </c>
      <c r="F42">
        <v>1</v>
      </c>
      <c r="G42" t="s">
        <v>4756</v>
      </c>
      <c r="H42" s="4">
        <v>32.546500000000002</v>
      </c>
      <c r="I42" s="4">
        <v>10.63879</v>
      </c>
      <c r="J42" t="s">
        <v>4859</v>
      </c>
    </row>
    <row r="43" spans="1:13" x14ac:dyDescent="0.25">
      <c r="A43">
        <v>2310090446</v>
      </c>
      <c r="B43" t="s">
        <v>67</v>
      </c>
      <c r="C43" s="4">
        <f>+(3600/K43)*L43*24</f>
        <v>98742.857142857159</v>
      </c>
      <c r="D43">
        <v>24</v>
      </c>
      <c r="E43">
        <v>24</v>
      </c>
      <c r="F43">
        <v>2</v>
      </c>
      <c r="G43" t="s">
        <v>4828</v>
      </c>
      <c r="H43" s="4">
        <v>37.881599999999999</v>
      </c>
      <c r="I43" s="4">
        <v>9.8240499999999997</v>
      </c>
      <c r="J43" t="s">
        <v>4858</v>
      </c>
      <c r="K43">
        <v>24.5</v>
      </c>
      <c r="L43">
        <v>28</v>
      </c>
      <c r="M43">
        <v>32</v>
      </c>
    </row>
    <row r="44" spans="1:13" x14ac:dyDescent="0.25">
      <c r="A44">
        <v>2310160475</v>
      </c>
      <c r="B44" t="s">
        <v>68</v>
      </c>
      <c r="C44" s="4">
        <f>+(3600/K44)*L44*24</f>
        <v>96000</v>
      </c>
      <c r="D44">
        <v>24</v>
      </c>
      <c r="E44">
        <v>24</v>
      </c>
      <c r="F44">
        <v>1</v>
      </c>
      <c r="G44" t="s">
        <v>4836</v>
      </c>
      <c r="H44" s="4">
        <v>7.1628999999999996</v>
      </c>
      <c r="I44" s="4">
        <v>9.6438400000000009</v>
      </c>
      <c r="J44" t="s">
        <v>4858</v>
      </c>
      <c r="K44">
        <v>21.6</v>
      </c>
      <c r="L44">
        <v>24</v>
      </c>
      <c r="M44">
        <v>24</v>
      </c>
    </row>
    <row r="45" spans="1:13" x14ac:dyDescent="0.25">
      <c r="A45">
        <v>2310160487</v>
      </c>
      <c r="B45" t="s">
        <v>69</v>
      </c>
      <c r="C45" s="4">
        <f>+(3600/K45)*L45*24</f>
        <v>86979.865771812067</v>
      </c>
      <c r="D45">
        <v>24</v>
      </c>
      <c r="E45">
        <v>24</v>
      </c>
      <c r="F45">
        <v>1</v>
      </c>
      <c r="G45" t="s">
        <v>4840</v>
      </c>
      <c r="H45" s="4">
        <v>9.6456</v>
      </c>
      <c r="I45" s="4">
        <v>9.6438400000000009</v>
      </c>
      <c r="J45" t="s">
        <v>4858</v>
      </c>
      <c r="K45">
        <v>29.8</v>
      </c>
      <c r="L45">
        <v>30</v>
      </c>
      <c r="M45">
        <v>32</v>
      </c>
    </row>
    <row r="46" spans="1:13" x14ac:dyDescent="0.25">
      <c r="A46">
        <v>2310180050</v>
      </c>
      <c r="B46" t="s">
        <v>70</v>
      </c>
      <c r="C46">
        <v>200</v>
      </c>
      <c r="D46">
        <v>4</v>
      </c>
      <c r="E46">
        <v>4</v>
      </c>
      <c r="F46">
        <v>1</v>
      </c>
      <c r="G46" t="s">
        <v>4756</v>
      </c>
      <c r="H46" s="4">
        <v>32.546500000000002</v>
      </c>
      <c r="I46" s="4">
        <v>10.63879</v>
      </c>
      <c r="J46" t="s">
        <v>4859</v>
      </c>
    </row>
    <row r="47" spans="1:13" x14ac:dyDescent="0.25">
      <c r="A47">
        <v>2310090507</v>
      </c>
      <c r="B47" t="s">
        <v>72</v>
      </c>
      <c r="C47" s="4">
        <f>+(3600/K47)*L47*24</f>
        <v>98742.857142857159</v>
      </c>
      <c r="D47">
        <v>24</v>
      </c>
      <c r="E47">
        <v>24</v>
      </c>
      <c r="F47">
        <v>2</v>
      </c>
      <c r="G47" t="s">
        <v>4828</v>
      </c>
      <c r="H47" s="4">
        <v>37.881599999999999</v>
      </c>
      <c r="I47" s="4">
        <v>9.8240499999999997</v>
      </c>
      <c r="J47" t="s">
        <v>4858</v>
      </c>
      <c r="K47">
        <v>24.5</v>
      </c>
      <c r="L47">
        <v>28</v>
      </c>
      <c r="M47">
        <v>32</v>
      </c>
    </row>
    <row r="48" spans="1:13" x14ac:dyDescent="0.25">
      <c r="A48">
        <v>2310160500</v>
      </c>
      <c r="B48" t="s">
        <v>73</v>
      </c>
      <c r="C48" s="4">
        <f>+(3600/K48)*L48*24</f>
        <v>96000</v>
      </c>
      <c r="D48">
        <v>24</v>
      </c>
      <c r="E48">
        <v>24</v>
      </c>
      <c r="F48">
        <v>1</v>
      </c>
      <c r="G48" t="s">
        <v>4836</v>
      </c>
      <c r="H48" s="4">
        <v>7.1628999999999996</v>
      </c>
      <c r="I48" s="4">
        <v>9.6438400000000009</v>
      </c>
      <c r="J48" t="s">
        <v>4858</v>
      </c>
      <c r="K48">
        <v>21.6</v>
      </c>
      <c r="L48">
        <v>24</v>
      </c>
      <c r="M48">
        <v>24</v>
      </c>
    </row>
    <row r="49" spans="1:13" x14ac:dyDescent="0.25">
      <c r="A49">
        <v>2310160501</v>
      </c>
      <c r="B49" t="s">
        <v>74</v>
      </c>
      <c r="C49" s="4">
        <f>+(3600/K49)*L49*24</f>
        <v>86979.865771812067</v>
      </c>
      <c r="D49">
        <v>24</v>
      </c>
      <c r="E49">
        <v>24</v>
      </c>
      <c r="F49">
        <v>1</v>
      </c>
      <c r="G49" t="s">
        <v>4840</v>
      </c>
      <c r="H49" s="4">
        <v>9.6456</v>
      </c>
      <c r="I49" s="4">
        <v>9.6438400000000009</v>
      </c>
      <c r="J49" t="s">
        <v>4858</v>
      </c>
      <c r="K49">
        <v>29.8</v>
      </c>
      <c r="L49">
        <v>30</v>
      </c>
      <c r="M49">
        <v>32</v>
      </c>
    </row>
    <row r="50" spans="1:13" x14ac:dyDescent="0.25">
      <c r="A50">
        <v>2310180037</v>
      </c>
      <c r="B50" t="s">
        <v>75</v>
      </c>
      <c r="C50">
        <v>200</v>
      </c>
      <c r="D50">
        <v>4</v>
      </c>
      <c r="E50">
        <v>4</v>
      </c>
      <c r="F50">
        <v>1</v>
      </c>
      <c r="G50" t="s">
        <v>4756</v>
      </c>
      <c r="H50" s="4">
        <v>32.546500000000002</v>
      </c>
      <c r="I50" s="4">
        <v>10.63879</v>
      </c>
      <c r="J50" t="s">
        <v>4859</v>
      </c>
    </row>
    <row r="51" spans="1:13" x14ac:dyDescent="0.25">
      <c r="A51">
        <v>2310090448</v>
      </c>
      <c r="B51" t="s">
        <v>76</v>
      </c>
      <c r="C51" s="4">
        <f>+(3600/K51)*L51*24</f>
        <v>98742.857142857159</v>
      </c>
      <c r="D51">
        <v>24</v>
      </c>
      <c r="E51">
        <v>24</v>
      </c>
      <c r="F51">
        <v>2</v>
      </c>
      <c r="G51" t="s">
        <v>4828</v>
      </c>
      <c r="H51" s="4">
        <v>37.881599999999999</v>
      </c>
      <c r="I51" s="4">
        <v>9.8240499999999997</v>
      </c>
      <c r="J51" t="s">
        <v>4858</v>
      </c>
      <c r="K51">
        <v>24.5</v>
      </c>
      <c r="L51">
        <v>28</v>
      </c>
      <c r="M51">
        <v>32</v>
      </c>
    </row>
    <row r="52" spans="1:13" x14ac:dyDescent="0.25">
      <c r="A52">
        <v>2310160477</v>
      </c>
      <c r="B52" t="s">
        <v>77</v>
      </c>
      <c r="C52" s="4">
        <f>+(3600/K52)*L52*24</f>
        <v>96000</v>
      </c>
      <c r="D52">
        <v>24</v>
      </c>
      <c r="E52">
        <v>24</v>
      </c>
      <c r="F52">
        <v>1</v>
      </c>
      <c r="G52" t="s">
        <v>4836</v>
      </c>
      <c r="H52" s="4">
        <v>7.1628999999999996</v>
      </c>
      <c r="I52" s="4">
        <v>9.6438400000000009</v>
      </c>
      <c r="J52" t="s">
        <v>4858</v>
      </c>
      <c r="K52">
        <v>21.6</v>
      </c>
      <c r="L52">
        <v>24</v>
      </c>
      <c r="M52">
        <v>24</v>
      </c>
    </row>
    <row r="53" spans="1:13" x14ac:dyDescent="0.25">
      <c r="A53">
        <v>2310160489</v>
      </c>
      <c r="B53" t="s">
        <v>78</v>
      </c>
      <c r="C53" s="4">
        <f>+(3600/K53)*L53*24</f>
        <v>86979.865771812067</v>
      </c>
      <c r="D53">
        <v>24</v>
      </c>
      <c r="E53">
        <v>24</v>
      </c>
      <c r="F53">
        <v>1</v>
      </c>
      <c r="G53" t="s">
        <v>4840</v>
      </c>
      <c r="H53" s="4">
        <v>9.6456</v>
      </c>
      <c r="I53" s="4">
        <v>9.6438400000000009</v>
      </c>
      <c r="J53" t="s">
        <v>4858</v>
      </c>
      <c r="K53">
        <v>29.8</v>
      </c>
      <c r="L53">
        <v>30</v>
      </c>
      <c r="M53">
        <v>32</v>
      </c>
    </row>
    <row r="54" spans="1:13" x14ac:dyDescent="0.25">
      <c r="A54">
        <v>2310180051</v>
      </c>
      <c r="B54" t="s">
        <v>79</v>
      </c>
      <c r="C54">
        <v>200</v>
      </c>
      <c r="D54">
        <v>4</v>
      </c>
      <c r="E54">
        <v>4</v>
      </c>
      <c r="F54">
        <v>1</v>
      </c>
      <c r="G54" t="s">
        <v>4756</v>
      </c>
      <c r="H54" s="4">
        <v>32.546500000000002</v>
      </c>
      <c r="I54" s="4">
        <v>10.63879</v>
      </c>
      <c r="J54" t="s">
        <v>4859</v>
      </c>
    </row>
    <row r="55" spans="1:13" x14ac:dyDescent="0.25">
      <c r="A55">
        <v>2310090445</v>
      </c>
      <c r="B55" t="s">
        <v>80</v>
      </c>
      <c r="C55" s="4">
        <f>+(3600/K55)*L55*24</f>
        <v>98742.857142857159</v>
      </c>
      <c r="D55">
        <v>24</v>
      </c>
      <c r="E55">
        <v>24</v>
      </c>
      <c r="F55">
        <v>2</v>
      </c>
      <c r="G55" t="s">
        <v>4828</v>
      </c>
      <c r="H55" s="4">
        <v>37.881599999999999</v>
      </c>
      <c r="I55" s="4">
        <v>9.8240499999999997</v>
      </c>
      <c r="J55" t="s">
        <v>4858</v>
      </c>
      <c r="K55">
        <v>24.5</v>
      </c>
      <c r="L55">
        <v>28</v>
      </c>
      <c r="M55">
        <v>32</v>
      </c>
    </row>
    <row r="56" spans="1:13" x14ac:dyDescent="0.25">
      <c r="A56">
        <v>2310160474</v>
      </c>
      <c r="B56" t="s">
        <v>81</v>
      </c>
      <c r="C56" s="4">
        <f>+(3600/K56)*L56*24</f>
        <v>96000</v>
      </c>
      <c r="D56">
        <v>24</v>
      </c>
      <c r="E56">
        <v>24</v>
      </c>
      <c r="F56">
        <v>1</v>
      </c>
      <c r="G56" t="s">
        <v>4836</v>
      </c>
      <c r="H56" s="4">
        <v>7.1628999999999996</v>
      </c>
      <c r="I56" s="4">
        <v>9.6438400000000009</v>
      </c>
      <c r="J56" t="s">
        <v>4858</v>
      </c>
      <c r="K56">
        <v>21.6</v>
      </c>
      <c r="L56">
        <v>24</v>
      </c>
      <c r="M56">
        <v>24</v>
      </c>
    </row>
    <row r="57" spans="1:13" x14ac:dyDescent="0.25">
      <c r="A57">
        <v>2310160486</v>
      </c>
      <c r="B57" t="s">
        <v>82</v>
      </c>
      <c r="C57" s="4">
        <f>+(3600/K57)*L57*24</f>
        <v>86979.865771812067</v>
      </c>
      <c r="D57">
        <v>24</v>
      </c>
      <c r="E57">
        <v>24</v>
      </c>
      <c r="F57">
        <v>1</v>
      </c>
      <c r="G57" t="s">
        <v>4840</v>
      </c>
      <c r="H57" s="4">
        <v>9.6456</v>
      </c>
      <c r="I57" s="4">
        <v>9.6438400000000009</v>
      </c>
      <c r="J57" t="s">
        <v>4858</v>
      </c>
      <c r="K57">
        <v>29.8</v>
      </c>
      <c r="L57">
        <v>30</v>
      </c>
      <c r="M57">
        <v>32</v>
      </c>
    </row>
    <row r="58" spans="1:13" x14ac:dyDescent="0.25">
      <c r="A58">
        <v>2310180045</v>
      </c>
      <c r="B58" t="s">
        <v>83</v>
      </c>
      <c r="C58">
        <v>200</v>
      </c>
      <c r="D58">
        <v>4</v>
      </c>
      <c r="E58">
        <v>4</v>
      </c>
      <c r="F58">
        <v>1</v>
      </c>
      <c r="G58" t="s">
        <v>4756</v>
      </c>
      <c r="H58" s="4">
        <v>32.546500000000002</v>
      </c>
      <c r="I58" s="4">
        <v>10.63879</v>
      </c>
      <c r="J58" t="s">
        <v>4859</v>
      </c>
    </row>
    <row r="59" spans="1:13" x14ac:dyDescent="0.25">
      <c r="A59">
        <v>2310090450</v>
      </c>
      <c r="B59" t="s">
        <v>84</v>
      </c>
      <c r="C59" s="4">
        <f>+(3600/K59)*L59*24</f>
        <v>98742.857142857159</v>
      </c>
      <c r="D59">
        <v>24</v>
      </c>
      <c r="E59">
        <v>24</v>
      </c>
      <c r="F59">
        <v>2</v>
      </c>
      <c r="G59" t="s">
        <v>4828</v>
      </c>
      <c r="H59" s="4">
        <v>37.881599999999999</v>
      </c>
      <c r="I59" s="4">
        <v>9.8240499999999997</v>
      </c>
      <c r="J59" t="s">
        <v>4858</v>
      </c>
      <c r="K59">
        <v>24.5</v>
      </c>
      <c r="L59">
        <v>28</v>
      </c>
      <c r="M59">
        <v>32</v>
      </c>
    </row>
    <row r="60" spans="1:13" x14ac:dyDescent="0.25">
      <c r="A60">
        <v>2310160479</v>
      </c>
      <c r="B60" t="s">
        <v>85</v>
      </c>
      <c r="C60" s="4">
        <f>+(3600/K60)*L60*24</f>
        <v>96000</v>
      </c>
      <c r="D60">
        <v>24</v>
      </c>
      <c r="E60">
        <v>24</v>
      </c>
      <c r="F60">
        <v>1</v>
      </c>
      <c r="G60" t="s">
        <v>4836</v>
      </c>
      <c r="H60" s="4">
        <v>7.1628999999999996</v>
      </c>
      <c r="I60" s="4">
        <v>9.6438400000000009</v>
      </c>
      <c r="J60" t="s">
        <v>4858</v>
      </c>
      <c r="K60">
        <v>21.6</v>
      </c>
      <c r="L60">
        <v>24</v>
      </c>
      <c r="M60">
        <v>24</v>
      </c>
    </row>
    <row r="61" spans="1:13" x14ac:dyDescent="0.25">
      <c r="A61">
        <v>2310160491</v>
      </c>
      <c r="B61" t="s">
        <v>86</v>
      </c>
      <c r="C61" s="4">
        <f>+(3600/K61)*L61*24</f>
        <v>86979.865771812067</v>
      </c>
      <c r="D61">
        <v>24</v>
      </c>
      <c r="E61">
        <v>24</v>
      </c>
      <c r="F61">
        <v>1</v>
      </c>
      <c r="G61" t="s">
        <v>4840</v>
      </c>
      <c r="H61" s="4">
        <v>9.6456</v>
      </c>
      <c r="I61" s="4">
        <v>9.6438400000000009</v>
      </c>
      <c r="J61" t="s">
        <v>4858</v>
      </c>
      <c r="K61">
        <v>29.8</v>
      </c>
      <c r="L61">
        <v>30</v>
      </c>
      <c r="M61">
        <v>32</v>
      </c>
    </row>
    <row r="62" spans="1:13" x14ac:dyDescent="0.25">
      <c r="A62">
        <v>2310180040</v>
      </c>
      <c r="B62" t="s">
        <v>87</v>
      </c>
      <c r="C62">
        <v>200</v>
      </c>
      <c r="D62">
        <v>4</v>
      </c>
      <c r="E62">
        <v>4</v>
      </c>
      <c r="F62">
        <v>1</v>
      </c>
      <c r="G62" t="s">
        <v>4756</v>
      </c>
      <c r="H62" s="4">
        <v>32.546500000000002</v>
      </c>
      <c r="I62" s="4">
        <v>10.63879</v>
      </c>
      <c r="J62" t="s">
        <v>4859</v>
      </c>
    </row>
    <row r="63" spans="1:13" x14ac:dyDescent="0.25">
      <c r="A63">
        <v>2310180048</v>
      </c>
      <c r="B63" t="s">
        <v>94</v>
      </c>
      <c r="C63">
        <v>200</v>
      </c>
      <c r="D63">
        <v>4</v>
      </c>
      <c r="E63">
        <v>4</v>
      </c>
      <c r="F63">
        <v>1</v>
      </c>
      <c r="G63" t="s">
        <v>4756</v>
      </c>
      <c r="H63" s="4">
        <v>32.546500000000002</v>
      </c>
      <c r="I63" s="4">
        <v>10.63879</v>
      </c>
      <c r="J63" t="s">
        <v>4859</v>
      </c>
    </row>
    <row r="64" spans="1:13" x14ac:dyDescent="0.25">
      <c r="A64">
        <v>2140040002</v>
      </c>
      <c r="B64" t="s">
        <v>1519</v>
      </c>
      <c r="C64">
        <v>40000</v>
      </c>
      <c r="D64">
        <f>6*12</f>
        <v>72</v>
      </c>
      <c r="E64">
        <v>12</v>
      </c>
      <c r="F64">
        <v>6</v>
      </c>
      <c r="G64" t="s">
        <v>4745</v>
      </c>
      <c r="H64">
        <v>262.67430000000002</v>
      </c>
      <c r="I64">
        <v>8.1362299999999994</v>
      </c>
      <c r="J64" t="s">
        <v>4872</v>
      </c>
    </row>
    <row r="65" spans="1:15" x14ac:dyDescent="0.25">
      <c r="A65">
        <v>2310250019</v>
      </c>
      <c r="B65" t="s">
        <v>2632</v>
      </c>
      <c r="C65">
        <v>20000</v>
      </c>
      <c r="D65">
        <f>9*12</f>
        <v>108</v>
      </c>
      <c r="E65">
        <v>12</v>
      </c>
      <c r="F65">
        <v>9</v>
      </c>
      <c r="G65" t="s">
        <v>4748</v>
      </c>
      <c r="H65">
        <v>346.2525</v>
      </c>
      <c r="I65">
        <v>8.2750000000000004</v>
      </c>
      <c r="J65" t="s">
        <v>4873</v>
      </c>
    </row>
    <row r="66" spans="1:15" x14ac:dyDescent="0.25">
      <c r="A66">
        <v>2310160005</v>
      </c>
      <c r="B66" t="s">
        <v>2360</v>
      </c>
      <c r="C66" s="4">
        <f>+(3600/K66)*L66*24</f>
        <v>30104.529616724736</v>
      </c>
      <c r="D66">
        <v>24</v>
      </c>
      <c r="E66">
        <v>24</v>
      </c>
      <c r="F66">
        <v>1</v>
      </c>
      <c r="G66" t="s">
        <v>4825</v>
      </c>
      <c r="H66">
        <v>21.945</v>
      </c>
      <c r="I66">
        <v>9.9880300000000002</v>
      </c>
      <c r="J66" t="s">
        <v>4858</v>
      </c>
      <c r="K66">
        <v>11.48</v>
      </c>
      <c r="L66">
        <v>4</v>
      </c>
      <c r="M66">
        <v>6</v>
      </c>
    </row>
    <row r="67" spans="1:15" x14ac:dyDescent="0.25">
      <c r="A67">
        <v>2310170002</v>
      </c>
      <c r="B67" t="s">
        <v>2512</v>
      </c>
      <c r="C67" s="4">
        <f>+(3600/K67)*L67*24</f>
        <v>41739.130434782608</v>
      </c>
      <c r="D67">
        <v>24</v>
      </c>
      <c r="E67">
        <v>24</v>
      </c>
      <c r="F67">
        <v>1</v>
      </c>
      <c r="G67" t="s">
        <v>4822</v>
      </c>
      <c r="H67">
        <v>24.276599999999998</v>
      </c>
      <c r="I67">
        <v>9.9880300000000002</v>
      </c>
      <c r="J67" t="s">
        <v>4858</v>
      </c>
      <c r="K67">
        <v>10.35</v>
      </c>
      <c r="L67">
        <v>5</v>
      </c>
      <c r="M67">
        <v>6</v>
      </c>
    </row>
    <row r="68" spans="1:15" x14ac:dyDescent="0.25">
      <c r="A68">
        <v>2310250012</v>
      </c>
      <c r="B68" t="s">
        <v>2629</v>
      </c>
      <c r="C68">
        <v>600</v>
      </c>
      <c r="D68">
        <v>16</v>
      </c>
      <c r="E68">
        <v>12</v>
      </c>
      <c r="F68">
        <v>1</v>
      </c>
      <c r="G68" t="s">
        <v>4788</v>
      </c>
      <c r="H68">
        <v>124.2997</v>
      </c>
      <c r="I68">
        <v>13.609019999999999</v>
      </c>
      <c r="J68" t="s">
        <v>4859</v>
      </c>
    </row>
    <row r="69" spans="1:15" x14ac:dyDescent="0.25">
      <c r="A69">
        <v>2310250021</v>
      </c>
      <c r="B69" t="s">
        <v>2633</v>
      </c>
      <c r="C69">
        <v>20000</v>
      </c>
      <c r="D69">
        <f>9*12</f>
        <v>108</v>
      </c>
      <c r="E69">
        <v>12</v>
      </c>
      <c r="F69">
        <v>9</v>
      </c>
      <c r="G69" t="s">
        <v>4748</v>
      </c>
      <c r="H69">
        <v>346.2525</v>
      </c>
      <c r="I69">
        <v>8.2750000000000004</v>
      </c>
      <c r="J69" t="s">
        <v>4873</v>
      </c>
    </row>
    <row r="70" spans="1:15" x14ac:dyDescent="0.25">
      <c r="A70">
        <v>2310250009</v>
      </c>
      <c r="B70" t="s">
        <v>2628</v>
      </c>
      <c r="C70">
        <v>600</v>
      </c>
      <c r="D70">
        <v>16</v>
      </c>
      <c r="E70">
        <v>12</v>
      </c>
      <c r="F70">
        <v>1</v>
      </c>
      <c r="G70" t="s">
        <v>4788</v>
      </c>
      <c r="H70">
        <v>124.2997</v>
      </c>
      <c r="I70">
        <v>13.609019999999999</v>
      </c>
      <c r="J70" t="s">
        <v>4859</v>
      </c>
    </row>
    <row r="71" spans="1:15" x14ac:dyDescent="0.25">
      <c r="A71">
        <v>2310250022</v>
      </c>
      <c r="B71" t="s">
        <v>2634</v>
      </c>
      <c r="C71">
        <v>20000</v>
      </c>
      <c r="D71">
        <f>9*12</f>
        <v>108</v>
      </c>
      <c r="E71">
        <v>12</v>
      </c>
      <c r="F71">
        <v>9</v>
      </c>
      <c r="G71" t="s">
        <v>4748</v>
      </c>
      <c r="H71">
        <v>346.2525</v>
      </c>
      <c r="I71">
        <v>8.2750000000000004</v>
      </c>
      <c r="J71" t="s">
        <v>4873</v>
      </c>
    </row>
    <row r="72" spans="1:15" x14ac:dyDescent="0.25">
      <c r="A72">
        <v>2310250007</v>
      </c>
      <c r="B72" t="s">
        <v>2627</v>
      </c>
      <c r="C72">
        <v>600</v>
      </c>
      <c r="D72">
        <v>16</v>
      </c>
      <c r="E72">
        <v>12</v>
      </c>
      <c r="F72">
        <v>1</v>
      </c>
      <c r="G72" t="s">
        <v>4788</v>
      </c>
      <c r="H72">
        <v>124.2997</v>
      </c>
      <c r="I72">
        <v>13.609019999999999</v>
      </c>
      <c r="J72" t="s">
        <v>4859</v>
      </c>
    </row>
    <row r="73" spans="1:15" x14ac:dyDescent="0.25">
      <c r="A73">
        <v>2310250030</v>
      </c>
      <c r="B73" t="s">
        <v>2636</v>
      </c>
      <c r="C73">
        <v>20000</v>
      </c>
      <c r="D73">
        <f>9*12</f>
        <v>108</v>
      </c>
      <c r="E73">
        <v>12</v>
      </c>
      <c r="F73">
        <v>9</v>
      </c>
      <c r="G73" t="s">
        <v>4748</v>
      </c>
      <c r="H73">
        <v>346.2525</v>
      </c>
      <c r="I73">
        <v>8.2750000000000004</v>
      </c>
      <c r="J73" t="s">
        <v>4873</v>
      </c>
    </row>
    <row r="74" spans="1:15" x14ac:dyDescent="0.25">
      <c r="A74">
        <v>2310250015</v>
      </c>
      <c r="B74" t="s">
        <v>2631</v>
      </c>
      <c r="C74">
        <v>600</v>
      </c>
      <c r="D74">
        <v>16</v>
      </c>
      <c r="E74">
        <v>12</v>
      </c>
      <c r="F74">
        <v>1</v>
      </c>
      <c r="G74" t="s">
        <v>4788</v>
      </c>
      <c r="H74">
        <v>124.2997</v>
      </c>
      <c r="I74">
        <v>13.609019999999999</v>
      </c>
      <c r="J74" t="s">
        <v>4859</v>
      </c>
    </row>
    <row r="75" spans="1:15" x14ac:dyDescent="0.25">
      <c r="A75">
        <v>2310250031</v>
      </c>
      <c r="B75" t="s">
        <v>2637</v>
      </c>
      <c r="C75">
        <v>20000</v>
      </c>
      <c r="D75">
        <f>9*12</f>
        <v>108</v>
      </c>
      <c r="E75">
        <v>12</v>
      </c>
      <c r="F75">
        <v>9</v>
      </c>
      <c r="G75" t="s">
        <v>4748</v>
      </c>
      <c r="H75">
        <v>346.2525</v>
      </c>
      <c r="I75">
        <v>8.2750000000000004</v>
      </c>
      <c r="J75" t="s">
        <v>4873</v>
      </c>
    </row>
    <row r="76" spans="1:15" x14ac:dyDescent="0.25">
      <c r="A76">
        <v>2310250029</v>
      </c>
      <c r="B76" t="s">
        <v>2635</v>
      </c>
      <c r="C76">
        <v>600</v>
      </c>
      <c r="D76">
        <v>16</v>
      </c>
      <c r="E76">
        <v>12</v>
      </c>
      <c r="F76">
        <v>1</v>
      </c>
      <c r="G76" t="s">
        <v>4788</v>
      </c>
      <c r="H76">
        <v>124.2997</v>
      </c>
      <c r="I76">
        <v>13.609019999999999</v>
      </c>
      <c r="J76" t="s">
        <v>4859</v>
      </c>
    </row>
    <row r="77" spans="1:15" x14ac:dyDescent="0.25">
      <c r="A77">
        <v>2310250032</v>
      </c>
      <c r="B77" t="s">
        <v>2638</v>
      </c>
      <c r="C77">
        <v>20000</v>
      </c>
      <c r="D77">
        <f>9*12</f>
        <v>108</v>
      </c>
      <c r="E77">
        <v>12</v>
      </c>
      <c r="F77">
        <v>9</v>
      </c>
      <c r="G77" t="s">
        <v>4748</v>
      </c>
      <c r="H77">
        <v>346.2525</v>
      </c>
      <c r="I77">
        <v>8.2750000000000004</v>
      </c>
      <c r="J77" t="s">
        <v>4873</v>
      </c>
    </row>
    <row r="78" spans="1:15" x14ac:dyDescent="0.25">
      <c r="A78">
        <v>2310250014</v>
      </c>
      <c r="B78" t="s">
        <v>2630</v>
      </c>
      <c r="C78">
        <v>600</v>
      </c>
      <c r="D78">
        <v>16</v>
      </c>
      <c r="E78">
        <v>12</v>
      </c>
      <c r="F78">
        <v>1</v>
      </c>
      <c r="G78" t="s">
        <v>4788</v>
      </c>
      <c r="H78">
        <v>124.2997</v>
      </c>
      <c r="I78">
        <v>13.609019999999999</v>
      </c>
      <c r="J78" t="s">
        <v>4859</v>
      </c>
    </row>
    <row r="79" spans="1:15" x14ac:dyDescent="0.25">
      <c r="A79">
        <v>2110020322</v>
      </c>
      <c r="B79" t="s">
        <v>1122</v>
      </c>
      <c r="C79">
        <v>6000</v>
      </c>
      <c r="D79">
        <f>+F79*E79</f>
        <v>72</v>
      </c>
      <c r="E79">
        <v>12</v>
      </c>
      <c r="F79">
        <v>6</v>
      </c>
      <c r="G79" t="s">
        <v>4675</v>
      </c>
      <c r="H79">
        <f>+VLOOKUP(G79,Hoja4!$A$1:$F$76,5,FALSE)</f>
        <v>172.78649999999999</v>
      </c>
      <c r="I79">
        <f>+VLOOKUP(G79,Hoja4!$A$1:$F$76,6,FALSE)</f>
        <v>9.1811199999999999</v>
      </c>
      <c r="J79" t="s">
        <v>4856</v>
      </c>
      <c r="O79">
        <f>+H79+I79</f>
        <v>181.96761999999998</v>
      </c>
    </row>
    <row r="80" spans="1:15" x14ac:dyDescent="0.25">
      <c r="A80">
        <v>2310210149</v>
      </c>
      <c r="B80" t="s">
        <v>2564</v>
      </c>
      <c r="C80">
        <v>25000</v>
      </c>
      <c r="D80">
        <v>24</v>
      </c>
      <c r="E80">
        <v>12</v>
      </c>
      <c r="F80">
        <v>2</v>
      </c>
      <c r="G80" t="s">
        <v>4681</v>
      </c>
      <c r="H80">
        <f>+VLOOKUP(G80,Hoja4!$A$1:$F$76,5,FALSE)</f>
        <v>64.126400000000004</v>
      </c>
      <c r="I80">
        <f>+VLOOKUP(G80,Hoja4!$A$1:$F$76,6,FALSE)</f>
        <v>10.918939999999999</v>
      </c>
      <c r="J80" t="s">
        <v>4857</v>
      </c>
      <c r="O80">
        <f t="shared" ref="O80:O84" si="0">+H80+I80</f>
        <v>75.04534000000001</v>
      </c>
    </row>
    <row r="81" spans="1:15" x14ac:dyDescent="0.25">
      <c r="A81">
        <v>2310090491</v>
      </c>
      <c r="B81" t="s">
        <v>2313</v>
      </c>
      <c r="C81">
        <v>25000</v>
      </c>
      <c r="D81">
        <v>12</v>
      </c>
      <c r="E81">
        <v>12</v>
      </c>
      <c r="F81">
        <v>1</v>
      </c>
      <c r="G81" t="s">
        <v>4715</v>
      </c>
      <c r="H81">
        <f>+VLOOKUP(G81,Hoja4!$A$1:$F$76,5,FALSE)</f>
        <v>13.205299999999999</v>
      </c>
      <c r="I81">
        <f>+VLOOKUP(G81,Hoja4!$A$1:$F$76,6,FALSE)</f>
        <v>9.40015</v>
      </c>
      <c r="J81" t="s">
        <v>4878</v>
      </c>
      <c r="O81">
        <f t="shared" si="0"/>
        <v>22.605449999999998</v>
      </c>
    </row>
    <row r="82" spans="1:15" x14ac:dyDescent="0.25">
      <c r="A82">
        <v>2310090457</v>
      </c>
      <c r="B82" t="s">
        <v>2298</v>
      </c>
      <c r="C82" s="4">
        <f>+(3600/K82)*L82*24</f>
        <v>68844.621513944207</v>
      </c>
      <c r="D82">
        <v>24</v>
      </c>
      <c r="E82">
        <v>24</v>
      </c>
      <c r="F82">
        <v>2</v>
      </c>
      <c r="G82" t="s">
        <v>4827</v>
      </c>
      <c r="H82">
        <f>+VLOOKUP(G82,Hoja4!$A$1:$F$76,5,FALSE)</f>
        <v>20.770499999999998</v>
      </c>
      <c r="I82">
        <f>+VLOOKUP(G82,Hoja4!$A$1:$F$76,6,FALSE)</f>
        <v>9.9880300000000002</v>
      </c>
      <c r="J82" t="s">
        <v>4858</v>
      </c>
      <c r="K82">
        <v>25.1</v>
      </c>
      <c r="L82">
        <v>20</v>
      </c>
      <c r="M82">
        <v>20</v>
      </c>
      <c r="O82">
        <f t="shared" si="0"/>
        <v>30.75853</v>
      </c>
    </row>
    <row r="83" spans="1:15" x14ac:dyDescent="0.25">
      <c r="A83">
        <v>2310160238</v>
      </c>
      <c r="B83" t="s">
        <v>2380</v>
      </c>
      <c r="C83" s="4">
        <f>+(3600/K83)*L83*24</f>
        <v>60631.57894736842</v>
      </c>
      <c r="D83">
        <v>24</v>
      </c>
      <c r="E83">
        <v>24</v>
      </c>
      <c r="F83">
        <v>1</v>
      </c>
      <c r="G83" t="s">
        <v>4843</v>
      </c>
      <c r="H83">
        <f>+VLOOKUP(G83,Hoja4!$A$1:$F$76,5,FALSE)</f>
        <v>11.5246</v>
      </c>
      <c r="I83">
        <f>+VLOOKUP(G83,Hoja4!$A$1:$F$76,6,FALSE)</f>
        <v>9.9759499999999992</v>
      </c>
      <c r="J83" t="s">
        <v>4858</v>
      </c>
      <c r="K83">
        <v>22.8</v>
      </c>
      <c r="L83">
        <v>16</v>
      </c>
      <c r="M83">
        <v>15</v>
      </c>
      <c r="O83">
        <f t="shared" si="0"/>
        <v>21.500549999999997</v>
      </c>
    </row>
    <row r="84" spans="1:15" x14ac:dyDescent="0.25">
      <c r="A84">
        <v>2310160248</v>
      </c>
      <c r="B84" t="s">
        <v>2390</v>
      </c>
      <c r="C84" s="4">
        <f>+(3600/K84)*L84*24</f>
        <v>74482.758620689667</v>
      </c>
      <c r="D84">
        <v>24</v>
      </c>
      <c r="E84">
        <v>24</v>
      </c>
      <c r="F84">
        <v>1</v>
      </c>
      <c r="G84" t="s">
        <v>4838</v>
      </c>
      <c r="H84">
        <f>+VLOOKUP(G84,Hoja4!$A$1:$F$76,5,FALSE)</f>
        <v>10.978999999999999</v>
      </c>
      <c r="I84">
        <f>+VLOOKUP(G84,Hoja4!$A$1:$F$76,6,FALSE)</f>
        <v>9.6438400000000009</v>
      </c>
      <c r="J84" t="s">
        <v>4858</v>
      </c>
      <c r="K84">
        <v>23.2</v>
      </c>
      <c r="L84">
        <v>20</v>
      </c>
      <c r="M84">
        <v>20</v>
      </c>
      <c r="O84">
        <f t="shared" si="0"/>
        <v>20.62284</v>
      </c>
    </row>
    <row r="85" spans="1:15" x14ac:dyDescent="0.25">
      <c r="A85">
        <v>2310210150</v>
      </c>
      <c r="B85" t="s">
        <v>2565</v>
      </c>
      <c r="C85">
        <v>25000</v>
      </c>
      <c r="D85">
        <v>24</v>
      </c>
      <c r="E85">
        <v>12</v>
      </c>
      <c r="F85">
        <v>2</v>
      </c>
      <c r="G85" t="s">
        <v>4681</v>
      </c>
      <c r="H85">
        <f>+VLOOKUP(G85,Hoja4!$A$1:$F$76,5,FALSE)</f>
        <v>64.126400000000004</v>
      </c>
      <c r="I85">
        <f>+VLOOKUP(G85,Hoja4!$A$1:$F$76,6,FALSE)</f>
        <v>10.918939999999999</v>
      </c>
      <c r="J85" t="s">
        <v>4857</v>
      </c>
    </row>
    <row r="86" spans="1:15" x14ac:dyDescent="0.25">
      <c r="A86">
        <v>2310090492</v>
      </c>
      <c r="B86" t="s">
        <v>2314</v>
      </c>
      <c r="C86">
        <v>25000</v>
      </c>
      <c r="D86">
        <v>12</v>
      </c>
      <c r="E86">
        <v>12</v>
      </c>
      <c r="F86">
        <v>1</v>
      </c>
      <c r="G86" t="s">
        <v>4715</v>
      </c>
      <c r="H86">
        <f>+VLOOKUP(G86,Hoja4!$A$1:$F$76,5,FALSE)</f>
        <v>13.205299999999999</v>
      </c>
      <c r="I86">
        <f>+VLOOKUP(G86,Hoja4!$A$1:$F$76,6,FALSE)</f>
        <v>9.40015</v>
      </c>
      <c r="J86" t="s">
        <v>4878</v>
      </c>
    </row>
    <row r="87" spans="1:15" x14ac:dyDescent="0.25">
      <c r="A87">
        <v>2310090458</v>
      </c>
      <c r="B87" t="s">
        <v>2299</v>
      </c>
      <c r="C87" s="4">
        <f>+(3600/K87)*L87*24</f>
        <v>68844.621513944207</v>
      </c>
      <c r="D87">
        <v>24</v>
      </c>
      <c r="E87">
        <v>24</v>
      </c>
      <c r="F87">
        <v>2</v>
      </c>
      <c r="G87" t="s">
        <v>4827</v>
      </c>
      <c r="H87">
        <f>+VLOOKUP(G87,Hoja4!$A$1:$F$76,5,FALSE)</f>
        <v>20.770499999999998</v>
      </c>
      <c r="I87">
        <f>+VLOOKUP(G87,Hoja4!$A$1:$F$76,6,FALSE)</f>
        <v>9.9880300000000002</v>
      </c>
      <c r="J87" t="s">
        <v>4858</v>
      </c>
      <c r="K87">
        <v>25.1</v>
      </c>
      <c r="L87">
        <v>20</v>
      </c>
      <c r="M87">
        <v>20</v>
      </c>
    </row>
    <row r="88" spans="1:15" x14ac:dyDescent="0.25">
      <c r="A88">
        <v>2310160239</v>
      </c>
      <c r="B88" t="s">
        <v>2381</v>
      </c>
      <c r="C88" s="4">
        <f>+(3600/K88)*L88*24</f>
        <v>60631.57894736842</v>
      </c>
      <c r="D88">
        <v>24</v>
      </c>
      <c r="E88">
        <v>24</v>
      </c>
      <c r="F88">
        <v>1</v>
      </c>
      <c r="G88" t="s">
        <v>4843</v>
      </c>
      <c r="H88">
        <f>+VLOOKUP(G88,Hoja4!$A$1:$F$76,5,FALSE)</f>
        <v>11.5246</v>
      </c>
      <c r="I88">
        <f>+VLOOKUP(G88,Hoja4!$A$1:$F$76,6,FALSE)</f>
        <v>9.9759499999999992</v>
      </c>
      <c r="J88" t="s">
        <v>4858</v>
      </c>
      <c r="K88">
        <v>22.8</v>
      </c>
      <c r="L88">
        <v>16</v>
      </c>
      <c r="M88">
        <v>15</v>
      </c>
    </row>
    <row r="89" spans="1:15" x14ac:dyDescent="0.25">
      <c r="A89">
        <v>2310160249</v>
      </c>
      <c r="B89" t="s">
        <v>2391</v>
      </c>
      <c r="C89" s="4">
        <f>+(3600/K89)*L89*24</f>
        <v>74482.758620689667</v>
      </c>
      <c r="D89">
        <v>24</v>
      </c>
      <c r="E89">
        <v>24</v>
      </c>
      <c r="F89">
        <v>1</v>
      </c>
      <c r="G89" t="s">
        <v>4838</v>
      </c>
      <c r="H89">
        <f>+VLOOKUP(G89,Hoja4!$A$1:$F$76,5,FALSE)</f>
        <v>10.978999999999999</v>
      </c>
      <c r="I89">
        <f>+VLOOKUP(G89,Hoja4!$A$1:$F$76,6,FALSE)</f>
        <v>9.6438400000000009</v>
      </c>
      <c r="J89" t="s">
        <v>4858</v>
      </c>
      <c r="K89">
        <v>23.2</v>
      </c>
      <c r="L89">
        <v>20</v>
      </c>
      <c r="M89">
        <v>20</v>
      </c>
    </row>
    <row r="90" spans="1:15" x14ac:dyDescent="0.25">
      <c r="A90">
        <v>2310210151</v>
      </c>
      <c r="B90" t="s">
        <v>2566</v>
      </c>
      <c r="C90">
        <v>25000</v>
      </c>
      <c r="D90">
        <v>24</v>
      </c>
      <c r="E90">
        <v>12</v>
      </c>
      <c r="F90">
        <v>2</v>
      </c>
      <c r="G90" t="s">
        <v>4681</v>
      </c>
      <c r="H90">
        <f>+VLOOKUP(G90,Hoja4!$A$1:$F$76,5,FALSE)</f>
        <v>64.126400000000004</v>
      </c>
      <c r="I90">
        <f>+VLOOKUP(G90,Hoja4!$A$1:$F$76,6,FALSE)</f>
        <v>10.918939999999999</v>
      </c>
      <c r="J90" t="s">
        <v>4857</v>
      </c>
    </row>
    <row r="91" spans="1:15" x14ac:dyDescent="0.25">
      <c r="A91">
        <v>2310090493</v>
      </c>
      <c r="B91" t="s">
        <v>2315</v>
      </c>
      <c r="C91">
        <v>25000</v>
      </c>
      <c r="D91">
        <v>12</v>
      </c>
      <c r="E91">
        <v>12</v>
      </c>
      <c r="F91">
        <v>1</v>
      </c>
      <c r="G91" t="s">
        <v>4715</v>
      </c>
      <c r="H91">
        <f>+VLOOKUP(G91,Hoja4!$A$1:$F$76,5,FALSE)</f>
        <v>13.205299999999999</v>
      </c>
      <c r="I91">
        <f>+VLOOKUP(G91,Hoja4!$A$1:$F$76,6,FALSE)</f>
        <v>9.40015</v>
      </c>
      <c r="J91" t="s">
        <v>4878</v>
      </c>
    </row>
    <row r="92" spans="1:15" x14ac:dyDescent="0.25">
      <c r="A92">
        <v>2310090459</v>
      </c>
      <c r="B92" t="s">
        <v>4874</v>
      </c>
      <c r="C92" s="4">
        <f>+(3600/K92)*L92*24</f>
        <v>68844.621513944207</v>
      </c>
      <c r="D92">
        <v>24</v>
      </c>
      <c r="E92">
        <v>24</v>
      </c>
      <c r="F92">
        <v>2</v>
      </c>
      <c r="G92" t="s">
        <v>4827</v>
      </c>
      <c r="H92">
        <f>+VLOOKUP(G92,Hoja4!$A$1:$F$76,5,FALSE)</f>
        <v>20.770499999999998</v>
      </c>
      <c r="I92">
        <f>+VLOOKUP(G92,Hoja4!$A$1:$F$76,6,FALSE)</f>
        <v>9.9880300000000002</v>
      </c>
      <c r="J92" t="s">
        <v>4858</v>
      </c>
      <c r="K92">
        <v>25.1</v>
      </c>
      <c r="L92">
        <v>20</v>
      </c>
      <c r="M92">
        <v>20</v>
      </c>
    </row>
    <row r="93" spans="1:15" x14ac:dyDescent="0.25">
      <c r="A93">
        <v>2310160240</v>
      </c>
      <c r="B93" t="s">
        <v>2382</v>
      </c>
      <c r="C93" s="4">
        <f>+(3600/K93)*L93*24</f>
        <v>60631.57894736842</v>
      </c>
      <c r="D93">
        <v>24</v>
      </c>
      <c r="E93">
        <v>24</v>
      </c>
      <c r="F93">
        <v>1</v>
      </c>
      <c r="G93" t="s">
        <v>4843</v>
      </c>
      <c r="H93">
        <f>+VLOOKUP(G93,Hoja4!$A$1:$F$76,5,FALSE)</f>
        <v>11.5246</v>
      </c>
      <c r="I93">
        <f>+VLOOKUP(G93,Hoja4!$A$1:$F$76,6,FALSE)</f>
        <v>9.9759499999999992</v>
      </c>
      <c r="J93" t="s">
        <v>4858</v>
      </c>
      <c r="K93">
        <v>22.8</v>
      </c>
      <c r="L93">
        <v>16</v>
      </c>
      <c r="M93">
        <v>15</v>
      </c>
    </row>
    <row r="94" spans="1:15" x14ac:dyDescent="0.25">
      <c r="A94">
        <v>2310160250</v>
      </c>
      <c r="B94" t="s">
        <v>2392</v>
      </c>
      <c r="C94" s="4">
        <f>+(3600/K94)*L94*24</f>
        <v>74482.758620689667</v>
      </c>
      <c r="D94">
        <v>24</v>
      </c>
      <c r="E94">
        <v>24</v>
      </c>
      <c r="F94">
        <v>1</v>
      </c>
      <c r="G94" t="s">
        <v>4838</v>
      </c>
      <c r="H94">
        <f>+VLOOKUP(G94,Hoja4!$A$1:$F$76,5,FALSE)</f>
        <v>10.978999999999999</v>
      </c>
      <c r="I94">
        <f>+VLOOKUP(G94,Hoja4!$A$1:$F$76,6,FALSE)</f>
        <v>9.6438400000000009</v>
      </c>
      <c r="J94" t="s">
        <v>4858</v>
      </c>
      <c r="K94">
        <v>23.2</v>
      </c>
      <c r="L94">
        <v>20</v>
      </c>
      <c r="M94">
        <v>20</v>
      </c>
    </row>
    <row r="95" spans="1:15" x14ac:dyDescent="0.25">
      <c r="A95">
        <v>2310210152</v>
      </c>
      <c r="B95" t="s">
        <v>2567</v>
      </c>
      <c r="C95">
        <v>25000</v>
      </c>
      <c r="D95">
        <v>24</v>
      </c>
      <c r="E95">
        <v>12</v>
      </c>
      <c r="F95">
        <v>2</v>
      </c>
      <c r="G95" t="s">
        <v>4681</v>
      </c>
      <c r="H95">
        <f>+VLOOKUP(G95,Hoja4!$A$1:$F$76,5,FALSE)</f>
        <v>64.126400000000004</v>
      </c>
      <c r="I95">
        <f>+VLOOKUP(G95,Hoja4!$A$1:$F$76,6,FALSE)</f>
        <v>10.918939999999999</v>
      </c>
      <c r="J95" t="s">
        <v>4857</v>
      </c>
    </row>
    <row r="96" spans="1:15" x14ac:dyDescent="0.25">
      <c r="A96">
        <v>2310090494</v>
      </c>
      <c r="B96" t="s">
        <v>2316</v>
      </c>
      <c r="C96">
        <v>25000</v>
      </c>
      <c r="D96">
        <v>12</v>
      </c>
      <c r="E96">
        <v>12</v>
      </c>
      <c r="F96">
        <v>1</v>
      </c>
      <c r="G96" t="s">
        <v>4715</v>
      </c>
      <c r="H96">
        <f>+VLOOKUP(G96,Hoja4!$A$1:$F$76,5,FALSE)</f>
        <v>13.205299999999999</v>
      </c>
      <c r="I96">
        <f>+VLOOKUP(G96,Hoja4!$A$1:$F$76,6,FALSE)</f>
        <v>9.40015</v>
      </c>
      <c r="J96" t="s">
        <v>4878</v>
      </c>
    </row>
    <row r="97" spans="1:13" x14ac:dyDescent="0.25">
      <c r="A97">
        <v>2310090460</v>
      </c>
      <c r="B97" t="s">
        <v>2300</v>
      </c>
      <c r="C97" s="4">
        <f>+(3600/K97)*L97*24</f>
        <v>68844.621513944207</v>
      </c>
      <c r="D97">
        <v>24</v>
      </c>
      <c r="E97">
        <v>24</v>
      </c>
      <c r="F97">
        <v>2</v>
      </c>
      <c r="G97" t="s">
        <v>4827</v>
      </c>
      <c r="H97">
        <f>+VLOOKUP(G97,Hoja4!$A$1:$F$76,5,FALSE)</f>
        <v>20.770499999999998</v>
      </c>
      <c r="I97">
        <f>+VLOOKUP(G97,Hoja4!$A$1:$F$76,6,FALSE)</f>
        <v>9.9880300000000002</v>
      </c>
      <c r="J97" t="s">
        <v>4858</v>
      </c>
      <c r="K97">
        <v>25.1</v>
      </c>
      <c r="L97">
        <v>20</v>
      </c>
      <c r="M97">
        <v>20</v>
      </c>
    </row>
    <row r="98" spans="1:13" x14ac:dyDescent="0.25">
      <c r="A98">
        <v>2310160241</v>
      </c>
      <c r="B98" t="s">
        <v>2383</v>
      </c>
      <c r="C98" s="4">
        <f>+(3600/K98)*L98*24</f>
        <v>60631.57894736842</v>
      </c>
      <c r="D98">
        <v>24</v>
      </c>
      <c r="E98">
        <v>24</v>
      </c>
      <c r="F98">
        <v>1</v>
      </c>
      <c r="G98" t="s">
        <v>4843</v>
      </c>
      <c r="H98">
        <f>+VLOOKUP(G98,Hoja4!$A$1:$F$76,5,FALSE)</f>
        <v>11.5246</v>
      </c>
      <c r="I98">
        <f>+VLOOKUP(G98,Hoja4!$A$1:$F$76,6,FALSE)</f>
        <v>9.9759499999999992</v>
      </c>
      <c r="J98" t="s">
        <v>4858</v>
      </c>
      <c r="K98">
        <v>22.8</v>
      </c>
      <c r="L98">
        <v>16</v>
      </c>
      <c r="M98">
        <v>15</v>
      </c>
    </row>
    <row r="99" spans="1:13" x14ac:dyDescent="0.25">
      <c r="A99">
        <v>2310160251</v>
      </c>
      <c r="B99" t="s">
        <v>2393</v>
      </c>
      <c r="C99" s="4">
        <f>+(3600/K99)*L99*24</f>
        <v>74482.758620689667</v>
      </c>
      <c r="D99">
        <v>24</v>
      </c>
      <c r="E99">
        <v>24</v>
      </c>
      <c r="F99">
        <v>1</v>
      </c>
      <c r="G99" t="s">
        <v>4838</v>
      </c>
      <c r="H99">
        <f>+VLOOKUP(G99,Hoja4!$A$1:$F$76,5,FALSE)</f>
        <v>10.978999999999999</v>
      </c>
      <c r="I99">
        <f>+VLOOKUP(G99,Hoja4!$A$1:$F$76,6,FALSE)</f>
        <v>9.6438400000000009</v>
      </c>
      <c r="J99" t="s">
        <v>4858</v>
      </c>
      <c r="K99">
        <v>23.2</v>
      </c>
      <c r="L99">
        <v>20</v>
      </c>
      <c r="M99">
        <v>20</v>
      </c>
    </row>
    <row r="100" spans="1:13" x14ac:dyDescent="0.25">
      <c r="A100">
        <v>2310210153</v>
      </c>
      <c r="B100" t="s">
        <v>2568</v>
      </c>
      <c r="C100">
        <v>25000</v>
      </c>
      <c r="D100">
        <v>24</v>
      </c>
      <c r="E100">
        <v>12</v>
      </c>
      <c r="F100">
        <v>2</v>
      </c>
      <c r="G100" t="s">
        <v>4681</v>
      </c>
      <c r="H100">
        <f>+VLOOKUP(G100,Hoja4!$A$1:$F$76,5,FALSE)</f>
        <v>64.126400000000004</v>
      </c>
      <c r="I100">
        <f>+VLOOKUP(G100,Hoja4!$A$1:$F$76,6,FALSE)</f>
        <v>10.918939999999999</v>
      </c>
      <c r="J100" t="s">
        <v>4857</v>
      </c>
    </row>
    <row r="101" spans="1:13" x14ac:dyDescent="0.25">
      <c r="A101">
        <v>2310090495</v>
      </c>
      <c r="B101" t="s">
        <v>2317</v>
      </c>
      <c r="C101">
        <v>25000</v>
      </c>
      <c r="D101">
        <v>12</v>
      </c>
      <c r="E101">
        <v>12</v>
      </c>
      <c r="F101">
        <v>1</v>
      </c>
      <c r="G101" t="s">
        <v>4715</v>
      </c>
      <c r="H101">
        <f>+VLOOKUP(G101,Hoja4!$A$1:$F$76,5,FALSE)</f>
        <v>13.205299999999999</v>
      </c>
      <c r="I101">
        <f>+VLOOKUP(G101,Hoja4!$A$1:$F$76,6,FALSE)</f>
        <v>9.40015</v>
      </c>
      <c r="J101" t="s">
        <v>4878</v>
      </c>
    </row>
    <row r="102" spans="1:13" x14ac:dyDescent="0.25">
      <c r="A102">
        <v>2310090461</v>
      </c>
      <c r="B102" t="s">
        <v>4875</v>
      </c>
      <c r="C102" s="4">
        <f>+(3600/K102)*L102*24</f>
        <v>68844.621513944207</v>
      </c>
      <c r="D102">
        <v>24</v>
      </c>
      <c r="E102">
        <v>24</v>
      </c>
      <c r="F102">
        <v>2</v>
      </c>
      <c r="G102" t="s">
        <v>4827</v>
      </c>
      <c r="H102">
        <f>+VLOOKUP(G102,Hoja4!$A$1:$F$76,5,FALSE)</f>
        <v>20.770499999999998</v>
      </c>
      <c r="I102">
        <f>+VLOOKUP(G102,Hoja4!$A$1:$F$76,6,FALSE)</f>
        <v>9.9880300000000002</v>
      </c>
      <c r="J102" t="s">
        <v>4858</v>
      </c>
      <c r="K102">
        <v>25.1</v>
      </c>
      <c r="L102">
        <v>20</v>
      </c>
      <c r="M102">
        <v>20</v>
      </c>
    </row>
    <row r="103" spans="1:13" x14ac:dyDescent="0.25">
      <c r="A103">
        <v>2310160242</v>
      </c>
      <c r="B103" t="s">
        <v>2384</v>
      </c>
      <c r="C103" s="4">
        <f>+(3600/K103)*L103*24</f>
        <v>60631.57894736842</v>
      </c>
      <c r="D103">
        <v>24</v>
      </c>
      <c r="E103">
        <v>24</v>
      </c>
      <c r="F103">
        <v>1</v>
      </c>
      <c r="G103" t="s">
        <v>4843</v>
      </c>
      <c r="H103">
        <f>+VLOOKUP(G103,Hoja4!$A$1:$F$76,5,FALSE)</f>
        <v>11.5246</v>
      </c>
      <c r="I103">
        <f>+VLOOKUP(G103,Hoja4!$A$1:$F$76,6,FALSE)</f>
        <v>9.9759499999999992</v>
      </c>
      <c r="J103" t="s">
        <v>4858</v>
      </c>
      <c r="K103">
        <v>22.8</v>
      </c>
      <c r="L103">
        <v>16</v>
      </c>
      <c r="M103">
        <v>15</v>
      </c>
    </row>
    <row r="104" spans="1:13" x14ac:dyDescent="0.25">
      <c r="A104">
        <v>2310160252</v>
      </c>
      <c r="B104" t="s">
        <v>2394</v>
      </c>
      <c r="C104" s="4">
        <f>+(3600/K104)*L104*24</f>
        <v>74482.758620689667</v>
      </c>
      <c r="D104">
        <v>24</v>
      </c>
      <c r="E104">
        <v>24</v>
      </c>
      <c r="F104">
        <v>1</v>
      </c>
      <c r="G104" t="s">
        <v>4838</v>
      </c>
      <c r="H104">
        <f>+VLOOKUP(G104,Hoja4!$A$1:$F$76,5,FALSE)</f>
        <v>10.978999999999999</v>
      </c>
      <c r="I104">
        <f>+VLOOKUP(G104,Hoja4!$A$1:$F$76,6,FALSE)</f>
        <v>9.6438400000000009</v>
      </c>
      <c r="J104" t="s">
        <v>4858</v>
      </c>
      <c r="K104">
        <v>23.2</v>
      </c>
      <c r="L104">
        <v>20</v>
      </c>
      <c r="M104">
        <v>20</v>
      </c>
    </row>
    <row r="105" spans="1:13" x14ac:dyDescent="0.25">
      <c r="A105">
        <v>2310210154</v>
      </c>
      <c r="B105" t="s">
        <v>2569</v>
      </c>
      <c r="C105">
        <v>25000</v>
      </c>
      <c r="D105">
        <v>24</v>
      </c>
      <c r="E105">
        <v>12</v>
      </c>
      <c r="F105">
        <v>2</v>
      </c>
      <c r="G105" t="s">
        <v>4681</v>
      </c>
      <c r="H105">
        <f>+VLOOKUP(G105,Hoja4!$A$1:$F$76,5,FALSE)</f>
        <v>64.126400000000004</v>
      </c>
      <c r="I105">
        <f>+VLOOKUP(G105,Hoja4!$A$1:$F$76,6,FALSE)</f>
        <v>10.918939999999999</v>
      </c>
      <c r="J105" t="s">
        <v>4857</v>
      </c>
    </row>
    <row r="106" spans="1:13" x14ac:dyDescent="0.25">
      <c r="A106">
        <v>2310090496</v>
      </c>
      <c r="B106" t="s">
        <v>2318</v>
      </c>
      <c r="C106">
        <v>25000</v>
      </c>
      <c r="D106">
        <v>12</v>
      </c>
      <c r="E106">
        <v>12</v>
      </c>
      <c r="F106">
        <v>1</v>
      </c>
      <c r="G106" t="s">
        <v>4715</v>
      </c>
      <c r="H106">
        <f>+VLOOKUP(G106,Hoja4!$A$1:$F$76,5,FALSE)</f>
        <v>13.205299999999999</v>
      </c>
      <c r="I106">
        <f>+VLOOKUP(G106,Hoja4!$A$1:$F$76,6,FALSE)</f>
        <v>9.40015</v>
      </c>
      <c r="J106" t="s">
        <v>4878</v>
      </c>
    </row>
    <row r="107" spans="1:13" x14ac:dyDescent="0.25">
      <c r="A107">
        <v>2310090462</v>
      </c>
      <c r="B107" t="s">
        <v>2301</v>
      </c>
      <c r="C107" s="4">
        <f>+(3600/K107)*L107*24</f>
        <v>68844.621513944207</v>
      </c>
      <c r="D107">
        <v>24</v>
      </c>
      <c r="E107">
        <v>24</v>
      </c>
      <c r="F107">
        <v>2</v>
      </c>
      <c r="G107" t="s">
        <v>4827</v>
      </c>
      <c r="H107">
        <f>+VLOOKUP(G107,Hoja4!$A$1:$F$76,5,FALSE)</f>
        <v>20.770499999999998</v>
      </c>
      <c r="I107">
        <f>+VLOOKUP(G107,Hoja4!$A$1:$F$76,6,FALSE)</f>
        <v>9.9880300000000002</v>
      </c>
      <c r="J107" t="s">
        <v>4858</v>
      </c>
      <c r="K107">
        <v>25.1</v>
      </c>
      <c r="L107">
        <v>20</v>
      </c>
      <c r="M107">
        <v>20</v>
      </c>
    </row>
    <row r="108" spans="1:13" x14ac:dyDescent="0.25">
      <c r="A108">
        <v>2310160243</v>
      </c>
      <c r="B108" t="s">
        <v>2385</v>
      </c>
      <c r="C108" s="4">
        <f>+(3600/K108)*L108*24</f>
        <v>60631.57894736842</v>
      </c>
      <c r="D108">
        <v>24</v>
      </c>
      <c r="E108">
        <v>24</v>
      </c>
      <c r="F108">
        <v>1</v>
      </c>
      <c r="G108" t="s">
        <v>4843</v>
      </c>
      <c r="H108">
        <f>+VLOOKUP(G108,Hoja4!$A$1:$F$76,5,FALSE)</f>
        <v>11.5246</v>
      </c>
      <c r="I108">
        <f>+VLOOKUP(G108,Hoja4!$A$1:$F$76,6,FALSE)</f>
        <v>9.9759499999999992</v>
      </c>
      <c r="J108" t="s">
        <v>4858</v>
      </c>
      <c r="K108">
        <v>22.8</v>
      </c>
      <c r="L108">
        <v>16</v>
      </c>
      <c r="M108">
        <v>15</v>
      </c>
    </row>
    <row r="109" spans="1:13" x14ac:dyDescent="0.25">
      <c r="A109">
        <v>2310160253</v>
      </c>
      <c r="B109" t="s">
        <v>2395</v>
      </c>
      <c r="C109" s="4">
        <f>+(3600/K109)*L109*24</f>
        <v>74482.758620689667</v>
      </c>
      <c r="D109">
        <v>24</v>
      </c>
      <c r="E109">
        <v>24</v>
      </c>
      <c r="F109">
        <v>1</v>
      </c>
      <c r="G109" t="s">
        <v>4838</v>
      </c>
      <c r="H109">
        <f>+VLOOKUP(G109,Hoja4!$A$1:$F$76,5,FALSE)</f>
        <v>10.978999999999999</v>
      </c>
      <c r="I109">
        <f>+VLOOKUP(G109,Hoja4!$A$1:$F$76,6,FALSE)</f>
        <v>9.6438400000000009</v>
      </c>
      <c r="J109" t="s">
        <v>4858</v>
      </c>
      <c r="K109">
        <v>23.2</v>
      </c>
      <c r="L109">
        <v>20</v>
      </c>
      <c r="M109">
        <v>20</v>
      </c>
    </row>
    <row r="110" spans="1:13" x14ac:dyDescent="0.25">
      <c r="A110">
        <v>2310210155</v>
      </c>
      <c r="B110" t="s">
        <v>2570</v>
      </c>
      <c r="C110">
        <v>25000</v>
      </c>
      <c r="D110">
        <v>24</v>
      </c>
      <c r="E110">
        <v>12</v>
      </c>
      <c r="F110">
        <v>2</v>
      </c>
      <c r="G110" t="s">
        <v>4681</v>
      </c>
      <c r="H110">
        <f>+VLOOKUP(G110,Hoja4!$A$1:$F$76,5,FALSE)</f>
        <v>64.126400000000004</v>
      </c>
      <c r="I110">
        <f>+VLOOKUP(G110,Hoja4!$A$1:$F$76,6,FALSE)</f>
        <v>10.918939999999999</v>
      </c>
      <c r="J110" t="s">
        <v>4857</v>
      </c>
    </row>
    <row r="111" spans="1:13" x14ac:dyDescent="0.25">
      <c r="A111">
        <v>2310090497</v>
      </c>
      <c r="B111" t="s">
        <v>4876</v>
      </c>
      <c r="C111">
        <v>25000</v>
      </c>
      <c r="D111">
        <v>12</v>
      </c>
      <c r="E111">
        <v>12</v>
      </c>
      <c r="F111">
        <v>1</v>
      </c>
      <c r="G111" t="s">
        <v>4715</v>
      </c>
      <c r="H111">
        <f>+VLOOKUP(G111,Hoja4!$A$1:$F$76,5,FALSE)</f>
        <v>13.205299999999999</v>
      </c>
      <c r="I111">
        <f>+VLOOKUP(G111,Hoja4!$A$1:$F$76,6,FALSE)</f>
        <v>9.40015</v>
      </c>
      <c r="J111" t="s">
        <v>4878</v>
      </c>
    </row>
    <row r="112" spans="1:13" x14ac:dyDescent="0.25">
      <c r="A112">
        <v>2310090463</v>
      </c>
      <c r="B112" t="s">
        <v>2302</v>
      </c>
      <c r="C112" s="4">
        <f>+(3600/K112)*L112*24</f>
        <v>68844.621513944207</v>
      </c>
      <c r="D112">
        <v>24</v>
      </c>
      <c r="E112">
        <v>24</v>
      </c>
      <c r="F112">
        <v>2</v>
      </c>
      <c r="G112" t="s">
        <v>4827</v>
      </c>
      <c r="H112">
        <f>+VLOOKUP(G112,Hoja4!$A$1:$F$76,5,FALSE)</f>
        <v>20.770499999999998</v>
      </c>
      <c r="I112">
        <f>+VLOOKUP(G112,Hoja4!$A$1:$F$76,6,FALSE)</f>
        <v>9.9880300000000002</v>
      </c>
      <c r="J112" t="s">
        <v>4858</v>
      </c>
      <c r="K112">
        <v>25.1</v>
      </c>
      <c r="L112">
        <v>20</v>
      </c>
      <c r="M112">
        <v>20</v>
      </c>
    </row>
    <row r="113" spans="1:13" x14ac:dyDescent="0.25">
      <c r="A113">
        <v>2310160244</v>
      </c>
      <c r="B113" t="s">
        <v>2386</v>
      </c>
      <c r="C113" s="4">
        <f>+(3600/K113)*L113*24</f>
        <v>60631.57894736842</v>
      </c>
      <c r="D113">
        <v>24</v>
      </c>
      <c r="E113">
        <v>24</v>
      </c>
      <c r="F113">
        <v>1</v>
      </c>
      <c r="G113" t="s">
        <v>4843</v>
      </c>
      <c r="H113">
        <f>+VLOOKUP(G113,Hoja4!$A$1:$F$76,5,FALSE)</f>
        <v>11.5246</v>
      </c>
      <c r="I113">
        <f>+VLOOKUP(G113,Hoja4!$A$1:$F$76,6,FALSE)</f>
        <v>9.9759499999999992</v>
      </c>
      <c r="J113" t="s">
        <v>4858</v>
      </c>
      <c r="K113">
        <v>22.8</v>
      </c>
      <c r="L113">
        <v>16</v>
      </c>
      <c r="M113">
        <v>15</v>
      </c>
    </row>
    <row r="114" spans="1:13" x14ac:dyDescent="0.25">
      <c r="A114">
        <v>2310160254</v>
      </c>
      <c r="B114" t="s">
        <v>2396</v>
      </c>
      <c r="C114" s="4">
        <f>+(3600/K114)*L114*24</f>
        <v>74482.758620689667</v>
      </c>
      <c r="D114">
        <v>24</v>
      </c>
      <c r="E114">
        <v>24</v>
      </c>
      <c r="F114">
        <v>1</v>
      </c>
      <c r="G114" t="s">
        <v>4838</v>
      </c>
      <c r="H114">
        <f>+VLOOKUP(G114,Hoja4!$A$1:$F$76,5,FALSE)</f>
        <v>10.978999999999999</v>
      </c>
      <c r="I114">
        <f>+VLOOKUP(G114,Hoja4!$A$1:$F$76,6,FALSE)</f>
        <v>9.6438400000000009</v>
      </c>
      <c r="J114" t="s">
        <v>4858</v>
      </c>
      <c r="K114">
        <v>23.2</v>
      </c>
      <c r="L114">
        <v>20</v>
      </c>
      <c r="M114">
        <v>20</v>
      </c>
    </row>
    <row r="115" spans="1:13" x14ac:dyDescent="0.25">
      <c r="A115">
        <v>2310210156</v>
      </c>
      <c r="B115" t="s">
        <v>2571</v>
      </c>
      <c r="C115">
        <v>25000</v>
      </c>
      <c r="D115">
        <v>24</v>
      </c>
      <c r="E115">
        <v>12</v>
      </c>
      <c r="F115">
        <v>2</v>
      </c>
      <c r="G115" t="s">
        <v>4681</v>
      </c>
      <c r="H115">
        <f>+VLOOKUP(G115,Hoja4!$A$1:$F$76,5,FALSE)</f>
        <v>64.126400000000004</v>
      </c>
      <c r="I115">
        <f>+VLOOKUP(G115,Hoja4!$A$1:$F$76,6,FALSE)</f>
        <v>10.918939999999999</v>
      </c>
      <c r="J115" t="s">
        <v>4857</v>
      </c>
    </row>
    <row r="116" spans="1:13" x14ac:dyDescent="0.25">
      <c r="A116">
        <v>2310090498</v>
      </c>
      <c r="B116" t="s">
        <v>2319</v>
      </c>
      <c r="C116">
        <v>25000</v>
      </c>
      <c r="D116">
        <v>12</v>
      </c>
      <c r="E116">
        <v>12</v>
      </c>
      <c r="F116">
        <v>1</v>
      </c>
      <c r="G116" t="s">
        <v>4715</v>
      </c>
      <c r="H116">
        <f>+VLOOKUP(G116,Hoja4!$A$1:$F$76,5,FALSE)</f>
        <v>13.205299999999999</v>
      </c>
      <c r="I116">
        <f>+VLOOKUP(G116,Hoja4!$A$1:$F$76,6,FALSE)</f>
        <v>9.40015</v>
      </c>
      <c r="J116" t="s">
        <v>4878</v>
      </c>
    </row>
    <row r="117" spans="1:13" x14ac:dyDescent="0.25">
      <c r="A117">
        <v>2310090464</v>
      </c>
      <c r="B117" t="s">
        <v>2303</v>
      </c>
      <c r="C117" s="4">
        <f>+(3600/K117)*L117*24</f>
        <v>68844.621513944207</v>
      </c>
      <c r="D117">
        <v>24</v>
      </c>
      <c r="E117">
        <v>24</v>
      </c>
      <c r="F117">
        <v>2</v>
      </c>
      <c r="G117" t="s">
        <v>4827</v>
      </c>
      <c r="H117">
        <f>+VLOOKUP(G117,Hoja4!$A$1:$F$76,5,FALSE)</f>
        <v>20.770499999999998</v>
      </c>
      <c r="I117">
        <f>+VLOOKUP(G117,Hoja4!$A$1:$F$76,6,FALSE)</f>
        <v>9.9880300000000002</v>
      </c>
      <c r="J117" t="s">
        <v>4858</v>
      </c>
      <c r="K117">
        <v>25.1</v>
      </c>
      <c r="L117">
        <v>20</v>
      </c>
      <c r="M117">
        <v>20</v>
      </c>
    </row>
    <row r="118" spans="1:13" x14ac:dyDescent="0.25">
      <c r="A118">
        <v>2310160245</v>
      </c>
      <c r="B118" t="s">
        <v>2387</v>
      </c>
      <c r="C118" s="4">
        <f>+(3600/K118)*L118*24</f>
        <v>60631.57894736842</v>
      </c>
      <c r="D118">
        <v>24</v>
      </c>
      <c r="E118">
        <v>24</v>
      </c>
      <c r="F118">
        <v>1</v>
      </c>
      <c r="G118" t="s">
        <v>4843</v>
      </c>
      <c r="H118">
        <f>+VLOOKUP(G118,Hoja4!$A$1:$F$76,5,FALSE)</f>
        <v>11.5246</v>
      </c>
      <c r="I118">
        <f>+VLOOKUP(G118,Hoja4!$A$1:$F$76,6,FALSE)</f>
        <v>9.9759499999999992</v>
      </c>
      <c r="J118" t="s">
        <v>4858</v>
      </c>
      <c r="K118">
        <v>22.8</v>
      </c>
      <c r="L118">
        <v>16</v>
      </c>
      <c r="M118">
        <v>15</v>
      </c>
    </row>
    <row r="119" spans="1:13" x14ac:dyDescent="0.25">
      <c r="A119">
        <v>2310160255</v>
      </c>
      <c r="B119" t="s">
        <v>2397</v>
      </c>
      <c r="C119" s="4">
        <f>+(3600/K119)*L119*24</f>
        <v>74482.758620689667</v>
      </c>
      <c r="D119">
        <v>24</v>
      </c>
      <c r="E119">
        <v>24</v>
      </c>
      <c r="F119">
        <v>1</v>
      </c>
      <c r="G119" t="s">
        <v>4838</v>
      </c>
      <c r="H119">
        <f>+VLOOKUP(G119,Hoja4!$A$1:$F$76,5,FALSE)</f>
        <v>10.978999999999999</v>
      </c>
      <c r="I119">
        <f>+VLOOKUP(G119,Hoja4!$A$1:$F$76,6,FALSE)</f>
        <v>9.6438400000000009</v>
      </c>
      <c r="J119" t="s">
        <v>4858</v>
      </c>
      <c r="K119">
        <v>23.2</v>
      </c>
      <c r="L119">
        <v>20</v>
      </c>
      <c r="M119">
        <v>20</v>
      </c>
    </row>
    <row r="120" spans="1:13" x14ac:dyDescent="0.25">
      <c r="A120">
        <v>2310210157</v>
      </c>
      <c r="B120" t="s">
        <v>2572</v>
      </c>
      <c r="C120">
        <v>25000</v>
      </c>
      <c r="D120">
        <v>24</v>
      </c>
      <c r="E120">
        <v>12</v>
      </c>
      <c r="F120">
        <v>2</v>
      </c>
      <c r="G120" t="s">
        <v>4681</v>
      </c>
      <c r="H120">
        <f>+VLOOKUP(G120,Hoja4!$A$1:$F$76,5,FALSE)</f>
        <v>64.126400000000004</v>
      </c>
      <c r="I120">
        <f>+VLOOKUP(G120,Hoja4!$A$1:$F$76,6,FALSE)</f>
        <v>10.918939999999999</v>
      </c>
      <c r="J120" t="s">
        <v>4857</v>
      </c>
    </row>
    <row r="121" spans="1:13" x14ac:dyDescent="0.25">
      <c r="A121">
        <v>2310090499</v>
      </c>
      <c r="B121" t="s">
        <v>2320</v>
      </c>
      <c r="C121">
        <v>25000</v>
      </c>
      <c r="D121">
        <v>12</v>
      </c>
      <c r="E121">
        <v>12</v>
      </c>
      <c r="F121">
        <v>1</v>
      </c>
      <c r="G121" t="s">
        <v>4715</v>
      </c>
      <c r="H121">
        <f>+VLOOKUP(G121,Hoja4!$A$1:$F$76,5,FALSE)</f>
        <v>13.205299999999999</v>
      </c>
      <c r="I121">
        <f>+VLOOKUP(G121,Hoja4!$A$1:$F$76,6,FALSE)</f>
        <v>9.40015</v>
      </c>
      <c r="J121" t="s">
        <v>4878</v>
      </c>
    </row>
    <row r="122" spans="1:13" x14ac:dyDescent="0.25">
      <c r="A122">
        <v>2310090465</v>
      </c>
      <c r="B122" t="s">
        <v>2304</v>
      </c>
      <c r="C122" s="4">
        <f>+(3600/K122)*L122*24</f>
        <v>68844.621513944207</v>
      </c>
      <c r="D122">
        <v>24</v>
      </c>
      <c r="E122">
        <v>24</v>
      </c>
      <c r="F122">
        <v>2</v>
      </c>
      <c r="G122" t="s">
        <v>4827</v>
      </c>
      <c r="H122">
        <f>+VLOOKUP(G122,Hoja4!$A$1:$F$76,5,FALSE)</f>
        <v>20.770499999999998</v>
      </c>
      <c r="I122">
        <f>+VLOOKUP(G122,Hoja4!$A$1:$F$76,6,FALSE)</f>
        <v>9.9880300000000002</v>
      </c>
      <c r="J122" t="s">
        <v>4858</v>
      </c>
      <c r="K122">
        <v>25.1</v>
      </c>
      <c r="L122">
        <v>20</v>
      </c>
      <c r="M122">
        <v>20</v>
      </c>
    </row>
    <row r="123" spans="1:13" x14ac:dyDescent="0.25">
      <c r="A123">
        <v>2310160246</v>
      </c>
      <c r="B123" t="s">
        <v>2388</v>
      </c>
      <c r="C123" s="4">
        <f>+(3600/K123)*L123*24</f>
        <v>60631.57894736842</v>
      </c>
      <c r="D123">
        <v>24</v>
      </c>
      <c r="E123">
        <v>24</v>
      </c>
      <c r="F123">
        <v>1</v>
      </c>
      <c r="G123" t="s">
        <v>4843</v>
      </c>
      <c r="H123">
        <f>+VLOOKUP(G123,Hoja4!$A$1:$F$76,5,FALSE)</f>
        <v>11.5246</v>
      </c>
      <c r="I123">
        <f>+VLOOKUP(G123,Hoja4!$A$1:$F$76,6,FALSE)</f>
        <v>9.9759499999999992</v>
      </c>
      <c r="J123" t="s">
        <v>4858</v>
      </c>
      <c r="K123">
        <v>22.8</v>
      </c>
      <c r="L123">
        <v>16</v>
      </c>
      <c r="M123">
        <v>15</v>
      </c>
    </row>
    <row r="124" spans="1:13" x14ac:dyDescent="0.25">
      <c r="A124">
        <v>2310160256</v>
      </c>
      <c r="B124" t="s">
        <v>2398</v>
      </c>
      <c r="C124" s="4">
        <f>+(3600/K124)*L124*24</f>
        <v>74482.758620689667</v>
      </c>
      <c r="D124">
        <v>24</v>
      </c>
      <c r="E124">
        <v>24</v>
      </c>
      <c r="F124">
        <v>1</v>
      </c>
      <c r="G124" t="s">
        <v>4838</v>
      </c>
      <c r="H124">
        <f>+VLOOKUP(G124,Hoja4!$A$1:$F$76,5,FALSE)</f>
        <v>10.978999999999999</v>
      </c>
      <c r="I124">
        <f>+VLOOKUP(G124,Hoja4!$A$1:$F$76,6,FALSE)</f>
        <v>9.6438400000000009</v>
      </c>
      <c r="J124" t="s">
        <v>4858</v>
      </c>
      <c r="K124">
        <v>23.2</v>
      </c>
      <c r="L124">
        <v>20</v>
      </c>
      <c r="M124">
        <v>20</v>
      </c>
    </row>
    <row r="125" spans="1:13" x14ac:dyDescent="0.25">
      <c r="A125">
        <v>2310210158</v>
      </c>
      <c r="B125" t="s">
        <v>2573</v>
      </c>
      <c r="C125">
        <v>25000</v>
      </c>
      <c r="D125">
        <v>24</v>
      </c>
      <c r="E125">
        <v>12</v>
      </c>
      <c r="F125">
        <v>2</v>
      </c>
      <c r="G125" t="s">
        <v>4681</v>
      </c>
      <c r="H125">
        <f>+VLOOKUP(G125,Hoja4!$A$1:$F$76,5,FALSE)</f>
        <v>64.126400000000004</v>
      </c>
      <c r="I125">
        <f>+VLOOKUP(G125,Hoja4!$A$1:$F$76,6,FALSE)</f>
        <v>10.918939999999999</v>
      </c>
      <c r="J125" t="s">
        <v>4857</v>
      </c>
    </row>
    <row r="126" spans="1:13" x14ac:dyDescent="0.25">
      <c r="A126">
        <v>2310090500</v>
      </c>
      <c r="B126" t="s">
        <v>2321</v>
      </c>
      <c r="C126">
        <v>25000</v>
      </c>
      <c r="D126">
        <v>12</v>
      </c>
      <c r="E126">
        <v>12</v>
      </c>
      <c r="F126">
        <v>1</v>
      </c>
      <c r="G126" t="s">
        <v>4715</v>
      </c>
      <c r="H126">
        <f>+VLOOKUP(G126,Hoja4!$A$1:$F$76,5,FALSE)</f>
        <v>13.205299999999999</v>
      </c>
      <c r="I126">
        <f>+VLOOKUP(G126,Hoja4!$A$1:$F$76,6,FALSE)</f>
        <v>9.40015</v>
      </c>
      <c r="J126" t="s">
        <v>4878</v>
      </c>
    </row>
    <row r="127" spans="1:13" x14ac:dyDescent="0.25">
      <c r="A127">
        <v>2310090466</v>
      </c>
      <c r="B127" t="s">
        <v>2305</v>
      </c>
      <c r="C127" s="4">
        <f>+(3600/K127)*L127*24</f>
        <v>68844.621513944207</v>
      </c>
      <c r="D127">
        <v>24</v>
      </c>
      <c r="E127">
        <v>24</v>
      </c>
      <c r="F127">
        <v>2</v>
      </c>
      <c r="G127" t="s">
        <v>4827</v>
      </c>
      <c r="H127">
        <f>+VLOOKUP(G127,Hoja4!$A$1:$F$76,5,FALSE)</f>
        <v>20.770499999999998</v>
      </c>
      <c r="I127">
        <f>+VLOOKUP(G127,Hoja4!$A$1:$F$76,6,FALSE)</f>
        <v>9.9880300000000002</v>
      </c>
      <c r="J127" t="s">
        <v>4858</v>
      </c>
      <c r="K127">
        <v>25.1</v>
      </c>
      <c r="L127">
        <v>20</v>
      </c>
      <c r="M127">
        <v>20</v>
      </c>
    </row>
    <row r="128" spans="1:13" x14ac:dyDescent="0.25">
      <c r="A128">
        <v>2310160247</v>
      </c>
      <c r="B128" t="s">
        <v>2389</v>
      </c>
      <c r="C128" s="4">
        <f>+(3600/K128)*L128*24</f>
        <v>60631.57894736842</v>
      </c>
      <c r="D128">
        <v>24</v>
      </c>
      <c r="E128">
        <v>24</v>
      </c>
      <c r="F128">
        <v>1</v>
      </c>
      <c r="G128" t="s">
        <v>4843</v>
      </c>
      <c r="H128">
        <f>+VLOOKUP(G128,Hoja4!$A$1:$F$76,5,FALSE)</f>
        <v>11.5246</v>
      </c>
      <c r="I128">
        <f>+VLOOKUP(G128,Hoja4!$A$1:$F$76,6,FALSE)</f>
        <v>9.9759499999999992</v>
      </c>
      <c r="J128" t="s">
        <v>4858</v>
      </c>
      <c r="K128">
        <v>22.8</v>
      </c>
      <c r="L128">
        <v>16</v>
      </c>
      <c r="M128">
        <v>15</v>
      </c>
    </row>
    <row r="129" spans="1:13" x14ac:dyDescent="0.25">
      <c r="A129">
        <v>2310160257</v>
      </c>
      <c r="B129" t="s">
        <v>2399</v>
      </c>
      <c r="C129" s="4">
        <f>+(3600/K129)*L129*24</f>
        <v>74482.758620689667</v>
      </c>
      <c r="D129">
        <v>24</v>
      </c>
      <c r="E129">
        <v>24</v>
      </c>
      <c r="F129">
        <v>1</v>
      </c>
      <c r="G129" t="s">
        <v>4838</v>
      </c>
      <c r="H129">
        <f>+VLOOKUP(G129,Hoja4!$A$1:$F$76,5,FALSE)</f>
        <v>10.978999999999999</v>
      </c>
      <c r="I129">
        <f>+VLOOKUP(G129,Hoja4!$A$1:$F$76,6,FALSE)</f>
        <v>9.6438400000000009</v>
      </c>
      <c r="J129" t="s">
        <v>4858</v>
      </c>
      <c r="K129">
        <v>23.2</v>
      </c>
      <c r="L129">
        <v>20</v>
      </c>
      <c r="M129">
        <v>20</v>
      </c>
    </row>
    <row r="130" spans="1:13" x14ac:dyDescent="0.25">
      <c r="A130">
        <v>2310210160</v>
      </c>
      <c r="B130" t="s">
        <v>2575</v>
      </c>
      <c r="C130">
        <v>25000</v>
      </c>
      <c r="D130">
        <v>24</v>
      </c>
      <c r="E130">
        <v>12</v>
      </c>
      <c r="F130">
        <v>2</v>
      </c>
      <c r="G130" t="s">
        <v>4681</v>
      </c>
      <c r="H130">
        <f>+VLOOKUP(G130,Hoja4!$A$1:$F$76,5,FALSE)</f>
        <v>64.126400000000004</v>
      </c>
      <c r="I130">
        <f>+VLOOKUP(G130,Hoja4!$A$1:$F$76,6,FALSE)</f>
        <v>10.918939999999999</v>
      </c>
      <c r="J130" t="s">
        <v>4857</v>
      </c>
    </row>
    <row r="131" spans="1:13" x14ac:dyDescent="0.25">
      <c r="A131">
        <v>2310090501</v>
      </c>
      <c r="B131" t="s">
        <v>2322</v>
      </c>
      <c r="C131">
        <v>25000</v>
      </c>
      <c r="D131">
        <v>12</v>
      </c>
      <c r="E131">
        <v>12</v>
      </c>
      <c r="F131">
        <v>1</v>
      </c>
      <c r="G131" t="s">
        <v>4715</v>
      </c>
      <c r="H131">
        <f>+VLOOKUP(G131,Hoja4!$A$1:$F$76,5,FALSE)</f>
        <v>13.205299999999999</v>
      </c>
      <c r="I131">
        <f>+VLOOKUP(G131,Hoja4!$A$1:$F$76,6,FALSE)</f>
        <v>9.40015</v>
      </c>
      <c r="J131" t="s">
        <v>4878</v>
      </c>
    </row>
    <row r="132" spans="1:13" x14ac:dyDescent="0.25">
      <c r="A132">
        <v>2310090468</v>
      </c>
      <c r="B132" t="s">
        <v>2306</v>
      </c>
      <c r="C132" s="4">
        <f>+(3600/K132)*L132*24</f>
        <v>68844.621513944207</v>
      </c>
      <c r="D132">
        <v>24</v>
      </c>
      <c r="E132">
        <v>24</v>
      </c>
      <c r="F132">
        <v>2</v>
      </c>
      <c r="G132" t="s">
        <v>4827</v>
      </c>
      <c r="H132">
        <f>+VLOOKUP(G132,Hoja4!$A$1:$F$76,5,FALSE)</f>
        <v>20.770499999999998</v>
      </c>
      <c r="I132">
        <f>+VLOOKUP(G132,Hoja4!$A$1:$F$76,6,FALSE)</f>
        <v>9.9880300000000002</v>
      </c>
      <c r="J132" t="s">
        <v>4858</v>
      </c>
      <c r="K132">
        <v>25.1</v>
      </c>
      <c r="L132">
        <v>20</v>
      </c>
      <c r="M132">
        <v>20</v>
      </c>
    </row>
    <row r="133" spans="1:13" x14ac:dyDescent="0.25">
      <c r="A133">
        <v>2310160356</v>
      </c>
      <c r="B133" t="s">
        <v>2410</v>
      </c>
      <c r="C133" s="4">
        <f>+(3600/K133)*L133*24</f>
        <v>60631.57894736842</v>
      </c>
      <c r="D133">
        <v>24</v>
      </c>
      <c r="E133">
        <v>24</v>
      </c>
      <c r="F133">
        <v>1</v>
      </c>
      <c r="G133" t="s">
        <v>4843</v>
      </c>
      <c r="H133">
        <f>+VLOOKUP(G133,Hoja4!$A$1:$F$76,5,FALSE)</f>
        <v>11.5246</v>
      </c>
      <c r="I133">
        <f>+VLOOKUP(G133,Hoja4!$A$1:$F$76,6,FALSE)</f>
        <v>9.9759499999999992</v>
      </c>
      <c r="J133" t="s">
        <v>4858</v>
      </c>
      <c r="K133">
        <v>22.8</v>
      </c>
      <c r="L133">
        <v>16</v>
      </c>
      <c r="M133">
        <v>15</v>
      </c>
    </row>
    <row r="134" spans="1:13" x14ac:dyDescent="0.25">
      <c r="A134">
        <v>2310160354</v>
      </c>
      <c r="B134" t="s">
        <v>2408</v>
      </c>
      <c r="C134" s="4">
        <f>+(3600/K134)*L134*24</f>
        <v>74482.758620689667</v>
      </c>
      <c r="D134">
        <v>24</v>
      </c>
      <c r="E134">
        <v>24</v>
      </c>
      <c r="F134">
        <v>1</v>
      </c>
      <c r="G134" t="s">
        <v>4838</v>
      </c>
      <c r="H134">
        <f>+VLOOKUP(G134,Hoja4!$A$1:$F$76,5,FALSE)</f>
        <v>10.978999999999999</v>
      </c>
      <c r="I134">
        <f>+VLOOKUP(G134,Hoja4!$A$1:$F$76,6,FALSE)</f>
        <v>9.6438400000000009</v>
      </c>
      <c r="J134" t="s">
        <v>4858</v>
      </c>
      <c r="K134">
        <v>23.2</v>
      </c>
      <c r="L134">
        <v>20</v>
      </c>
      <c r="M134">
        <v>20</v>
      </c>
    </row>
    <row r="135" spans="1:13" x14ac:dyDescent="0.25">
      <c r="A135">
        <v>2310210159</v>
      </c>
      <c r="B135" t="s">
        <v>2574</v>
      </c>
      <c r="C135">
        <v>25000</v>
      </c>
      <c r="D135">
        <v>24</v>
      </c>
      <c r="E135">
        <v>12</v>
      </c>
      <c r="F135">
        <v>2</v>
      </c>
      <c r="G135" t="s">
        <v>4681</v>
      </c>
      <c r="H135">
        <f>+VLOOKUP(G135,Hoja4!$A$1:$F$76,5,FALSE)</f>
        <v>64.126400000000004</v>
      </c>
      <c r="I135">
        <f>+VLOOKUP(G135,Hoja4!$A$1:$F$76,6,FALSE)</f>
        <v>10.918939999999999</v>
      </c>
      <c r="J135" t="s">
        <v>4857</v>
      </c>
    </row>
    <row r="136" spans="1:13" x14ac:dyDescent="0.25">
      <c r="A136">
        <v>2310090502</v>
      </c>
      <c r="B136" t="s">
        <v>2323</v>
      </c>
      <c r="C136">
        <v>25000</v>
      </c>
      <c r="D136">
        <v>12</v>
      </c>
      <c r="E136">
        <v>12</v>
      </c>
      <c r="F136">
        <v>1</v>
      </c>
      <c r="G136" t="s">
        <v>4715</v>
      </c>
      <c r="H136">
        <f>+VLOOKUP(G136,Hoja4!$A$1:$F$76,5,FALSE)</f>
        <v>13.205299999999999</v>
      </c>
      <c r="I136">
        <f>+VLOOKUP(G136,Hoja4!$A$1:$F$76,6,FALSE)</f>
        <v>9.40015</v>
      </c>
      <c r="J136" t="s">
        <v>4878</v>
      </c>
    </row>
    <row r="137" spans="1:13" x14ac:dyDescent="0.25">
      <c r="A137">
        <v>2310090469</v>
      </c>
      <c r="B137" t="s">
        <v>2307</v>
      </c>
      <c r="C137" s="4">
        <f>+(3600/K137)*L137*24</f>
        <v>68844.621513944207</v>
      </c>
      <c r="D137">
        <v>24</v>
      </c>
      <c r="E137">
        <v>24</v>
      </c>
      <c r="F137">
        <v>2</v>
      </c>
      <c r="G137" t="s">
        <v>4827</v>
      </c>
      <c r="H137">
        <f>+VLOOKUP(G137,Hoja4!$A$1:$F$76,5,FALSE)</f>
        <v>20.770499999999998</v>
      </c>
      <c r="I137">
        <f>+VLOOKUP(G137,Hoja4!$A$1:$F$76,6,FALSE)</f>
        <v>9.9880300000000002</v>
      </c>
      <c r="J137" t="s">
        <v>4858</v>
      </c>
      <c r="K137">
        <v>25.1</v>
      </c>
      <c r="L137">
        <v>20</v>
      </c>
      <c r="M137">
        <v>20</v>
      </c>
    </row>
    <row r="138" spans="1:13" x14ac:dyDescent="0.25">
      <c r="A138">
        <v>2310160355</v>
      </c>
      <c r="B138" t="s">
        <v>2409</v>
      </c>
      <c r="C138" s="4">
        <f>+(3600/K138)*L138*24</f>
        <v>60631.57894736842</v>
      </c>
      <c r="D138">
        <v>24</v>
      </c>
      <c r="E138">
        <v>24</v>
      </c>
      <c r="F138">
        <v>1</v>
      </c>
      <c r="G138" t="s">
        <v>4843</v>
      </c>
      <c r="H138">
        <f>+VLOOKUP(G138,Hoja4!$A$1:$F$76,5,FALSE)</f>
        <v>11.5246</v>
      </c>
      <c r="I138">
        <f>+VLOOKUP(G138,Hoja4!$A$1:$F$76,6,FALSE)</f>
        <v>9.9759499999999992</v>
      </c>
      <c r="J138" t="s">
        <v>4858</v>
      </c>
      <c r="K138">
        <v>22.8</v>
      </c>
      <c r="L138">
        <v>16</v>
      </c>
      <c r="M138">
        <v>15</v>
      </c>
    </row>
    <row r="139" spans="1:13" x14ac:dyDescent="0.25">
      <c r="A139">
        <v>2310160353</v>
      </c>
      <c r="B139" t="s">
        <v>2407</v>
      </c>
      <c r="C139" s="4">
        <f>+(3600/K139)*L139*24</f>
        <v>74482.758620689667</v>
      </c>
      <c r="D139">
        <v>24</v>
      </c>
      <c r="E139">
        <v>24</v>
      </c>
      <c r="F139">
        <v>1</v>
      </c>
      <c r="G139" t="s">
        <v>4838</v>
      </c>
      <c r="H139">
        <f>+VLOOKUP(G139,Hoja4!$A$1:$F$76,5,FALSE)</f>
        <v>10.978999999999999</v>
      </c>
      <c r="I139">
        <f>+VLOOKUP(G139,Hoja4!$A$1:$F$76,6,FALSE)</f>
        <v>9.6438400000000009</v>
      </c>
      <c r="J139" t="s">
        <v>4858</v>
      </c>
      <c r="K139">
        <v>23.2</v>
      </c>
      <c r="L139">
        <v>20</v>
      </c>
      <c r="M139">
        <v>20</v>
      </c>
    </row>
    <row r="140" spans="1:13" x14ac:dyDescent="0.25">
      <c r="A140">
        <v>2110030001</v>
      </c>
      <c r="B140" t="s">
        <v>1142</v>
      </c>
      <c r="C140" s="4">
        <v>6000</v>
      </c>
      <c r="D140">
        <v>60</v>
      </c>
      <c r="E140">
        <v>12</v>
      </c>
      <c r="F140">
        <v>5</v>
      </c>
      <c r="G140" t="s">
        <v>4668</v>
      </c>
      <c r="H140">
        <f>+VLOOKUP(G140,Hoja4!$A$1:$F$76,5,FALSE)</f>
        <v>159.84190000000001</v>
      </c>
      <c r="I140">
        <f>+VLOOKUP(G140,Hoja4!$A$1:$F$76,6,FALSE)</f>
        <v>10.94472</v>
      </c>
      <c r="J140" t="s">
        <v>4879</v>
      </c>
    </row>
    <row r="141" spans="1:13" x14ac:dyDescent="0.25">
      <c r="A141">
        <v>2310160007</v>
      </c>
      <c r="B141" t="s">
        <v>2361</v>
      </c>
      <c r="C141" s="4">
        <f>+(3600/K141)*L141*24</f>
        <v>63123.287671232887</v>
      </c>
      <c r="D141">
        <v>24</v>
      </c>
      <c r="E141">
        <v>24</v>
      </c>
      <c r="F141">
        <v>1</v>
      </c>
      <c r="G141" t="s">
        <v>4832</v>
      </c>
      <c r="H141">
        <f>+VLOOKUP(G141,Hoja4!$A$1:$F$76,5,FALSE)</f>
        <v>0.23549999999999999</v>
      </c>
      <c r="I141">
        <f>+VLOOKUP(G141,Hoja4!$A$1:$F$76,6,FALSE)</f>
        <v>9.9880300000000002</v>
      </c>
      <c r="J141" t="s">
        <v>4858</v>
      </c>
      <c r="K141">
        <v>21.9</v>
      </c>
      <c r="L141">
        <v>16</v>
      </c>
      <c r="M141">
        <v>14</v>
      </c>
    </row>
    <row r="142" spans="1:13" x14ac:dyDescent="0.25">
      <c r="A142">
        <v>2310230002</v>
      </c>
      <c r="B142" t="s">
        <v>2611</v>
      </c>
      <c r="C142" s="4">
        <f>+(3600/K142)*L142*24</f>
        <v>72799.966957168232</v>
      </c>
      <c r="D142">
        <v>24</v>
      </c>
      <c r="E142">
        <v>24</v>
      </c>
      <c r="F142">
        <v>1</v>
      </c>
      <c r="G142" t="s">
        <v>4830</v>
      </c>
      <c r="H142">
        <f>+VLOOKUP(G142,Hoja4!$A$1:$F$76,5,FALSE)</f>
        <v>0.63600000000000001</v>
      </c>
      <c r="I142">
        <f>+VLOOKUP(G142,Hoja4!$A$1:$F$76,6,FALSE)</f>
        <v>9.9880300000000002</v>
      </c>
      <c r="J142" t="s">
        <v>4858</v>
      </c>
      <c r="K142">
        <v>14.241764705882352</v>
      </c>
      <c r="L142">
        <v>12</v>
      </c>
      <c r="M142">
        <v>11</v>
      </c>
    </row>
    <row r="143" spans="1:13" x14ac:dyDescent="0.25">
      <c r="A143">
        <v>2310030016</v>
      </c>
      <c r="B143" t="s">
        <v>2155</v>
      </c>
      <c r="C143">
        <f>900*3</f>
        <v>2700</v>
      </c>
      <c r="D143">
        <v>24</v>
      </c>
      <c r="E143">
        <v>12</v>
      </c>
      <c r="F143">
        <v>2</v>
      </c>
      <c r="G143" t="s">
        <v>4782</v>
      </c>
      <c r="H143">
        <f>+VLOOKUP(G143,Hoja4!$A$1:$F$76,5,FALSE)</f>
        <v>111.02809999999999</v>
      </c>
      <c r="I143">
        <f>+VLOOKUP(G143,Hoja4!$A$1:$F$76,6,FALSE)</f>
        <v>10.926310000000001</v>
      </c>
      <c r="J143" t="s">
        <v>4880</v>
      </c>
    </row>
    <row r="144" spans="1:13" x14ac:dyDescent="0.25">
      <c r="A144">
        <v>2310030273</v>
      </c>
      <c r="B144" t="s">
        <v>2181</v>
      </c>
      <c r="C144">
        <v>1833</v>
      </c>
      <c r="D144">
        <v>12</v>
      </c>
      <c r="E144">
        <v>12</v>
      </c>
      <c r="F144">
        <v>1</v>
      </c>
      <c r="G144" t="s">
        <v>4798</v>
      </c>
      <c r="H144">
        <f>+VLOOKUP(G144,Hoja4!$A$1:$F$76,5,FALSE)</f>
        <v>149.61709999999999</v>
      </c>
      <c r="I144">
        <f>+VLOOKUP(G144,Hoja4!$A$1:$F$76,6,FALSE)</f>
        <v>10.926310000000001</v>
      </c>
      <c r="J144" t="s">
        <v>4859</v>
      </c>
    </row>
    <row r="145" spans="1:10" x14ac:dyDescent="0.25">
      <c r="A145">
        <v>2310030019</v>
      </c>
      <c r="B145" t="s">
        <v>2158</v>
      </c>
      <c r="C145">
        <f>900*3</f>
        <v>2700</v>
      </c>
      <c r="D145">
        <v>24</v>
      </c>
      <c r="E145">
        <v>12</v>
      </c>
      <c r="F145">
        <v>2</v>
      </c>
      <c r="G145" t="s">
        <v>4782</v>
      </c>
      <c r="H145">
        <f>+VLOOKUP(G145,Hoja4!$A$1:$F$76,5,FALSE)</f>
        <v>111.02809999999999</v>
      </c>
      <c r="I145">
        <f>+VLOOKUP(G145,Hoja4!$A$1:$F$76,6,FALSE)</f>
        <v>10.926310000000001</v>
      </c>
      <c r="J145" t="s">
        <v>4880</v>
      </c>
    </row>
    <row r="146" spans="1:10" x14ac:dyDescent="0.25">
      <c r="A146">
        <v>2310030236</v>
      </c>
      <c r="B146" t="s">
        <v>2173</v>
      </c>
      <c r="C146">
        <v>200</v>
      </c>
      <c r="D146">
        <v>12</v>
      </c>
      <c r="E146">
        <v>12</v>
      </c>
      <c r="F146">
        <v>1</v>
      </c>
      <c r="G146" t="s">
        <v>4790</v>
      </c>
      <c r="H146">
        <f>+VLOOKUP(G146,Hoja4!$A$1:$F$76,5,FALSE)</f>
        <v>32.963299999999997</v>
      </c>
      <c r="I146">
        <f>+VLOOKUP(G146,Hoja4!$A$1:$F$76,6,FALSE)</f>
        <v>10.32061</v>
      </c>
      <c r="J146" t="s">
        <v>4859</v>
      </c>
    </row>
    <row r="147" spans="1:10" x14ac:dyDescent="0.25">
      <c r="A147">
        <v>2310030020</v>
      </c>
      <c r="B147" t="s">
        <v>2159</v>
      </c>
      <c r="C147">
        <f>950*3</f>
        <v>2850</v>
      </c>
      <c r="D147">
        <v>24</v>
      </c>
      <c r="E147">
        <v>12</v>
      </c>
      <c r="F147">
        <v>2</v>
      </c>
      <c r="G147" t="s">
        <v>4782</v>
      </c>
      <c r="H147">
        <f>+VLOOKUP(G147,Hoja4!$A$1:$F$76,5,FALSE)</f>
        <v>111.02809999999999</v>
      </c>
      <c r="I147">
        <f>+VLOOKUP(G147,Hoja4!$A$1:$F$76,6,FALSE)</f>
        <v>10.926310000000001</v>
      </c>
      <c r="J147" t="s">
        <v>4880</v>
      </c>
    </row>
    <row r="148" spans="1:10" x14ac:dyDescent="0.25">
      <c r="A148">
        <v>2310030021</v>
      </c>
      <c r="B148" t="s">
        <v>2160</v>
      </c>
      <c r="C148">
        <f>900*3</f>
        <v>2700</v>
      </c>
      <c r="D148">
        <v>24</v>
      </c>
      <c r="E148">
        <v>12</v>
      </c>
      <c r="F148">
        <v>2</v>
      </c>
      <c r="G148" t="s">
        <v>4782</v>
      </c>
      <c r="H148">
        <f>+VLOOKUP(G148,Hoja4!$A$1:$F$76,5,FALSE)</f>
        <v>111.02809999999999</v>
      </c>
      <c r="I148">
        <f>+VLOOKUP(G148,Hoja4!$A$1:$F$76,6,FALSE)</f>
        <v>10.926310000000001</v>
      </c>
      <c r="J148" t="s">
        <v>4880</v>
      </c>
    </row>
    <row r="149" spans="1:10" x14ac:dyDescent="0.25">
      <c r="A149">
        <v>2310030015</v>
      </c>
      <c r="B149" t="s">
        <v>2154</v>
      </c>
      <c r="C149">
        <f t="shared" ref="C149:C151" si="1">900*3</f>
        <v>2700</v>
      </c>
      <c r="D149">
        <v>24</v>
      </c>
      <c r="E149">
        <v>12</v>
      </c>
      <c r="F149">
        <v>2</v>
      </c>
      <c r="G149" t="s">
        <v>4782</v>
      </c>
      <c r="H149">
        <f>+VLOOKUP(G149,Hoja4!$A$1:$F$76,5,FALSE)</f>
        <v>111.02809999999999</v>
      </c>
      <c r="I149">
        <f>+VLOOKUP(G149,Hoja4!$A$1:$F$76,6,FALSE)</f>
        <v>10.926310000000001</v>
      </c>
      <c r="J149" t="s">
        <v>4880</v>
      </c>
    </row>
    <row r="150" spans="1:10" x14ac:dyDescent="0.25">
      <c r="A150">
        <v>2310030017</v>
      </c>
      <c r="B150" t="s">
        <v>2156</v>
      </c>
      <c r="C150">
        <f t="shared" si="1"/>
        <v>2700</v>
      </c>
      <c r="D150">
        <v>24</v>
      </c>
      <c r="E150">
        <v>12</v>
      </c>
      <c r="F150">
        <v>2</v>
      </c>
      <c r="G150" t="s">
        <v>4782</v>
      </c>
      <c r="H150">
        <f>+VLOOKUP(G150,Hoja4!$A$1:$F$76,5,FALSE)</f>
        <v>111.02809999999999</v>
      </c>
      <c r="I150">
        <f>+VLOOKUP(G150,Hoja4!$A$1:$F$76,6,FALSE)</f>
        <v>10.926310000000001</v>
      </c>
      <c r="J150" t="s">
        <v>4880</v>
      </c>
    </row>
    <row r="151" spans="1:10" x14ac:dyDescent="0.25">
      <c r="A151">
        <v>2310030018</v>
      </c>
      <c r="B151" t="s">
        <v>2157</v>
      </c>
      <c r="C151">
        <f t="shared" si="1"/>
        <v>2700</v>
      </c>
      <c r="D151">
        <v>24</v>
      </c>
      <c r="E151">
        <v>12</v>
      </c>
      <c r="F151">
        <v>2</v>
      </c>
      <c r="G151" t="s">
        <v>4782</v>
      </c>
      <c r="H151">
        <f>+VLOOKUP(G151,Hoja4!$A$1:$F$76,5,FALSE)</f>
        <v>111.02809999999999</v>
      </c>
      <c r="I151">
        <f>+VLOOKUP(G151,Hoja4!$A$1:$F$76,6,FALSE)</f>
        <v>10.926310000000001</v>
      </c>
      <c r="J151" t="s">
        <v>4880</v>
      </c>
    </row>
    <row r="152" spans="1:10" x14ac:dyDescent="0.25">
      <c r="A152">
        <v>2310030240</v>
      </c>
      <c r="B152" t="s">
        <v>2176</v>
      </c>
      <c r="C152">
        <v>200</v>
      </c>
      <c r="D152">
        <v>12</v>
      </c>
      <c r="E152">
        <v>12</v>
      </c>
      <c r="F152">
        <v>1</v>
      </c>
      <c r="G152" t="s">
        <v>4790</v>
      </c>
      <c r="H152">
        <f>+VLOOKUP(G152,Hoja4!$A$1:$F$76,5,FALSE)</f>
        <v>32.963299999999997</v>
      </c>
      <c r="I152">
        <f>+VLOOKUP(G152,Hoja4!$A$1:$F$76,6,FALSE)</f>
        <v>10.32061</v>
      </c>
      <c r="J152" t="s">
        <v>4859</v>
      </c>
    </row>
  </sheetData>
  <autoFilter ref="A1:M152" xr:uid="{208F2A12-555A-441E-A076-6AE1D050A8EC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4393-F065-4247-B100-B6548BBC9B13}">
  <dimension ref="A1:H76"/>
  <sheetViews>
    <sheetView topLeftCell="A28" workbookViewId="0">
      <selection activeCell="F49" sqref="F49"/>
    </sheetView>
  </sheetViews>
  <sheetFormatPr baseColWidth="10" defaultRowHeight="15" x14ac:dyDescent="0.25"/>
  <cols>
    <col min="2" max="2" width="42.5703125" bestFit="1" customWidth="1"/>
    <col min="3" max="3" width="66.7109375" bestFit="1" customWidth="1"/>
  </cols>
  <sheetData>
    <row r="1" spans="1:8" x14ac:dyDescent="0.25">
      <c r="A1" t="s">
        <v>4654</v>
      </c>
      <c r="B1" t="s">
        <v>4655</v>
      </c>
      <c r="C1" t="s">
        <v>4656</v>
      </c>
      <c r="D1" t="s">
        <v>4657</v>
      </c>
      <c r="E1" t="s">
        <v>4658</v>
      </c>
      <c r="F1" t="s">
        <v>4659</v>
      </c>
      <c r="G1" t="s">
        <v>4658</v>
      </c>
      <c r="H1" t="s">
        <v>4659</v>
      </c>
    </row>
    <row r="2" spans="1:8" x14ac:dyDescent="0.25">
      <c r="A2" t="s">
        <v>4660</v>
      </c>
      <c r="B2" t="s">
        <v>4661</v>
      </c>
      <c r="C2" t="s">
        <v>4662</v>
      </c>
      <c r="F2">
        <v>11.11745</v>
      </c>
      <c r="H2">
        <v>11.11745</v>
      </c>
    </row>
    <row r="3" spans="1:8" x14ac:dyDescent="0.25">
      <c r="A3" t="s">
        <v>4663</v>
      </c>
      <c r="B3" t="s">
        <v>4661</v>
      </c>
      <c r="C3" t="s">
        <v>4664</v>
      </c>
      <c r="E3">
        <v>21.071899999999999</v>
      </c>
      <c r="F3">
        <v>17.357379999999999</v>
      </c>
      <c r="G3">
        <v>21.071899999999999</v>
      </c>
      <c r="H3">
        <v>17.357379999999999</v>
      </c>
    </row>
    <row r="4" spans="1:8" x14ac:dyDescent="0.25">
      <c r="A4" t="s">
        <v>4665</v>
      </c>
      <c r="B4" t="s">
        <v>4661</v>
      </c>
      <c r="C4" t="s">
        <v>4666</v>
      </c>
      <c r="D4" t="s">
        <v>4667</v>
      </c>
      <c r="E4">
        <v>21.071899999999999</v>
      </c>
      <c r="F4">
        <v>17.357379999999999</v>
      </c>
      <c r="G4">
        <v>21.071899999999999</v>
      </c>
      <c r="H4">
        <v>17.357379999999999</v>
      </c>
    </row>
    <row r="5" spans="1:8" x14ac:dyDescent="0.25">
      <c r="A5" t="s">
        <v>4668</v>
      </c>
      <c r="B5" t="s">
        <v>4661</v>
      </c>
      <c r="C5" t="s">
        <v>4669</v>
      </c>
      <c r="E5">
        <v>159.84190000000001</v>
      </c>
      <c r="F5">
        <v>10.94472</v>
      </c>
      <c r="G5">
        <v>159.84190000000001</v>
      </c>
      <c r="H5">
        <v>10.94472</v>
      </c>
    </row>
    <row r="6" spans="1:8" x14ac:dyDescent="0.25">
      <c r="A6" t="s">
        <v>4670</v>
      </c>
      <c r="B6" t="s">
        <v>4661</v>
      </c>
      <c r="C6" t="s">
        <v>4671</v>
      </c>
      <c r="E6">
        <v>106.5613</v>
      </c>
      <c r="F6">
        <v>9.1811199999999999</v>
      </c>
      <c r="G6">
        <v>106.5613</v>
      </c>
      <c r="H6">
        <v>9.1811199999999999</v>
      </c>
    </row>
    <row r="7" spans="1:8" x14ac:dyDescent="0.25">
      <c r="A7" t="s">
        <v>4672</v>
      </c>
      <c r="B7" t="s">
        <v>4661</v>
      </c>
      <c r="C7" t="s">
        <v>4673</v>
      </c>
      <c r="D7" t="s">
        <v>4674</v>
      </c>
      <c r="E7">
        <v>40.458599999999997</v>
      </c>
      <c r="F7">
        <v>10.918710000000001</v>
      </c>
      <c r="G7">
        <v>40.458599999999997</v>
      </c>
      <c r="H7">
        <v>10.918710000000001</v>
      </c>
    </row>
    <row r="8" spans="1:8" x14ac:dyDescent="0.25">
      <c r="A8" t="s">
        <v>4675</v>
      </c>
      <c r="B8" t="s">
        <v>4661</v>
      </c>
      <c r="C8" t="s">
        <v>4676</v>
      </c>
      <c r="E8">
        <v>172.78649999999999</v>
      </c>
      <c r="F8">
        <v>9.1811199999999999</v>
      </c>
      <c r="G8">
        <v>172.78649999999999</v>
      </c>
      <c r="H8">
        <v>9.1811199999999999</v>
      </c>
    </row>
    <row r="9" spans="1:8" x14ac:dyDescent="0.25">
      <c r="A9" t="s">
        <v>4677</v>
      </c>
      <c r="B9" t="s">
        <v>4661</v>
      </c>
      <c r="C9" t="s">
        <v>4678</v>
      </c>
      <c r="E9">
        <v>259.07060000000001</v>
      </c>
      <c r="F9">
        <v>9.0207599999999992</v>
      </c>
      <c r="G9">
        <v>259.07060000000001</v>
      </c>
      <c r="H9">
        <v>9.0207599999999992</v>
      </c>
    </row>
    <row r="10" spans="1:8" x14ac:dyDescent="0.25">
      <c r="A10" t="s">
        <v>4679</v>
      </c>
      <c r="B10" t="s">
        <v>4661</v>
      </c>
      <c r="C10" t="s">
        <v>4680</v>
      </c>
      <c r="E10">
        <v>111.53319999999999</v>
      </c>
      <c r="F10">
        <v>8.5330600000000008</v>
      </c>
      <c r="G10">
        <v>111.53319999999999</v>
      </c>
      <c r="H10">
        <v>8.5330600000000008</v>
      </c>
    </row>
    <row r="11" spans="1:8" x14ac:dyDescent="0.25">
      <c r="A11" t="s">
        <v>4681</v>
      </c>
      <c r="B11" t="s">
        <v>4661</v>
      </c>
      <c r="C11" t="s">
        <v>4682</v>
      </c>
      <c r="E11">
        <v>64.126400000000004</v>
      </c>
      <c r="F11">
        <v>10.918939999999999</v>
      </c>
      <c r="G11">
        <v>64.126400000000004</v>
      </c>
      <c r="H11">
        <v>10.918939999999999</v>
      </c>
    </row>
    <row r="12" spans="1:8" x14ac:dyDescent="0.25">
      <c r="A12" t="s">
        <v>4683</v>
      </c>
      <c r="B12" t="s">
        <v>4661</v>
      </c>
      <c r="C12" t="s">
        <v>4684</v>
      </c>
      <c r="E12">
        <v>128.5658</v>
      </c>
      <c r="F12">
        <v>11.9658</v>
      </c>
      <c r="G12">
        <v>128.5658</v>
      </c>
      <c r="H12">
        <v>11.9658</v>
      </c>
    </row>
    <row r="13" spans="1:8" x14ac:dyDescent="0.25">
      <c r="A13" t="s">
        <v>4685</v>
      </c>
      <c r="B13" t="s">
        <v>4661</v>
      </c>
      <c r="C13" t="s">
        <v>4686</v>
      </c>
      <c r="E13">
        <v>15.338200000000001</v>
      </c>
      <c r="F13">
        <v>12.054399999999999</v>
      </c>
      <c r="G13">
        <v>15.338200000000001</v>
      </c>
      <c r="H13">
        <v>12.054399999999999</v>
      </c>
    </row>
    <row r="14" spans="1:8" x14ac:dyDescent="0.25">
      <c r="A14" t="s">
        <v>4687</v>
      </c>
      <c r="B14" t="s">
        <v>4661</v>
      </c>
      <c r="C14" t="s">
        <v>4688</v>
      </c>
      <c r="E14" t="s">
        <v>4689</v>
      </c>
      <c r="F14" t="s">
        <v>4690</v>
      </c>
      <c r="G14" t="s">
        <v>4689</v>
      </c>
      <c r="H14" t="s">
        <v>4690</v>
      </c>
    </row>
    <row r="15" spans="1:8" x14ac:dyDescent="0.25">
      <c r="A15" t="s">
        <v>4691</v>
      </c>
      <c r="B15" t="s">
        <v>4661</v>
      </c>
      <c r="C15" t="s">
        <v>4692</v>
      </c>
      <c r="D15" t="s">
        <v>4693</v>
      </c>
      <c r="E15" t="s">
        <v>4689</v>
      </c>
      <c r="F15" t="s">
        <v>4694</v>
      </c>
      <c r="G15" t="s">
        <v>4689</v>
      </c>
      <c r="H15" t="s">
        <v>4694</v>
      </c>
    </row>
    <row r="16" spans="1:8" x14ac:dyDescent="0.25">
      <c r="A16" t="s">
        <v>4695</v>
      </c>
      <c r="B16" t="s">
        <v>4661</v>
      </c>
      <c r="C16" t="s">
        <v>4696</v>
      </c>
      <c r="D16" t="s">
        <v>4697</v>
      </c>
      <c r="F16" t="s">
        <v>4698</v>
      </c>
      <c r="H16" t="s">
        <v>4698</v>
      </c>
    </row>
    <row r="17" spans="1:8" x14ac:dyDescent="0.25">
      <c r="A17" t="s">
        <v>4699</v>
      </c>
      <c r="B17" t="s">
        <v>4661</v>
      </c>
      <c r="C17" t="s">
        <v>4700</v>
      </c>
      <c r="E17">
        <v>84.92</v>
      </c>
      <c r="F17">
        <v>10.78716</v>
      </c>
      <c r="G17">
        <v>84.92</v>
      </c>
      <c r="H17">
        <v>10.78716</v>
      </c>
    </row>
    <row r="18" spans="1:8" x14ac:dyDescent="0.25">
      <c r="A18" t="s">
        <v>4701</v>
      </c>
      <c r="B18" t="s">
        <v>4661</v>
      </c>
      <c r="C18" t="s">
        <v>4702</v>
      </c>
      <c r="E18" t="s">
        <v>4703</v>
      </c>
      <c r="F18" t="s">
        <v>4704</v>
      </c>
      <c r="G18" t="s">
        <v>4703</v>
      </c>
      <c r="H18" t="s">
        <v>4704</v>
      </c>
    </row>
    <row r="19" spans="1:8" x14ac:dyDescent="0.25">
      <c r="A19" t="s">
        <v>4705</v>
      </c>
      <c r="B19" t="s">
        <v>4661</v>
      </c>
      <c r="C19" t="s">
        <v>4706</v>
      </c>
      <c r="E19">
        <v>142.26769999999999</v>
      </c>
      <c r="F19">
        <v>12.054399999999999</v>
      </c>
      <c r="G19">
        <v>142.26769999999999</v>
      </c>
      <c r="H19">
        <v>12.054399999999999</v>
      </c>
    </row>
    <row r="20" spans="1:8" x14ac:dyDescent="0.25">
      <c r="A20" t="s">
        <v>4707</v>
      </c>
      <c r="B20" t="s">
        <v>4661</v>
      </c>
      <c r="C20" t="s">
        <v>4708</v>
      </c>
      <c r="F20" t="s">
        <v>4698</v>
      </c>
      <c r="H20" t="s">
        <v>4698</v>
      </c>
    </row>
    <row r="21" spans="1:8" x14ac:dyDescent="0.25">
      <c r="A21" t="s">
        <v>4709</v>
      </c>
      <c r="B21" t="s">
        <v>4661</v>
      </c>
      <c r="C21" t="s">
        <v>4710</v>
      </c>
      <c r="F21" t="s">
        <v>4698</v>
      </c>
      <c r="H21" t="s">
        <v>4698</v>
      </c>
    </row>
    <row r="22" spans="1:8" x14ac:dyDescent="0.25">
      <c r="A22" t="s">
        <v>4711</v>
      </c>
      <c r="B22" t="s">
        <v>4661</v>
      </c>
      <c r="C22" t="s">
        <v>4712</v>
      </c>
      <c r="F22" t="s">
        <v>4698</v>
      </c>
      <c r="H22" t="s">
        <v>4698</v>
      </c>
    </row>
    <row r="23" spans="1:8" x14ac:dyDescent="0.25">
      <c r="A23" t="s">
        <v>4713</v>
      </c>
      <c r="B23" t="s">
        <v>4661</v>
      </c>
      <c r="C23" t="s">
        <v>4714</v>
      </c>
      <c r="F23" t="s">
        <v>4698</v>
      </c>
      <c r="H23" t="s">
        <v>4698</v>
      </c>
    </row>
    <row r="24" spans="1:8" x14ac:dyDescent="0.25">
      <c r="A24" t="s">
        <v>4715</v>
      </c>
      <c r="B24" t="s">
        <v>4661</v>
      </c>
      <c r="C24" t="s">
        <v>4716</v>
      </c>
      <c r="E24">
        <v>13.205299999999999</v>
      </c>
      <c r="F24">
        <v>9.40015</v>
      </c>
      <c r="G24" t="s">
        <v>4717</v>
      </c>
      <c r="H24" t="s">
        <v>4718</v>
      </c>
    </row>
    <row r="25" spans="1:8" x14ac:dyDescent="0.25">
      <c r="A25" t="s">
        <v>4719</v>
      </c>
      <c r="B25" t="s">
        <v>4661</v>
      </c>
      <c r="C25" t="s">
        <v>4720</v>
      </c>
      <c r="E25" t="s">
        <v>4721</v>
      </c>
      <c r="F25" t="s">
        <v>4718</v>
      </c>
      <c r="G25" t="s">
        <v>4721</v>
      </c>
      <c r="H25" t="s">
        <v>4718</v>
      </c>
    </row>
    <row r="26" spans="1:8" x14ac:dyDescent="0.25">
      <c r="A26" t="s">
        <v>4722</v>
      </c>
      <c r="B26" t="s">
        <v>4661</v>
      </c>
      <c r="C26" t="s">
        <v>4723</v>
      </c>
      <c r="E26" t="s">
        <v>4724</v>
      </c>
      <c r="F26" t="s">
        <v>4718</v>
      </c>
      <c r="G26" t="s">
        <v>4724</v>
      </c>
      <c r="H26" t="s">
        <v>4718</v>
      </c>
    </row>
    <row r="27" spans="1:8" x14ac:dyDescent="0.25">
      <c r="A27" t="s">
        <v>4725</v>
      </c>
      <c r="B27" t="s">
        <v>4661</v>
      </c>
      <c r="C27" t="s">
        <v>4726</v>
      </c>
      <c r="E27" t="s">
        <v>4727</v>
      </c>
      <c r="F27" t="s">
        <v>4690</v>
      </c>
      <c r="G27" t="s">
        <v>4727</v>
      </c>
      <c r="H27" t="s">
        <v>4690</v>
      </c>
    </row>
    <row r="28" spans="1:8" x14ac:dyDescent="0.25">
      <c r="A28" t="s">
        <v>4728</v>
      </c>
      <c r="B28" t="s">
        <v>4661</v>
      </c>
      <c r="C28" t="s">
        <v>4729</v>
      </c>
      <c r="E28" t="s">
        <v>4730</v>
      </c>
      <c r="F28" t="s">
        <v>4731</v>
      </c>
      <c r="G28" t="s">
        <v>4730</v>
      </c>
      <c r="H28" t="s">
        <v>4731</v>
      </c>
    </row>
    <row r="29" spans="1:8" x14ac:dyDescent="0.25">
      <c r="A29" t="s">
        <v>4732</v>
      </c>
      <c r="B29" t="s">
        <v>4661</v>
      </c>
      <c r="C29" t="s">
        <v>4733</v>
      </c>
      <c r="E29" t="s">
        <v>4734</v>
      </c>
      <c r="F29" t="s">
        <v>4735</v>
      </c>
      <c r="G29" t="s">
        <v>4734</v>
      </c>
      <c r="H29" t="s">
        <v>4735</v>
      </c>
    </row>
    <row r="30" spans="1:8" x14ac:dyDescent="0.25">
      <c r="A30" t="s">
        <v>4736</v>
      </c>
      <c r="B30" t="s">
        <v>4661</v>
      </c>
      <c r="C30" t="s">
        <v>4737</v>
      </c>
      <c r="F30" t="s">
        <v>4738</v>
      </c>
      <c r="H30" t="s">
        <v>4738</v>
      </c>
    </row>
    <row r="31" spans="1:8" x14ac:dyDescent="0.25">
      <c r="A31" t="s">
        <v>4739</v>
      </c>
      <c r="B31" t="s">
        <v>4661</v>
      </c>
      <c r="C31" t="s">
        <v>4740</v>
      </c>
      <c r="F31" t="s">
        <v>4698</v>
      </c>
      <c r="H31" t="s">
        <v>4698</v>
      </c>
    </row>
    <row r="32" spans="1:8" x14ac:dyDescent="0.25">
      <c r="A32" t="s">
        <v>4739</v>
      </c>
      <c r="B32" t="s">
        <v>4661</v>
      </c>
      <c r="C32" t="s">
        <v>4741</v>
      </c>
      <c r="D32" t="s">
        <v>4742</v>
      </c>
      <c r="F32" t="s">
        <v>4698</v>
      </c>
      <c r="H32" t="s">
        <v>4698</v>
      </c>
    </row>
    <row r="33" spans="1:8" x14ac:dyDescent="0.25">
      <c r="A33" t="s">
        <v>4743</v>
      </c>
      <c r="B33" t="s">
        <v>4661</v>
      </c>
      <c r="C33" t="s">
        <v>4744</v>
      </c>
      <c r="F33" t="s">
        <v>4698</v>
      </c>
      <c r="H33" t="s">
        <v>4698</v>
      </c>
    </row>
    <row r="34" spans="1:8" x14ac:dyDescent="0.25">
      <c r="A34" t="s">
        <v>4745</v>
      </c>
      <c r="B34" t="s">
        <v>4661</v>
      </c>
      <c r="C34" t="s">
        <v>4746</v>
      </c>
      <c r="E34">
        <v>262.67430000000002</v>
      </c>
      <c r="F34" t="s">
        <v>4747</v>
      </c>
      <c r="G34">
        <v>262.67430000000002</v>
      </c>
      <c r="H34" t="s">
        <v>4747</v>
      </c>
    </row>
    <row r="35" spans="1:8" x14ac:dyDescent="0.25">
      <c r="A35" t="s">
        <v>4748</v>
      </c>
      <c r="B35" t="s">
        <v>4661</v>
      </c>
      <c r="C35" t="s">
        <v>4749</v>
      </c>
      <c r="E35" t="s">
        <v>4750</v>
      </c>
      <c r="F35" t="s">
        <v>4751</v>
      </c>
      <c r="G35" t="s">
        <v>4750</v>
      </c>
      <c r="H35" t="s">
        <v>4751</v>
      </c>
    </row>
    <row r="36" spans="1:8" x14ac:dyDescent="0.25">
      <c r="A36" t="s">
        <v>4752</v>
      </c>
      <c r="B36" t="s">
        <v>4661</v>
      </c>
      <c r="C36" t="s">
        <v>4753</v>
      </c>
      <c r="F36" t="s">
        <v>4698</v>
      </c>
      <c r="H36" t="s">
        <v>4698</v>
      </c>
    </row>
    <row r="37" spans="1:8" x14ac:dyDescent="0.25">
      <c r="A37" t="s">
        <v>4754</v>
      </c>
      <c r="B37" t="s">
        <v>4661</v>
      </c>
      <c r="C37" t="s">
        <v>4755</v>
      </c>
      <c r="F37" t="s">
        <v>4698</v>
      </c>
      <c r="H37" t="s">
        <v>4698</v>
      </c>
    </row>
    <row r="38" spans="1:8" x14ac:dyDescent="0.25">
      <c r="A38" t="s">
        <v>4756</v>
      </c>
      <c r="B38" t="s">
        <v>4757</v>
      </c>
      <c r="C38" t="s">
        <v>4758</v>
      </c>
      <c r="D38" t="s">
        <v>4759</v>
      </c>
      <c r="E38" t="s">
        <v>4760</v>
      </c>
      <c r="F38" t="s">
        <v>4761</v>
      </c>
      <c r="G38" t="s">
        <v>4760</v>
      </c>
      <c r="H38" t="s">
        <v>4761</v>
      </c>
    </row>
    <row r="39" spans="1:8" x14ac:dyDescent="0.25">
      <c r="A39" t="s">
        <v>4762</v>
      </c>
      <c r="B39" t="s">
        <v>4757</v>
      </c>
      <c r="C39" t="s">
        <v>4763</v>
      </c>
      <c r="D39" t="s">
        <v>4759</v>
      </c>
      <c r="E39" t="s">
        <v>4760</v>
      </c>
      <c r="F39" t="s">
        <v>4761</v>
      </c>
      <c r="G39" t="s">
        <v>4760</v>
      </c>
      <c r="H39" t="s">
        <v>4761</v>
      </c>
    </row>
    <row r="40" spans="1:8" x14ac:dyDescent="0.25">
      <c r="A40" t="s">
        <v>4764</v>
      </c>
      <c r="B40" t="s">
        <v>4757</v>
      </c>
      <c r="C40" t="s">
        <v>4765</v>
      </c>
      <c r="D40" t="s">
        <v>4759</v>
      </c>
      <c r="E40" t="s">
        <v>4760</v>
      </c>
      <c r="F40" t="s">
        <v>4761</v>
      </c>
      <c r="G40" t="s">
        <v>4760</v>
      </c>
      <c r="H40" t="s">
        <v>4761</v>
      </c>
    </row>
    <row r="41" spans="1:8" x14ac:dyDescent="0.25">
      <c r="A41" t="s">
        <v>4766</v>
      </c>
      <c r="B41" t="s">
        <v>4757</v>
      </c>
      <c r="C41" t="s">
        <v>4767</v>
      </c>
      <c r="E41" t="s">
        <v>4768</v>
      </c>
      <c r="F41" t="s">
        <v>4769</v>
      </c>
      <c r="G41" t="s">
        <v>4768</v>
      </c>
      <c r="H41" t="s">
        <v>4769</v>
      </c>
    </row>
    <row r="42" spans="1:8" x14ac:dyDescent="0.25">
      <c r="A42" t="s">
        <v>4770</v>
      </c>
      <c r="B42" t="s">
        <v>4757</v>
      </c>
      <c r="C42" t="s">
        <v>4771</v>
      </c>
      <c r="E42">
        <v>42.46</v>
      </c>
      <c r="F42">
        <v>10.775320000000001</v>
      </c>
      <c r="G42">
        <v>42.46</v>
      </c>
      <c r="H42">
        <v>10.775320000000001</v>
      </c>
    </row>
    <row r="43" spans="1:8" x14ac:dyDescent="0.25">
      <c r="A43" t="s">
        <v>4772</v>
      </c>
      <c r="B43" t="s">
        <v>4757</v>
      </c>
      <c r="C43" t="s">
        <v>4773</v>
      </c>
      <c r="E43" t="s">
        <v>4774</v>
      </c>
      <c r="F43" t="s">
        <v>4775</v>
      </c>
      <c r="G43" t="s">
        <v>4774</v>
      </c>
      <c r="H43" t="s">
        <v>4775</v>
      </c>
    </row>
    <row r="44" spans="1:8" x14ac:dyDescent="0.25">
      <c r="A44" t="s">
        <v>4776</v>
      </c>
      <c r="B44" t="s">
        <v>4757</v>
      </c>
      <c r="C44" t="s">
        <v>4777</v>
      </c>
      <c r="E44" t="s">
        <v>4774</v>
      </c>
      <c r="F44" t="s">
        <v>4775</v>
      </c>
      <c r="G44" t="s">
        <v>4774</v>
      </c>
      <c r="H44" t="s">
        <v>4775</v>
      </c>
    </row>
    <row r="45" spans="1:8" x14ac:dyDescent="0.25">
      <c r="A45" t="s">
        <v>4778</v>
      </c>
      <c r="B45" t="s">
        <v>4757</v>
      </c>
      <c r="C45" t="s">
        <v>4779</v>
      </c>
      <c r="E45">
        <v>74.018699999999995</v>
      </c>
      <c r="F45">
        <v>10.926310000000001</v>
      </c>
      <c r="G45" t="s">
        <v>4780</v>
      </c>
      <c r="H45" t="s">
        <v>4781</v>
      </c>
    </row>
    <row r="46" spans="1:8" x14ac:dyDescent="0.25">
      <c r="A46" t="s">
        <v>4782</v>
      </c>
      <c r="B46" t="s">
        <v>4757</v>
      </c>
      <c r="C46" t="s">
        <v>4783</v>
      </c>
      <c r="E46">
        <v>111.02809999999999</v>
      </c>
      <c r="F46">
        <v>10.926310000000001</v>
      </c>
      <c r="G46" t="s">
        <v>4784</v>
      </c>
      <c r="H46" t="s">
        <v>4781</v>
      </c>
    </row>
    <row r="47" spans="1:8" x14ac:dyDescent="0.25">
      <c r="A47" t="s">
        <v>4785</v>
      </c>
      <c r="B47" t="s">
        <v>4757</v>
      </c>
      <c r="C47" t="s">
        <v>4786</v>
      </c>
      <c r="F47" t="s">
        <v>4787</v>
      </c>
      <c r="H47" t="s">
        <v>4787</v>
      </c>
    </row>
    <row r="48" spans="1:8" x14ac:dyDescent="0.25">
      <c r="A48" t="s">
        <v>4788</v>
      </c>
      <c r="B48" t="s">
        <v>4757</v>
      </c>
      <c r="C48" t="s">
        <v>4789</v>
      </c>
      <c r="E48">
        <v>124.2997</v>
      </c>
      <c r="F48">
        <v>13.609019999999999</v>
      </c>
      <c r="G48">
        <v>124.2997</v>
      </c>
      <c r="H48">
        <v>13.609019999999999</v>
      </c>
    </row>
    <row r="49" spans="1:8" x14ac:dyDescent="0.25">
      <c r="A49" t="s">
        <v>4790</v>
      </c>
      <c r="B49" t="s">
        <v>4757</v>
      </c>
      <c r="C49" t="s">
        <v>4791</v>
      </c>
      <c r="D49" t="s">
        <v>4792</v>
      </c>
      <c r="E49">
        <v>32.963299999999997</v>
      </c>
      <c r="F49">
        <v>10.32061</v>
      </c>
      <c r="G49" t="s">
        <v>4793</v>
      </c>
      <c r="H49" t="s">
        <v>4794</v>
      </c>
    </row>
    <row r="50" spans="1:8" x14ac:dyDescent="0.25">
      <c r="A50" t="s">
        <v>4795</v>
      </c>
      <c r="B50" t="s">
        <v>4757</v>
      </c>
      <c r="C50" t="s">
        <v>4796</v>
      </c>
      <c r="D50" t="s">
        <v>4797</v>
      </c>
      <c r="E50" t="s">
        <v>4793</v>
      </c>
      <c r="F50" t="s">
        <v>4794</v>
      </c>
      <c r="G50" t="s">
        <v>4793</v>
      </c>
      <c r="H50" t="s">
        <v>4794</v>
      </c>
    </row>
    <row r="51" spans="1:8" x14ac:dyDescent="0.25">
      <c r="A51" t="s">
        <v>4798</v>
      </c>
      <c r="B51" t="s">
        <v>4757</v>
      </c>
      <c r="C51" t="s">
        <v>4799</v>
      </c>
      <c r="D51" t="s">
        <v>4800</v>
      </c>
      <c r="E51">
        <v>149.61709999999999</v>
      </c>
      <c r="F51">
        <v>10.926310000000001</v>
      </c>
      <c r="G51" t="s">
        <v>4801</v>
      </c>
      <c r="H51" t="s">
        <v>4781</v>
      </c>
    </row>
    <row r="52" spans="1:8" x14ac:dyDescent="0.25">
      <c r="A52" t="s">
        <v>4802</v>
      </c>
      <c r="B52" t="s">
        <v>4757</v>
      </c>
      <c r="C52" t="s">
        <v>4803</v>
      </c>
      <c r="D52" t="s">
        <v>4804</v>
      </c>
      <c r="E52" t="s">
        <v>4805</v>
      </c>
      <c r="F52" t="s">
        <v>4806</v>
      </c>
      <c r="G52" t="s">
        <v>4805</v>
      </c>
      <c r="H52" t="s">
        <v>4806</v>
      </c>
    </row>
    <row r="53" spans="1:8" x14ac:dyDescent="0.25">
      <c r="A53" t="s">
        <v>4807</v>
      </c>
      <c r="B53" t="s">
        <v>4808</v>
      </c>
      <c r="C53" t="s">
        <v>4809</v>
      </c>
      <c r="F53" t="s">
        <v>4810</v>
      </c>
      <c r="H53" t="s">
        <v>4810</v>
      </c>
    </row>
    <row r="54" spans="1:8" x14ac:dyDescent="0.25">
      <c r="A54" t="s">
        <v>4811</v>
      </c>
      <c r="B54" t="s">
        <v>4808</v>
      </c>
      <c r="C54" t="s">
        <v>4812</v>
      </c>
      <c r="E54" t="s">
        <v>4813</v>
      </c>
      <c r="F54" t="s">
        <v>4814</v>
      </c>
      <c r="G54" t="s">
        <v>4813</v>
      </c>
      <c r="H54" t="s">
        <v>4814</v>
      </c>
    </row>
    <row r="55" spans="1:8" x14ac:dyDescent="0.25">
      <c r="A55" t="s">
        <v>4815</v>
      </c>
      <c r="B55" t="s">
        <v>4808</v>
      </c>
      <c r="C55" t="s">
        <v>4816</v>
      </c>
      <c r="E55" t="s">
        <v>4817</v>
      </c>
      <c r="F55" t="s">
        <v>4818</v>
      </c>
      <c r="G55" t="s">
        <v>4817</v>
      </c>
      <c r="H55" t="s">
        <v>4818</v>
      </c>
    </row>
    <row r="56" spans="1:8" x14ac:dyDescent="0.25">
      <c r="A56" t="s">
        <v>4819</v>
      </c>
      <c r="B56" t="s">
        <v>4820</v>
      </c>
      <c r="C56" t="s">
        <v>4821</v>
      </c>
      <c r="F56" t="s">
        <v>4698</v>
      </c>
      <c r="H56" t="s">
        <v>4698</v>
      </c>
    </row>
    <row r="57" spans="1:8" x14ac:dyDescent="0.25">
      <c r="A57" t="s">
        <v>4822</v>
      </c>
      <c r="B57" t="s">
        <v>4820</v>
      </c>
      <c r="C57" t="s">
        <v>4823</v>
      </c>
      <c r="E57">
        <v>24.276599999999998</v>
      </c>
      <c r="F57">
        <v>9.9880300000000002</v>
      </c>
      <c r="G57">
        <v>24.276599999999998</v>
      </c>
      <c r="H57">
        <v>9.9880300000000002</v>
      </c>
    </row>
    <row r="58" spans="1:8" x14ac:dyDescent="0.25">
      <c r="A58" t="s">
        <v>4824</v>
      </c>
      <c r="B58" t="s">
        <v>4820</v>
      </c>
      <c r="C58" t="s">
        <v>4823</v>
      </c>
      <c r="E58">
        <v>24.276599999999998</v>
      </c>
      <c r="F58">
        <v>9.9880300000000002</v>
      </c>
      <c r="G58">
        <v>24.276599999999998</v>
      </c>
      <c r="H58">
        <v>9.9880300000000002</v>
      </c>
    </row>
    <row r="59" spans="1:8" x14ac:dyDescent="0.25">
      <c r="A59" t="s">
        <v>4825</v>
      </c>
      <c r="B59" t="s">
        <v>4820</v>
      </c>
      <c r="C59" t="s">
        <v>4826</v>
      </c>
      <c r="E59">
        <v>21.945</v>
      </c>
      <c r="F59">
        <v>9.9880300000000002</v>
      </c>
      <c r="G59">
        <v>21.945</v>
      </c>
      <c r="H59">
        <v>9.9880300000000002</v>
      </c>
    </row>
    <row r="60" spans="1:8" x14ac:dyDescent="0.25">
      <c r="A60" t="s">
        <v>4827</v>
      </c>
      <c r="B60" t="s">
        <v>4820</v>
      </c>
      <c r="C60" t="s">
        <v>4826</v>
      </c>
      <c r="E60">
        <v>20.770499999999998</v>
      </c>
      <c r="F60">
        <v>9.9880300000000002</v>
      </c>
      <c r="G60">
        <v>20.770499999999998</v>
      </c>
      <c r="H60">
        <v>9.9880300000000002</v>
      </c>
    </row>
    <row r="61" spans="1:8" x14ac:dyDescent="0.25">
      <c r="A61" t="s">
        <v>4828</v>
      </c>
      <c r="B61" t="s">
        <v>4820</v>
      </c>
      <c r="C61" t="s">
        <v>4829</v>
      </c>
      <c r="E61">
        <v>37.881599999999999</v>
      </c>
      <c r="F61">
        <v>9.8240499999999997</v>
      </c>
      <c r="G61">
        <v>37.881599999999999</v>
      </c>
      <c r="H61">
        <v>9.8240499999999997</v>
      </c>
    </row>
    <row r="62" spans="1:8" x14ac:dyDescent="0.25">
      <c r="A62" t="s">
        <v>4830</v>
      </c>
      <c r="B62" t="s">
        <v>4820</v>
      </c>
      <c r="C62" t="s">
        <v>4831</v>
      </c>
      <c r="E62">
        <v>0.63600000000000001</v>
      </c>
      <c r="F62">
        <v>9.9880300000000002</v>
      </c>
      <c r="G62">
        <v>0.63600000000000001</v>
      </c>
      <c r="H62">
        <v>9.9880300000000002</v>
      </c>
    </row>
    <row r="63" spans="1:8" x14ac:dyDescent="0.25">
      <c r="A63" t="s">
        <v>4832</v>
      </c>
      <c r="B63" t="s">
        <v>4820</v>
      </c>
      <c r="C63" t="s">
        <v>4833</v>
      </c>
      <c r="E63">
        <v>0.23549999999999999</v>
      </c>
      <c r="F63">
        <v>9.9880300000000002</v>
      </c>
      <c r="G63">
        <v>0.23549999999999999</v>
      </c>
      <c r="H63">
        <v>9.9880300000000002</v>
      </c>
    </row>
    <row r="64" spans="1:8" x14ac:dyDescent="0.25">
      <c r="A64" t="s">
        <v>4834</v>
      </c>
      <c r="B64" t="s">
        <v>4820</v>
      </c>
      <c r="C64" t="s">
        <v>4835</v>
      </c>
      <c r="E64">
        <v>6.7152000000000003</v>
      </c>
      <c r="F64">
        <v>9.6438400000000009</v>
      </c>
      <c r="G64">
        <v>6.7152000000000003</v>
      </c>
      <c r="H64">
        <v>9.6438400000000009</v>
      </c>
    </row>
    <row r="65" spans="1:8" x14ac:dyDescent="0.25">
      <c r="A65" t="s">
        <v>4836</v>
      </c>
      <c r="B65" t="s">
        <v>4820</v>
      </c>
      <c r="C65" t="s">
        <v>4835</v>
      </c>
      <c r="E65">
        <v>7.1628999999999996</v>
      </c>
      <c r="F65">
        <v>9.6438400000000009</v>
      </c>
      <c r="G65">
        <v>7.1628999999999996</v>
      </c>
      <c r="H65">
        <v>9.6438400000000009</v>
      </c>
    </row>
    <row r="66" spans="1:8" x14ac:dyDescent="0.25">
      <c r="A66" t="s">
        <v>4837</v>
      </c>
      <c r="B66" t="s">
        <v>4820</v>
      </c>
      <c r="C66" t="s">
        <v>4835</v>
      </c>
      <c r="E66">
        <v>0.79810000000000003</v>
      </c>
      <c r="F66">
        <v>9.6438400000000009</v>
      </c>
      <c r="G66">
        <v>0.79810000000000003</v>
      </c>
      <c r="H66">
        <v>9.6438400000000009</v>
      </c>
    </row>
    <row r="67" spans="1:8" x14ac:dyDescent="0.25">
      <c r="A67" t="s">
        <v>4838</v>
      </c>
      <c r="B67" t="s">
        <v>4820</v>
      </c>
      <c r="C67" t="s">
        <v>4835</v>
      </c>
      <c r="E67">
        <v>10.978999999999999</v>
      </c>
      <c r="F67">
        <v>9.6438400000000009</v>
      </c>
      <c r="G67">
        <v>10.978999999999999</v>
      </c>
      <c r="H67">
        <v>9.6438400000000009</v>
      </c>
    </row>
    <row r="68" spans="1:8" x14ac:dyDescent="0.25">
      <c r="A68" t="s">
        <v>4839</v>
      </c>
      <c r="B68" t="s">
        <v>4820</v>
      </c>
      <c r="C68" t="s">
        <v>4835</v>
      </c>
      <c r="E68">
        <v>8.0429999999999993</v>
      </c>
      <c r="F68">
        <v>9.6438400000000009</v>
      </c>
      <c r="G68">
        <v>8.0429999999999993</v>
      </c>
      <c r="H68">
        <v>9.6438400000000009</v>
      </c>
    </row>
    <row r="69" spans="1:8" x14ac:dyDescent="0.25">
      <c r="A69" t="s">
        <v>4840</v>
      </c>
      <c r="B69" t="s">
        <v>4820</v>
      </c>
      <c r="C69" t="s">
        <v>4835</v>
      </c>
      <c r="E69">
        <v>9.6456</v>
      </c>
      <c r="F69">
        <v>9.6438400000000009</v>
      </c>
      <c r="G69">
        <v>9.6456</v>
      </c>
      <c r="H69">
        <v>9.6438400000000009</v>
      </c>
    </row>
    <row r="70" spans="1:8" x14ac:dyDescent="0.25">
      <c r="A70" t="s">
        <v>4841</v>
      </c>
      <c r="B70" t="s">
        <v>4820</v>
      </c>
      <c r="C70" t="s">
        <v>4842</v>
      </c>
      <c r="E70">
        <v>14.5046</v>
      </c>
      <c r="F70">
        <v>9.9759499999999992</v>
      </c>
      <c r="G70">
        <v>14.5046</v>
      </c>
      <c r="H70">
        <v>9.9759499999999992</v>
      </c>
    </row>
    <row r="71" spans="1:8" x14ac:dyDescent="0.25">
      <c r="A71" t="s">
        <v>4843</v>
      </c>
      <c r="B71" t="s">
        <v>4820</v>
      </c>
      <c r="C71" t="s">
        <v>4842</v>
      </c>
      <c r="E71">
        <v>11.5246</v>
      </c>
      <c r="F71">
        <v>9.9759499999999992</v>
      </c>
      <c r="G71">
        <v>11.5246</v>
      </c>
      <c r="H71">
        <v>9.9759499999999992</v>
      </c>
    </row>
    <row r="72" spans="1:8" x14ac:dyDescent="0.25">
      <c r="A72" t="s">
        <v>4844</v>
      </c>
      <c r="B72" t="s">
        <v>4820</v>
      </c>
      <c r="C72" t="s">
        <v>4845</v>
      </c>
      <c r="E72">
        <v>0</v>
      </c>
      <c r="F72">
        <v>10.12838</v>
      </c>
      <c r="G72">
        <v>0</v>
      </c>
      <c r="H72">
        <v>10.12838</v>
      </c>
    </row>
    <row r="73" spans="1:8" x14ac:dyDescent="0.25">
      <c r="A73" t="s">
        <v>4846</v>
      </c>
      <c r="B73" t="s">
        <v>4820</v>
      </c>
      <c r="C73" t="s">
        <v>4847</v>
      </c>
      <c r="E73">
        <v>0</v>
      </c>
      <c r="F73">
        <v>10.12838</v>
      </c>
      <c r="G73">
        <v>0</v>
      </c>
      <c r="H73">
        <v>10.12838</v>
      </c>
    </row>
    <row r="74" spans="1:8" x14ac:dyDescent="0.25">
      <c r="A74" t="s">
        <v>4848</v>
      </c>
      <c r="B74" t="s">
        <v>4820</v>
      </c>
      <c r="C74" t="s">
        <v>4849</v>
      </c>
      <c r="E74">
        <v>16.284500000000001</v>
      </c>
      <c r="F74">
        <v>9.7796000000000003</v>
      </c>
      <c r="G74">
        <v>16.284500000000001</v>
      </c>
      <c r="H74">
        <v>9.7796000000000003</v>
      </c>
    </row>
    <row r="75" spans="1:8" x14ac:dyDescent="0.25">
      <c r="A75" t="s">
        <v>4850</v>
      </c>
      <c r="B75" t="s">
        <v>4820</v>
      </c>
      <c r="C75" t="s">
        <v>4851</v>
      </c>
      <c r="E75">
        <v>14.269</v>
      </c>
      <c r="F75">
        <v>10.00811</v>
      </c>
      <c r="G75">
        <v>14.269</v>
      </c>
      <c r="H75">
        <v>10.00811</v>
      </c>
    </row>
    <row r="76" spans="1:8" x14ac:dyDescent="0.25">
      <c r="A76" t="s">
        <v>4852</v>
      </c>
      <c r="B76" t="s">
        <v>4820</v>
      </c>
      <c r="C76" t="s">
        <v>4853</v>
      </c>
      <c r="E76">
        <v>3.4910000000000001</v>
      </c>
      <c r="F76">
        <v>11.11745</v>
      </c>
      <c r="G76">
        <v>3.4910000000000001</v>
      </c>
      <c r="H76">
        <v>11.11745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CD144-1029-46C6-B410-E258904CD7C0}">
  <dimension ref="A1:I7161"/>
  <sheetViews>
    <sheetView workbookViewId="0"/>
  </sheetViews>
  <sheetFormatPr baseColWidth="10" defaultRowHeight="15" x14ac:dyDescent="0.25"/>
  <cols>
    <col min="1" max="1" width="17.42578125" bestFit="1" customWidth="1"/>
    <col min="2" max="2" width="82" bestFit="1" customWidth="1"/>
    <col min="3" max="3" width="17.42578125" bestFit="1" customWidth="1"/>
    <col min="4" max="4" width="41.140625" bestFit="1" customWidth="1"/>
    <col min="5" max="5" width="11.7109375" bestFit="1" customWidth="1"/>
    <col min="6" max="6" width="14.140625" bestFit="1" customWidth="1"/>
    <col min="7" max="8" width="11.7109375" bestFit="1" customWidth="1"/>
    <col min="9" max="9" width="15.5703125" bestFit="1" customWidth="1"/>
  </cols>
  <sheetData>
    <row r="1" spans="1:9" x14ac:dyDescent="0.25">
      <c r="A1" s="1" t="s">
        <v>116</v>
      </c>
      <c r="B1" s="1" t="s">
        <v>117</v>
      </c>
      <c r="C1" s="1" t="s">
        <v>118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123</v>
      </c>
      <c r="I1" s="1" t="s">
        <v>124</v>
      </c>
    </row>
    <row r="2" spans="1:9" x14ac:dyDescent="0.25">
      <c r="A2">
        <v>1900030002</v>
      </c>
      <c r="B2" t="s">
        <v>125</v>
      </c>
      <c r="C2" t="s">
        <v>126</v>
      </c>
      <c r="D2" t="s">
        <v>127</v>
      </c>
      <c r="E2" s="2">
        <v>8</v>
      </c>
      <c r="F2" t="s">
        <v>36</v>
      </c>
      <c r="G2">
        <v>0</v>
      </c>
      <c r="H2">
        <v>0</v>
      </c>
      <c r="I2">
        <v>1.03</v>
      </c>
    </row>
    <row r="3" spans="1:9" x14ac:dyDescent="0.25">
      <c r="A3">
        <v>1900030003</v>
      </c>
      <c r="B3" t="s">
        <v>128</v>
      </c>
      <c r="C3" t="s">
        <v>126</v>
      </c>
      <c r="D3" t="s">
        <v>127</v>
      </c>
      <c r="E3" s="2">
        <v>12</v>
      </c>
      <c r="F3" t="s">
        <v>36</v>
      </c>
      <c r="G3" s="2">
        <v>0</v>
      </c>
      <c r="H3" s="2">
        <v>0</v>
      </c>
      <c r="I3">
        <v>1.4033329999999999</v>
      </c>
    </row>
    <row r="4" spans="1:9" x14ac:dyDescent="0.25">
      <c r="A4">
        <v>1900030012</v>
      </c>
      <c r="B4" t="s">
        <v>129</v>
      </c>
      <c r="C4" t="s">
        <v>130</v>
      </c>
      <c r="D4" t="s">
        <v>131</v>
      </c>
      <c r="E4" s="2">
        <v>0</v>
      </c>
      <c r="F4" t="s">
        <v>36</v>
      </c>
      <c r="G4">
        <v>12</v>
      </c>
      <c r="H4">
        <v>0</v>
      </c>
      <c r="I4">
        <v>0</v>
      </c>
    </row>
    <row r="5" spans="1:9" x14ac:dyDescent="0.25">
      <c r="A5">
        <v>1900100008</v>
      </c>
      <c r="B5" t="s">
        <v>132</v>
      </c>
      <c r="C5" t="s">
        <v>130</v>
      </c>
      <c r="D5" t="s">
        <v>131</v>
      </c>
      <c r="E5" s="2">
        <v>525</v>
      </c>
      <c r="F5" t="s">
        <v>36</v>
      </c>
      <c r="G5" s="2">
        <v>0</v>
      </c>
      <c r="H5">
        <v>0</v>
      </c>
      <c r="I5">
        <v>4.0026099999999998</v>
      </c>
    </row>
    <row r="6" spans="1:9" x14ac:dyDescent="0.25">
      <c r="A6">
        <v>2000010040</v>
      </c>
      <c r="B6" t="s">
        <v>133</v>
      </c>
      <c r="C6" t="s">
        <v>130</v>
      </c>
      <c r="D6" t="s">
        <v>131</v>
      </c>
      <c r="E6" s="2">
        <v>5</v>
      </c>
      <c r="F6" t="s">
        <v>36</v>
      </c>
      <c r="G6">
        <v>0</v>
      </c>
      <c r="H6">
        <v>0</v>
      </c>
      <c r="I6">
        <v>14.337999999999999</v>
      </c>
    </row>
    <row r="7" spans="1:9" x14ac:dyDescent="0.25">
      <c r="A7">
        <v>2000010071</v>
      </c>
      <c r="B7" t="s">
        <v>134</v>
      </c>
      <c r="C7" t="s">
        <v>130</v>
      </c>
      <c r="D7" t="s">
        <v>131</v>
      </c>
      <c r="E7" s="2">
        <v>4</v>
      </c>
      <c r="F7" t="s">
        <v>36</v>
      </c>
      <c r="G7" s="2">
        <v>0</v>
      </c>
      <c r="H7">
        <v>0</v>
      </c>
      <c r="I7">
        <v>60.717500000000001</v>
      </c>
    </row>
    <row r="8" spans="1:9" x14ac:dyDescent="0.25">
      <c r="A8">
        <v>2000010115</v>
      </c>
      <c r="B8" t="s">
        <v>135</v>
      </c>
      <c r="C8" t="s">
        <v>130</v>
      </c>
      <c r="D8" t="s">
        <v>131</v>
      </c>
      <c r="E8" s="2">
        <v>5</v>
      </c>
      <c r="F8" t="s">
        <v>36</v>
      </c>
      <c r="G8" s="2">
        <v>0</v>
      </c>
      <c r="H8" s="2">
        <v>0</v>
      </c>
      <c r="I8">
        <v>45.228000000000002</v>
      </c>
    </row>
    <row r="9" spans="1:9" x14ac:dyDescent="0.25">
      <c r="A9">
        <v>2000020074</v>
      </c>
      <c r="B9" t="s">
        <v>136</v>
      </c>
      <c r="C9" t="s">
        <v>130</v>
      </c>
      <c r="D9" t="s">
        <v>131</v>
      </c>
      <c r="E9" s="2">
        <v>5805</v>
      </c>
      <c r="F9" t="s">
        <v>36</v>
      </c>
      <c r="G9" s="2">
        <v>7050</v>
      </c>
      <c r="H9" s="2">
        <v>38910</v>
      </c>
      <c r="I9">
        <v>0.24118700000000001</v>
      </c>
    </row>
    <row r="10" spans="1:9" x14ac:dyDescent="0.25">
      <c r="A10">
        <v>2000020074</v>
      </c>
      <c r="B10" t="s">
        <v>136</v>
      </c>
      <c r="C10" t="s">
        <v>126</v>
      </c>
      <c r="D10" t="s">
        <v>127</v>
      </c>
      <c r="E10" s="2">
        <v>23760</v>
      </c>
      <c r="F10" t="s">
        <v>36</v>
      </c>
      <c r="G10" s="2">
        <v>0</v>
      </c>
      <c r="H10">
        <v>0</v>
      </c>
      <c r="I10">
        <v>0.25362699999999999</v>
      </c>
    </row>
    <row r="11" spans="1:9" x14ac:dyDescent="0.25">
      <c r="A11">
        <v>2000020074</v>
      </c>
      <c r="B11" t="s">
        <v>136</v>
      </c>
      <c r="C11" t="s">
        <v>137</v>
      </c>
      <c r="D11" t="s">
        <v>138</v>
      </c>
      <c r="E11" s="2">
        <v>137</v>
      </c>
      <c r="F11" t="s">
        <v>36</v>
      </c>
      <c r="G11" s="2">
        <v>0</v>
      </c>
      <c r="H11">
        <v>30</v>
      </c>
      <c r="I11">
        <v>0.25547399999999998</v>
      </c>
    </row>
    <row r="12" spans="1:9" x14ac:dyDescent="0.25">
      <c r="A12">
        <v>2000020074</v>
      </c>
      <c r="B12" t="s">
        <v>136</v>
      </c>
      <c r="C12" t="s">
        <v>139</v>
      </c>
      <c r="D12" t="s">
        <v>140</v>
      </c>
      <c r="E12" s="2">
        <v>8</v>
      </c>
      <c r="F12" t="s">
        <v>36</v>
      </c>
      <c r="G12" s="2">
        <v>38910</v>
      </c>
      <c r="H12">
        <v>0</v>
      </c>
      <c r="I12">
        <v>0.24</v>
      </c>
    </row>
    <row r="13" spans="1:9" x14ac:dyDescent="0.25">
      <c r="A13">
        <v>2000020075</v>
      </c>
      <c r="B13" t="s">
        <v>141</v>
      </c>
      <c r="C13" t="s">
        <v>130</v>
      </c>
      <c r="D13" t="s">
        <v>131</v>
      </c>
      <c r="E13" s="2">
        <v>4</v>
      </c>
      <c r="F13" t="s">
        <v>36</v>
      </c>
      <c r="G13" s="2">
        <v>61</v>
      </c>
      <c r="H13" s="2">
        <v>50000</v>
      </c>
      <c r="I13">
        <v>0.44750000000000001</v>
      </c>
    </row>
    <row r="14" spans="1:9" x14ac:dyDescent="0.25">
      <c r="A14">
        <v>2000020075</v>
      </c>
      <c r="B14" t="s">
        <v>141</v>
      </c>
      <c r="C14" t="s">
        <v>126</v>
      </c>
      <c r="D14" t="s">
        <v>127</v>
      </c>
      <c r="E14" s="2">
        <v>4486</v>
      </c>
      <c r="F14" t="s">
        <v>36</v>
      </c>
      <c r="G14" s="2">
        <v>100000</v>
      </c>
      <c r="H14">
        <v>0</v>
      </c>
      <c r="I14">
        <v>0.45074500000000001</v>
      </c>
    </row>
    <row r="15" spans="1:9" x14ac:dyDescent="0.25">
      <c r="A15">
        <v>2000020075</v>
      </c>
      <c r="B15" t="s">
        <v>141</v>
      </c>
      <c r="C15" t="s">
        <v>142</v>
      </c>
      <c r="D15" t="s">
        <v>143</v>
      </c>
      <c r="E15" s="2">
        <v>1859</v>
      </c>
      <c r="F15" t="s">
        <v>36</v>
      </c>
      <c r="G15">
        <v>0</v>
      </c>
      <c r="H15" s="2">
        <v>50000</v>
      </c>
      <c r="I15">
        <v>0.44774599999999998</v>
      </c>
    </row>
    <row r="16" spans="1:9" x14ac:dyDescent="0.25">
      <c r="A16">
        <v>2000020075</v>
      </c>
      <c r="B16" t="s">
        <v>141</v>
      </c>
      <c r="C16" t="s">
        <v>137</v>
      </c>
      <c r="D16" t="s">
        <v>138</v>
      </c>
      <c r="E16" s="2">
        <v>90</v>
      </c>
      <c r="F16" t="s">
        <v>36</v>
      </c>
      <c r="G16" s="2">
        <v>0</v>
      </c>
      <c r="H16">
        <v>21</v>
      </c>
      <c r="I16">
        <v>0.45700000000000002</v>
      </c>
    </row>
    <row r="17" spans="1:9" x14ac:dyDescent="0.25">
      <c r="A17">
        <v>2000020075</v>
      </c>
      <c r="B17" t="s">
        <v>141</v>
      </c>
      <c r="C17" t="s">
        <v>139</v>
      </c>
      <c r="D17" t="s">
        <v>140</v>
      </c>
      <c r="E17" s="2">
        <v>112620</v>
      </c>
      <c r="F17" t="s">
        <v>36</v>
      </c>
      <c r="G17" s="2">
        <v>0</v>
      </c>
      <c r="H17">
        <v>0</v>
      </c>
      <c r="I17">
        <v>0.44774399999999998</v>
      </c>
    </row>
    <row r="18" spans="1:9" x14ac:dyDescent="0.25">
      <c r="A18">
        <v>2000020075</v>
      </c>
      <c r="B18" t="s">
        <v>141</v>
      </c>
      <c r="C18" t="s">
        <v>144</v>
      </c>
      <c r="D18" t="s">
        <v>145</v>
      </c>
      <c r="E18" s="2">
        <v>1900</v>
      </c>
      <c r="F18" t="s">
        <v>36</v>
      </c>
      <c r="G18">
        <v>0</v>
      </c>
      <c r="H18">
        <v>0</v>
      </c>
      <c r="I18">
        <v>0.447716</v>
      </c>
    </row>
    <row r="19" spans="1:9" x14ac:dyDescent="0.25">
      <c r="A19">
        <v>2000020077</v>
      </c>
      <c r="B19" t="s">
        <v>146</v>
      </c>
      <c r="C19" t="s">
        <v>130</v>
      </c>
      <c r="D19" t="s">
        <v>131</v>
      </c>
      <c r="E19" s="2">
        <v>1</v>
      </c>
      <c r="F19" t="s">
        <v>147</v>
      </c>
      <c r="G19">
        <v>0</v>
      </c>
      <c r="H19">
        <v>0</v>
      </c>
      <c r="I19">
        <v>2.77</v>
      </c>
    </row>
    <row r="20" spans="1:9" x14ac:dyDescent="0.25">
      <c r="A20">
        <v>2000020077</v>
      </c>
      <c r="B20" t="s">
        <v>146</v>
      </c>
      <c r="C20" t="s">
        <v>126</v>
      </c>
      <c r="D20" t="s">
        <v>127</v>
      </c>
      <c r="E20" s="2">
        <v>105</v>
      </c>
      <c r="F20" t="s">
        <v>147</v>
      </c>
      <c r="G20">
        <v>0</v>
      </c>
      <c r="H20">
        <v>0</v>
      </c>
      <c r="I20">
        <v>2.7658100000000001</v>
      </c>
    </row>
    <row r="21" spans="1:9" x14ac:dyDescent="0.25">
      <c r="A21">
        <v>2000020078</v>
      </c>
      <c r="B21" t="s">
        <v>148</v>
      </c>
      <c r="C21" t="s">
        <v>130</v>
      </c>
      <c r="D21" t="s">
        <v>131</v>
      </c>
      <c r="E21" s="2">
        <v>4</v>
      </c>
      <c r="F21" t="s">
        <v>147</v>
      </c>
      <c r="G21">
        <v>0</v>
      </c>
      <c r="H21">
        <v>0</v>
      </c>
      <c r="I21">
        <v>2.9024999999999999</v>
      </c>
    </row>
    <row r="22" spans="1:9" x14ac:dyDescent="0.25">
      <c r="A22">
        <v>2000020078</v>
      </c>
      <c r="B22" t="s">
        <v>148</v>
      </c>
      <c r="C22" t="s">
        <v>126</v>
      </c>
      <c r="D22" t="s">
        <v>127</v>
      </c>
      <c r="E22" s="2">
        <v>33</v>
      </c>
      <c r="F22" t="s">
        <v>147</v>
      </c>
      <c r="G22">
        <v>0</v>
      </c>
      <c r="H22">
        <v>0</v>
      </c>
      <c r="I22">
        <v>2.9030300000000002</v>
      </c>
    </row>
    <row r="23" spans="1:9" x14ac:dyDescent="0.25">
      <c r="A23">
        <v>2000020079</v>
      </c>
      <c r="B23" t="s">
        <v>149</v>
      </c>
      <c r="C23" t="s">
        <v>130</v>
      </c>
      <c r="D23" t="s">
        <v>131</v>
      </c>
      <c r="E23" s="2">
        <v>45786</v>
      </c>
      <c r="F23" t="s">
        <v>36</v>
      </c>
      <c r="G23" s="2">
        <v>1180</v>
      </c>
      <c r="H23" s="2">
        <v>133656</v>
      </c>
      <c r="I23">
        <v>0.404115</v>
      </c>
    </row>
    <row r="24" spans="1:9" x14ac:dyDescent="0.25">
      <c r="A24">
        <v>2000020079</v>
      </c>
      <c r="B24" t="s">
        <v>149</v>
      </c>
      <c r="C24" t="s">
        <v>126</v>
      </c>
      <c r="D24" t="s">
        <v>127</v>
      </c>
      <c r="E24" s="2">
        <v>36873</v>
      </c>
      <c r="F24" t="s">
        <v>36</v>
      </c>
      <c r="G24">
        <v>0</v>
      </c>
      <c r="H24">
        <v>0</v>
      </c>
      <c r="I24">
        <v>0.40788999999999997</v>
      </c>
    </row>
    <row r="25" spans="1:9" x14ac:dyDescent="0.25">
      <c r="A25">
        <v>2000020079</v>
      </c>
      <c r="B25" t="s">
        <v>149</v>
      </c>
      <c r="C25" t="s">
        <v>137</v>
      </c>
      <c r="D25" t="s">
        <v>138</v>
      </c>
      <c r="E25" s="2">
        <v>30</v>
      </c>
      <c r="F25" t="s">
        <v>36</v>
      </c>
      <c r="G25" s="2">
        <v>0</v>
      </c>
      <c r="H25">
        <v>1</v>
      </c>
      <c r="I25">
        <v>0.42399999999999999</v>
      </c>
    </row>
    <row r="26" spans="1:9" x14ac:dyDescent="0.25">
      <c r="A26">
        <v>2000020079</v>
      </c>
      <c r="B26" t="s">
        <v>149</v>
      </c>
      <c r="C26" t="s">
        <v>139</v>
      </c>
      <c r="D26" t="s">
        <v>140</v>
      </c>
      <c r="E26" s="2">
        <v>85414</v>
      </c>
      <c r="F26" t="s">
        <v>36</v>
      </c>
      <c r="G26" s="2">
        <v>133656</v>
      </c>
      <c r="H26">
        <v>0</v>
      </c>
      <c r="I26">
        <v>0.46624500000000002</v>
      </c>
    </row>
    <row r="27" spans="1:9" x14ac:dyDescent="0.25">
      <c r="A27">
        <v>2000020080</v>
      </c>
      <c r="B27" t="s">
        <v>150</v>
      </c>
      <c r="C27" t="s">
        <v>130</v>
      </c>
      <c r="D27" t="s">
        <v>131</v>
      </c>
      <c r="E27" s="2">
        <v>198467</v>
      </c>
      <c r="F27" t="s">
        <v>36</v>
      </c>
      <c r="G27" s="2">
        <v>163</v>
      </c>
      <c r="H27" s="2">
        <v>86874</v>
      </c>
      <c r="I27">
        <v>0.95745599999999997</v>
      </c>
    </row>
    <row r="28" spans="1:9" x14ac:dyDescent="0.25">
      <c r="A28">
        <v>2000020080</v>
      </c>
      <c r="B28" t="s">
        <v>150</v>
      </c>
      <c r="C28" t="s">
        <v>126</v>
      </c>
      <c r="D28" t="s">
        <v>127</v>
      </c>
      <c r="E28" s="2">
        <v>1023</v>
      </c>
      <c r="F28" t="s">
        <v>36</v>
      </c>
      <c r="G28">
        <v>0</v>
      </c>
      <c r="H28">
        <v>0</v>
      </c>
      <c r="I28">
        <v>1.0831090000000001</v>
      </c>
    </row>
    <row r="29" spans="1:9" x14ac:dyDescent="0.25">
      <c r="A29">
        <v>2000020080</v>
      </c>
      <c r="B29" t="s">
        <v>150</v>
      </c>
      <c r="C29" t="s">
        <v>137</v>
      </c>
      <c r="D29" t="s">
        <v>138</v>
      </c>
      <c r="E29" s="2">
        <v>32</v>
      </c>
      <c r="F29" t="s">
        <v>36</v>
      </c>
      <c r="G29" s="2">
        <v>0</v>
      </c>
      <c r="H29">
        <v>31</v>
      </c>
      <c r="I29">
        <v>1.059375</v>
      </c>
    </row>
    <row r="30" spans="1:9" x14ac:dyDescent="0.25">
      <c r="A30">
        <v>2000020080</v>
      </c>
      <c r="B30" t="s">
        <v>150</v>
      </c>
      <c r="C30" t="s">
        <v>151</v>
      </c>
      <c r="D30" t="s">
        <v>152</v>
      </c>
      <c r="E30" s="2">
        <v>556</v>
      </c>
      <c r="F30" t="s">
        <v>36</v>
      </c>
      <c r="G30" s="2">
        <v>0</v>
      </c>
      <c r="H30">
        <v>0</v>
      </c>
      <c r="I30">
        <v>0.96109699999999998</v>
      </c>
    </row>
    <row r="31" spans="1:9" x14ac:dyDescent="0.25">
      <c r="A31">
        <v>2000020080</v>
      </c>
      <c r="B31" t="s">
        <v>150</v>
      </c>
      <c r="C31" t="s">
        <v>139</v>
      </c>
      <c r="D31" t="s">
        <v>140</v>
      </c>
      <c r="E31" s="2">
        <v>27258</v>
      </c>
      <c r="F31" t="s">
        <v>36</v>
      </c>
      <c r="G31" s="2">
        <v>86862</v>
      </c>
      <c r="H31">
        <v>0</v>
      </c>
      <c r="I31">
        <v>1.058468</v>
      </c>
    </row>
    <row r="32" spans="1:9" x14ac:dyDescent="0.25">
      <c r="A32">
        <v>2000020081</v>
      </c>
      <c r="B32" t="s">
        <v>153</v>
      </c>
      <c r="C32" t="s">
        <v>130</v>
      </c>
      <c r="D32" t="s">
        <v>131</v>
      </c>
      <c r="E32" s="2">
        <v>198328</v>
      </c>
      <c r="F32" t="s">
        <v>36</v>
      </c>
      <c r="G32" s="2">
        <v>2076</v>
      </c>
      <c r="H32" s="2">
        <v>90894</v>
      </c>
      <c r="I32">
        <v>2.1366170000000002</v>
      </c>
    </row>
    <row r="33" spans="1:9" x14ac:dyDescent="0.25">
      <c r="A33">
        <v>2000020081</v>
      </c>
      <c r="B33" t="s">
        <v>153</v>
      </c>
      <c r="C33" t="s">
        <v>126</v>
      </c>
      <c r="D33" t="s">
        <v>127</v>
      </c>
      <c r="E33" s="2">
        <v>6065</v>
      </c>
      <c r="F33" t="s">
        <v>36</v>
      </c>
      <c r="G33">
        <v>0</v>
      </c>
      <c r="H33">
        <v>0</v>
      </c>
      <c r="I33">
        <v>2.1468509999999998</v>
      </c>
    </row>
    <row r="34" spans="1:9" x14ac:dyDescent="0.25">
      <c r="A34">
        <v>2000020081</v>
      </c>
      <c r="B34" t="s">
        <v>153</v>
      </c>
      <c r="C34" t="s">
        <v>137</v>
      </c>
      <c r="D34" t="s">
        <v>138</v>
      </c>
      <c r="E34" s="2">
        <v>33</v>
      </c>
      <c r="F34" t="s">
        <v>36</v>
      </c>
      <c r="G34" s="2">
        <v>0</v>
      </c>
      <c r="H34">
        <v>1</v>
      </c>
      <c r="I34">
        <v>2.1448480000000001</v>
      </c>
    </row>
    <row r="35" spans="1:9" x14ac:dyDescent="0.25">
      <c r="A35">
        <v>2000020081</v>
      </c>
      <c r="B35" t="s">
        <v>153</v>
      </c>
      <c r="C35" t="s">
        <v>151</v>
      </c>
      <c r="D35" t="s">
        <v>152</v>
      </c>
      <c r="E35" s="2">
        <v>8016</v>
      </c>
      <c r="F35" t="s">
        <v>36</v>
      </c>
      <c r="G35" s="2">
        <v>0</v>
      </c>
      <c r="H35">
        <v>0</v>
      </c>
      <c r="I35">
        <v>2.1274099999999998</v>
      </c>
    </row>
    <row r="36" spans="1:9" x14ac:dyDescent="0.25">
      <c r="A36">
        <v>2000020081</v>
      </c>
      <c r="B36" t="s">
        <v>153</v>
      </c>
      <c r="C36" t="s">
        <v>139</v>
      </c>
      <c r="D36" t="s">
        <v>140</v>
      </c>
      <c r="E36" s="2">
        <v>272</v>
      </c>
      <c r="F36" t="s">
        <v>36</v>
      </c>
      <c r="G36" s="2">
        <v>90894</v>
      </c>
      <c r="H36">
        <v>0</v>
      </c>
      <c r="I36">
        <v>2.1814710000000002</v>
      </c>
    </row>
    <row r="37" spans="1:9" x14ac:dyDescent="0.25">
      <c r="A37">
        <v>2000020086</v>
      </c>
      <c r="B37" t="s">
        <v>154</v>
      </c>
      <c r="C37" t="s">
        <v>130</v>
      </c>
      <c r="D37" t="s">
        <v>131</v>
      </c>
      <c r="E37" s="2">
        <v>1</v>
      </c>
      <c r="F37" t="s">
        <v>147</v>
      </c>
      <c r="G37">
        <v>0</v>
      </c>
      <c r="H37">
        <v>0</v>
      </c>
      <c r="I37">
        <v>1.81</v>
      </c>
    </row>
    <row r="38" spans="1:9" x14ac:dyDescent="0.25">
      <c r="A38">
        <v>2000020086</v>
      </c>
      <c r="B38" t="s">
        <v>154</v>
      </c>
      <c r="C38" t="s">
        <v>126</v>
      </c>
      <c r="D38" t="s">
        <v>127</v>
      </c>
      <c r="E38" s="2">
        <v>711</v>
      </c>
      <c r="F38" t="s">
        <v>147</v>
      </c>
      <c r="G38">
        <v>0</v>
      </c>
      <c r="H38">
        <v>0</v>
      </c>
      <c r="I38">
        <v>1.8054429999999999</v>
      </c>
    </row>
    <row r="39" spans="1:9" x14ac:dyDescent="0.25">
      <c r="A39">
        <v>2000020094</v>
      </c>
      <c r="B39" t="s">
        <v>155</v>
      </c>
      <c r="C39" t="s">
        <v>130</v>
      </c>
      <c r="D39" t="s">
        <v>131</v>
      </c>
      <c r="E39" s="2">
        <v>7</v>
      </c>
      <c r="F39" t="s">
        <v>36</v>
      </c>
      <c r="G39" s="2">
        <v>24842</v>
      </c>
      <c r="H39" s="2">
        <v>67872</v>
      </c>
      <c r="I39">
        <v>0.71</v>
      </c>
    </row>
    <row r="40" spans="1:9" x14ac:dyDescent="0.25">
      <c r="A40">
        <v>2000020094</v>
      </c>
      <c r="B40" t="s">
        <v>155</v>
      </c>
      <c r="C40" t="s">
        <v>126</v>
      </c>
      <c r="D40" t="s">
        <v>127</v>
      </c>
      <c r="E40" s="2">
        <v>6000</v>
      </c>
      <c r="F40" t="s">
        <v>36</v>
      </c>
      <c r="G40" s="2">
        <v>6336</v>
      </c>
      <c r="H40">
        <v>0</v>
      </c>
      <c r="I40">
        <v>0.67433799999999999</v>
      </c>
    </row>
    <row r="41" spans="1:9" x14ac:dyDescent="0.25">
      <c r="A41">
        <v>2000020094</v>
      </c>
      <c r="B41" t="s">
        <v>155</v>
      </c>
      <c r="C41" t="s">
        <v>137</v>
      </c>
      <c r="D41" t="s">
        <v>138</v>
      </c>
      <c r="E41" s="2">
        <v>66</v>
      </c>
      <c r="F41" t="s">
        <v>36</v>
      </c>
      <c r="G41">
        <v>0</v>
      </c>
      <c r="H41">
        <v>1</v>
      </c>
      <c r="I41">
        <v>0.71287900000000004</v>
      </c>
    </row>
    <row r="42" spans="1:9" x14ac:dyDescent="0.25">
      <c r="A42">
        <v>2000020094</v>
      </c>
      <c r="B42" t="s">
        <v>155</v>
      </c>
      <c r="C42" t="s">
        <v>151</v>
      </c>
      <c r="D42" t="s">
        <v>152</v>
      </c>
      <c r="E42" s="2">
        <v>0</v>
      </c>
      <c r="F42" t="s">
        <v>36</v>
      </c>
      <c r="G42">
        <v>0</v>
      </c>
      <c r="H42" s="2">
        <v>10080</v>
      </c>
      <c r="I42">
        <v>0.70949700000000004</v>
      </c>
    </row>
    <row r="43" spans="1:9" x14ac:dyDescent="0.25">
      <c r="A43">
        <v>2000020094</v>
      </c>
      <c r="B43" t="s">
        <v>155</v>
      </c>
      <c r="C43" t="s">
        <v>139</v>
      </c>
      <c r="D43" t="s">
        <v>140</v>
      </c>
      <c r="E43" s="2">
        <v>94962</v>
      </c>
      <c r="F43" t="s">
        <v>36</v>
      </c>
      <c r="G43" s="2">
        <v>61248</v>
      </c>
      <c r="H43" s="2">
        <v>14592</v>
      </c>
      <c r="I43">
        <v>0.706175</v>
      </c>
    </row>
    <row r="44" spans="1:9" x14ac:dyDescent="0.25">
      <c r="A44">
        <v>2000030028</v>
      </c>
      <c r="B44" t="s">
        <v>156</v>
      </c>
      <c r="C44" t="s">
        <v>126</v>
      </c>
      <c r="D44" t="s">
        <v>127</v>
      </c>
      <c r="E44" s="2">
        <v>346</v>
      </c>
      <c r="F44" t="s">
        <v>36</v>
      </c>
      <c r="G44">
        <v>0</v>
      </c>
      <c r="H44" s="2">
        <v>0</v>
      </c>
      <c r="I44">
        <v>0.243613</v>
      </c>
    </row>
    <row r="45" spans="1:9" x14ac:dyDescent="0.25">
      <c r="A45">
        <v>2000030028</v>
      </c>
      <c r="B45" t="s">
        <v>156</v>
      </c>
      <c r="C45" t="s">
        <v>157</v>
      </c>
      <c r="D45" t="s">
        <v>158</v>
      </c>
      <c r="E45" s="2">
        <v>51</v>
      </c>
      <c r="F45" t="s">
        <v>36</v>
      </c>
      <c r="G45" s="2">
        <v>0</v>
      </c>
      <c r="H45">
        <v>0</v>
      </c>
      <c r="I45">
        <v>0.243529</v>
      </c>
    </row>
    <row r="46" spans="1:9" x14ac:dyDescent="0.25">
      <c r="A46">
        <v>2000030051</v>
      </c>
      <c r="B46" t="s">
        <v>159</v>
      </c>
      <c r="C46" t="s">
        <v>130</v>
      </c>
      <c r="D46" t="s">
        <v>131</v>
      </c>
      <c r="E46" s="2">
        <v>192127</v>
      </c>
      <c r="F46" t="s">
        <v>36</v>
      </c>
      <c r="G46" s="2">
        <v>60</v>
      </c>
      <c r="H46">
        <v>0</v>
      </c>
      <c r="I46">
        <v>0.103992</v>
      </c>
    </row>
    <row r="47" spans="1:9" x14ac:dyDescent="0.25">
      <c r="A47">
        <v>2000030051</v>
      </c>
      <c r="B47" t="s">
        <v>159</v>
      </c>
      <c r="C47" t="s">
        <v>142</v>
      </c>
      <c r="D47" t="s">
        <v>143</v>
      </c>
      <c r="E47" s="2">
        <v>1859</v>
      </c>
      <c r="F47" t="s">
        <v>36</v>
      </c>
      <c r="G47">
        <v>0</v>
      </c>
      <c r="H47">
        <v>0</v>
      </c>
      <c r="I47">
        <v>0.103991</v>
      </c>
    </row>
    <row r="48" spans="1:9" x14ac:dyDescent="0.25">
      <c r="A48">
        <v>2000030051</v>
      </c>
      <c r="B48" t="s">
        <v>159</v>
      </c>
      <c r="C48" t="s">
        <v>137</v>
      </c>
      <c r="D48" t="s">
        <v>138</v>
      </c>
      <c r="E48" s="2">
        <v>120</v>
      </c>
      <c r="F48" t="s">
        <v>36</v>
      </c>
      <c r="G48">
        <v>0</v>
      </c>
      <c r="H48">
        <v>30</v>
      </c>
      <c r="I48">
        <v>0.112917</v>
      </c>
    </row>
    <row r="49" spans="1:9" x14ac:dyDescent="0.25">
      <c r="A49">
        <v>2000030051</v>
      </c>
      <c r="B49" t="s">
        <v>159</v>
      </c>
      <c r="C49" t="s">
        <v>139</v>
      </c>
      <c r="D49" t="s">
        <v>140</v>
      </c>
      <c r="E49" s="2">
        <v>180000</v>
      </c>
      <c r="F49" t="s">
        <v>36</v>
      </c>
      <c r="G49">
        <v>0</v>
      </c>
      <c r="H49">
        <v>0</v>
      </c>
      <c r="I49">
        <v>9.8532999999999996E-2</v>
      </c>
    </row>
    <row r="50" spans="1:9" x14ac:dyDescent="0.25">
      <c r="A50">
        <v>2000030052</v>
      </c>
      <c r="B50" t="s">
        <v>160</v>
      </c>
      <c r="C50" t="s">
        <v>130</v>
      </c>
      <c r="D50" t="s">
        <v>131</v>
      </c>
      <c r="E50" s="2">
        <v>83407</v>
      </c>
      <c r="F50" t="s">
        <v>36</v>
      </c>
      <c r="G50" s="2">
        <v>1860</v>
      </c>
      <c r="H50">
        <v>0</v>
      </c>
      <c r="I50">
        <v>0.154775</v>
      </c>
    </row>
    <row r="51" spans="1:9" x14ac:dyDescent="0.25">
      <c r="A51">
        <v>2000030052</v>
      </c>
      <c r="B51" t="s">
        <v>160</v>
      </c>
      <c r="C51" t="s">
        <v>142</v>
      </c>
      <c r="D51" t="s">
        <v>143</v>
      </c>
      <c r="E51" s="2">
        <v>0</v>
      </c>
      <c r="F51" t="s">
        <v>36</v>
      </c>
      <c r="G51">
        <v>0</v>
      </c>
      <c r="H51">
        <v>500</v>
      </c>
      <c r="I51">
        <v>0.15477099999999999</v>
      </c>
    </row>
    <row r="52" spans="1:9" x14ac:dyDescent="0.25">
      <c r="A52">
        <v>2000030052</v>
      </c>
      <c r="B52" t="s">
        <v>160</v>
      </c>
      <c r="C52" t="s">
        <v>137</v>
      </c>
      <c r="D52" t="s">
        <v>138</v>
      </c>
      <c r="E52" s="2">
        <v>0</v>
      </c>
      <c r="F52" t="s">
        <v>36</v>
      </c>
      <c r="G52">
        <v>0</v>
      </c>
      <c r="H52">
        <v>100</v>
      </c>
      <c r="I52">
        <v>0.16597400000000001</v>
      </c>
    </row>
    <row r="53" spans="1:9" x14ac:dyDescent="0.25">
      <c r="A53">
        <v>2000030052</v>
      </c>
      <c r="B53" t="s">
        <v>160</v>
      </c>
      <c r="C53" t="s">
        <v>139</v>
      </c>
      <c r="D53" t="s">
        <v>140</v>
      </c>
      <c r="E53" s="2">
        <v>54</v>
      </c>
      <c r="F53" t="s">
        <v>36</v>
      </c>
      <c r="G53">
        <v>0</v>
      </c>
      <c r="H53">
        <v>0</v>
      </c>
      <c r="I53">
        <v>0.15481500000000001</v>
      </c>
    </row>
    <row r="54" spans="1:9" x14ac:dyDescent="0.25">
      <c r="A54">
        <v>2000030052</v>
      </c>
      <c r="B54" t="s">
        <v>160</v>
      </c>
      <c r="C54" t="s">
        <v>144</v>
      </c>
      <c r="D54" t="s">
        <v>145</v>
      </c>
      <c r="E54" s="2">
        <v>71.12</v>
      </c>
      <c r="F54" t="s">
        <v>36</v>
      </c>
      <c r="G54" s="2">
        <v>0</v>
      </c>
      <c r="H54">
        <v>0</v>
      </c>
      <c r="I54">
        <v>0.15551200000000001</v>
      </c>
    </row>
    <row r="55" spans="1:9" x14ac:dyDescent="0.25">
      <c r="A55">
        <v>2000030053</v>
      </c>
      <c r="B55" t="s">
        <v>161</v>
      </c>
      <c r="C55" t="s">
        <v>130</v>
      </c>
      <c r="D55" t="s">
        <v>131</v>
      </c>
      <c r="E55" s="2">
        <v>11</v>
      </c>
      <c r="F55" t="s">
        <v>36</v>
      </c>
      <c r="G55" s="2">
        <v>1426</v>
      </c>
      <c r="H55" s="2">
        <v>0</v>
      </c>
      <c r="I55">
        <v>0.13181799999999999</v>
      </c>
    </row>
    <row r="56" spans="1:9" x14ac:dyDescent="0.25">
      <c r="A56">
        <v>2000030053</v>
      </c>
      <c r="B56" t="s">
        <v>161</v>
      </c>
      <c r="C56" t="s">
        <v>137</v>
      </c>
      <c r="D56" t="s">
        <v>138</v>
      </c>
      <c r="E56" s="2">
        <v>0</v>
      </c>
      <c r="F56" t="s">
        <v>36</v>
      </c>
      <c r="G56">
        <v>0</v>
      </c>
      <c r="H56">
        <v>20</v>
      </c>
      <c r="I56">
        <v>0.150843</v>
      </c>
    </row>
    <row r="57" spans="1:9" x14ac:dyDescent="0.25">
      <c r="A57">
        <v>2000030054</v>
      </c>
      <c r="B57" t="s">
        <v>162</v>
      </c>
      <c r="C57" t="s">
        <v>130</v>
      </c>
      <c r="D57" t="s">
        <v>131</v>
      </c>
      <c r="E57" s="2">
        <v>12600</v>
      </c>
      <c r="F57" t="s">
        <v>36</v>
      </c>
      <c r="G57">
        <v>212</v>
      </c>
      <c r="H57">
        <v>0</v>
      </c>
      <c r="I57">
        <v>9.8060999999999995E-2</v>
      </c>
    </row>
    <row r="58" spans="1:9" x14ac:dyDescent="0.25">
      <c r="A58">
        <v>2000030054</v>
      </c>
      <c r="B58" t="s">
        <v>162</v>
      </c>
      <c r="C58" t="s">
        <v>139</v>
      </c>
      <c r="D58" t="s">
        <v>140</v>
      </c>
      <c r="E58" s="2">
        <v>63000</v>
      </c>
      <c r="F58" t="s">
        <v>36</v>
      </c>
      <c r="G58">
        <v>0</v>
      </c>
      <c r="H58">
        <v>0</v>
      </c>
      <c r="I58">
        <v>9.5038999999999998E-2</v>
      </c>
    </row>
    <row r="59" spans="1:9" x14ac:dyDescent="0.25">
      <c r="A59">
        <v>2000030055</v>
      </c>
      <c r="B59" t="s">
        <v>163</v>
      </c>
      <c r="C59" t="s">
        <v>130</v>
      </c>
      <c r="D59" t="s">
        <v>131</v>
      </c>
      <c r="E59" s="2">
        <v>1044</v>
      </c>
      <c r="F59" t="s">
        <v>36</v>
      </c>
      <c r="G59">
        <v>0</v>
      </c>
      <c r="H59">
        <v>0</v>
      </c>
      <c r="I59">
        <v>0.428151</v>
      </c>
    </row>
    <row r="60" spans="1:9" x14ac:dyDescent="0.25">
      <c r="A60">
        <v>2000030056</v>
      </c>
      <c r="B60" t="s">
        <v>164</v>
      </c>
      <c r="C60" t="s">
        <v>130</v>
      </c>
      <c r="D60" t="s">
        <v>131</v>
      </c>
      <c r="E60" s="2">
        <v>507.36</v>
      </c>
      <c r="F60" t="s">
        <v>36</v>
      </c>
      <c r="G60">
        <v>0</v>
      </c>
      <c r="H60">
        <v>0</v>
      </c>
      <c r="I60">
        <v>0.23464599999999999</v>
      </c>
    </row>
    <row r="61" spans="1:9" x14ac:dyDescent="0.25">
      <c r="A61">
        <v>2000030057</v>
      </c>
      <c r="B61" t="s">
        <v>165</v>
      </c>
      <c r="C61" t="s">
        <v>130</v>
      </c>
      <c r="D61" t="s">
        <v>131</v>
      </c>
      <c r="E61" s="2">
        <v>419</v>
      </c>
      <c r="F61" t="s">
        <v>147</v>
      </c>
      <c r="G61" s="2">
        <v>33</v>
      </c>
      <c r="H61" s="2">
        <v>6912</v>
      </c>
      <c r="I61">
        <v>1.028759</v>
      </c>
    </row>
    <row r="62" spans="1:9" x14ac:dyDescent="0.25">
      <c r="A62">
        <v>2000030057</v>
      </c>
      <c r="B62" t="s">
        <v>165</v>
      </c>
      <c r="C62" t="s">
        <v>137</v>
      </c>
      <c r="D62" t="s">
        <v>138</v>
      </c>
      <c r="E62" s="2">
        <v>5</v>
      </c>
      <c r="F62" t="s">
        <v>147</v>
      </c>
      <c r="G62">
        <v>0</v>
      </c>
      <c r="H62" s="2">
        <v>0</v>
      </c>
      <c r="I62">
        <v>1.03</v>
      </c>
    </row>
    <row r="63" spans="1:9" x14ac:dyDescent="0.25">
      <c r="A63">
        <v>2000030057</v>
      </c>
      <c r="B63" t="s">
        <v>165</v>
      </c>
      <c r="C63" t="s">
        <v>151</v>
      </c>
      <c r="D63" t="s">
        <v>152</v>
      </c>
      <c r="E63" s="2">
        <v>1752</v>
      </c>
      <c r="F63" t="s">
        <v>147</v>
      </c>
      <c r="G63" s="2">
        <v>0</v>
      </c>
      <c r="H63">
        <v>0</v>
      </c>
      <c r="I63">
        <v>1.0287729999999999</v>
      </c>
    </row>
    <row r="64" spans="1:9" x14ac:dyDescent="0.25">
      <c r="A64">
        <v>2000030057</v>
      </c>
      <c r="B64" t="s">
        <v>165</v>
      </c>
      <c r="C64" t="s">
        <v>139</v>
      </c>
      <c r="D64" t="s">
        <v>140</v>
      </c>
      <c r="E64" s="2">
        <v>0</v>
      </c>
      <c r="F64" t="s">
        <v>147</v>
      </c>
      <c r="G64" s="2">
        <v>6912</v>
      </c>
      <c r="H64">
        <v>0</v>
      </c>
      <c r="I64">
        <v>1.028783</v>
      </c>
    </row>
    <row r="65" spans="1:9" x14ac:dyDescent="0.25">
      <c r="A65">
        <v>2000030058</v>
      </c>
      <c r="B65" t="s">
        <v>166</v>
      </c>
      <c r="C65" t="s">
        <v>130</v>
      </c>
      <c r="D65" t="s">
        <v>131</v>
      </c>
      <c r="E65" s="2">
        <v>0</v>
      </c>
      <c r="F65" t="s">
        <v>36</v>
      </c>
      <c r="G65" s="2">
        <v>2245</v>
      </c>
      <c r="H65" s="2">
        <v>0</v>
      </c>
      <c r="I65">
        <v>0.38166699999999998</v>
      </c>
    </row>
    <row r="66" spans="1:9" x14ac:dyDescent="0.25">
      <c r="A66">
        <v>2000030058</v>
      </c>
      <c r="B66" t="s">
        <v>166</v>
      </c>
      <c r="C66" t="s">
        <v>167</v>
      </c>
      <c r="D66" t="s">
        <v>168</v>
      </c>
      <c r="E66" s="2">
        <v>0</v>
      </c>
      <c r="F66" t="s">
        <v>36</v>
      </c>
      <c r="G66" s="2">
        <v>0</v>
      </c>
      <c r="H66">
        <v>3</v>
      </c>
      <c r="I66">
        <v>0</v>
      </c>
    </row>
    <row r="67" spans="1:9" x14ac:dyDescent="0.25">
      <c r="A67">
        <v>2000030058</v>
      </c>
      <c r="B67" t="s">
        <v>166</v>
      </c>
      <c r="C67" t="s">
        <v>137</v>
      </c>
      <c r="D67" t="s">
        <v>138</v>
      </c>
      <c r="E67" s="2">
        <v>15</v>
      </c>
      <c r="F67" t="s">
        <v>36</v>
      </c>
      <c r="G67">
        <v>0</v>
      </c>
      <c r="H67">
        <v>609</v>
      </c>
      <c r="I67">
        <v>0.38133299999999998</v>
      </c>
    </row>
    <row r="68" spans="1:9" x14ac:dyDescent="0.25">
      <c r="A68">
        <v>2000040082</v>
      </c>
      <c r="B68" t="s">
        <v>169</v>
      </c>
      <c r="C68" t="s">
        <v>130</v>
      </c>
      <c r="D68" t="s">
        <v>131</v>
      </c>
      <c r="E68" s="2">
        <v>5</v>
      </c>
      <c r="F68" t="s">
        <v>36</v>
      </c>
      <c r="G68">
        <v>0</v>
      </c>
      <c r="H68">
        <v>0</v>
      </c>
      <c r="I68">
        <v>5.6139999999999999</v>
      </c>
    </row>
    <row r="69" spans="1:9" x14ac:dyDescent="0.25">
      <c r="A69">
        <v>2000040174</v>
      </c>
      <c r="B69" t="s">
        <v>170</v>
      </c>
      <c r="C69" t="s">
        <v>130</v>
      </c>
      <c r="D69" t="s">
        <v>131</v>
      </c>
      <c r="E69" s="2">
        <v>56</v>
      </c>
      <c r="F69" t="s">
        <v>36</v>
      </c>
      <c r="G69">
        <v>0</v>
      </c>
      <c r="H69" s="2">
        <v>0</v>
      </c>
      <c r="I69">
        <v>4.8023210000000001</v>
      </c>
    </row>
    <row r="70" spans="1:9" x14ac:dyDescent="0.25">
      <c r="A70">
        <v>2000040175</v>
      </c>
      <c r="B70" t="s">
        <v>171</v>
      </c>
      <c r="C70" t="s">
        <v>130</v>
      </c>
      <c r="D70" t="s">
        <v>131</v>
      </c>
      <c r="E70" s="2">
        <v>49</v>
      </c>
      <c r="F70" t="s">
        <v>36</v>
      </c>
      <c r="G70">
        <v>0</v>
      </c>
      <c r="H70">
        <v>0</v>
      </c>
      <c r="I70">
        <v>4.8042860000000003</v>
      </c>
    </row>
    <row r="71" spans="1:9" x14ac:dyDescent="0.25">
      <c r="A71">
        <v>2000040176</v>
      </c>
      <c r="B71" t="s">
        <v>172</v>
      </c>
      <c r="C71" t="s">
        <v>130</v>
      </c>
      <c r="D71" t="s">
        <v>131</v>
      </c>
      <c r="E71" s="2">
        <v>50</v>
      </c>
      <c r="F71" t="s">
        <v>36</v>
      </c>
      <c r="G71">
        <v>0</v>
      </c>
      <c r="H71" s="2">
        <v>0</v>
      </c>
      <c r="I71">
        <v>4.8040000000000003</v>
      </c>
    </row>
    <row r="72" spans="1:9" x14ac:dyDescent="0.25">
      <c r="A72">
        <v>2000040177</v>
      </c>
      <c r="B72" t="s">
        <v>173</v>
      </c>
      <c r="C72" t="s">
        <v>130</v>
      </c>
      <c r="D72" t="s">
        <v>131</v>
      </c>
      <c r="E72" s="2">
        <v>178</v>
      </c>
      <c r="F72" t="s">
        <v>36</v>
      </c>
      <c r="G72">
        <v>0</v>
      </c>
      <c r="H72">
        <v>0</v>
      </c>
      <c r="I72">
        <v>4.804157</v>
      </c>
    </row>
    <row r="73" spans="1:9" x14ac:dyDescent="0.25">
      <c r="A73">
        <v>2000040179</v>
      </c>
      <c r="B73" t="s">
        <v>174</v>
      </c>
      <c r="C73" t="s">
        <v>130</v>
      </c>
      <c r="D73" t="s">
        <v>131</v>
      </c>
      <c r="E73" s="2">
        <v>20</v>
      </c>
      <c r="F73" t="s">
        <v>36</v>
      </c>
      <c r="G73" s="2">
        <v>0</v>
      </c>
      <c r="H73">
        <v>0</v>
      </c>
      <c r="I73">
        <v>5.0609999999999999</v>
      </c>
    </row>
    <row r="74" spans="1:9" x14ac:dyDescent="0.25">
      <c r="A74">
        <v>2000040180</v>
      </c>
      <c r="B74" t="s">
        <v>175</v>
      </c>
      <c r="C74" t="s">
        <v>130</v>
      </c>
      <c r="D74" t="s">
        <v>131</v>
      </c>
      <c r="E74" s="2">
        <v>10</v>
      </c>
      <c r="F74" t="s">
        <v>36</v>
      </c>
      <c r="G74">
        <v>0</v>
      </c>
      <c r="H74">
        <v>0</v>
      </c>
      <c r="I74">
        <v>5.0609999999999999</v>
      </c>
    </row>
    <row r="75" spans="1:9" x14ac:dyDescent="0.25">
      <c r="A75">
        <v>2000040182</v>
      </c>
      <c r="B75" t="s">
        <v>176</v>
      </c>
      <c r="C75" t="s">
        <v>130</v>
      </c>
      <c r="D75" t="s">
        <v>131</v>
      </c>
      <c r="E75" s="2">
        <v>13</v>
      </c>
      <c r="F75" t="s">
        <v>36</v>
      </c>
      <c r="G75">
        <v>0</v>
      </c>
      <c r="H75" s="2">
        <v>0</v>
      </c>
      <c r="I75">
        <v>5.0599999999999996</v>
      </c>
    </row>
    <row r="76" spans="1:9" x14ac:dyDescent="0.25">
      <c r="A76">
        <v>2000040189</v>
      </c>
      <c r="B76" t="s">
        <v>177</v>
      </c>
      <c r="C76" t="s">
        <v>130</v>
      </c>
      <c r="D76" t="s">
        <v>131</v>
      </c>
      <c r="E76" s="2">
        <v>159</v>
      </c>
      <c r="F76" t="s">
        <v>36</v>
      </c>
      <c r="G76" s="2">
        <v>0</v>
      </c>
      <c r="H76">
        <v>0</v>
      </c>
      <c r="I76">
        <v>5.4964149999999998</v>
      </c>
    </row>
    <row r="77" spans="1:9" x14ac:dyDescent="0.25">
      <c r="A77">
        <v>2000040191</v>
      </c>
      <c r="B77" t="s">
        <v>178</v>
      </c>
      <c r="C77" t="s">
        <v>130</v>
      </c>
      <c r="D77" t="s">
        <v>131</v>
      </c>
      <c r="E77" s="2">
        <v>5</v>
      </c>
      <c r="F77" t="s">
        <v>36</v>
      </c>
      <c r="G77">
        <v>0</v>
      </c>
      <c r="H77">
        <v>0</v>
      </c>
      <c r="I77">
        <v>5.4939999999999998</v>
      </c>
    </row>
    <row r="78" spans="1:9" x14ac:dyDescent="0.25">
      <c r="A78">
        <v>2000040199</v>
      </c>
      <c r="B78" t="s">
        <v>179</v>
      </c>
      <c r="C78" t="s">
        <v>130</v>
      </c>
      <c r="D78" t="s">
        <v>131</v>
      </c>
      <c r="E78" s="2">
        <v>0</v>
      </c>
      <c r="F78" t="s">
        <v>36</v>
      </c>
      <c r="G78">
        <v>0</v>
      </c>
      <c r="H78" s="2">
        <v>4313</v>
      </c>
      <c r="I78">
        <v>3.9824999999999999</v>
      </c>
    </row>
    <row r="79" spans="1:9" x14ac:dyDescent="0.25">
      <c r="A79">
        <v>2000040199</v>
      </c>
      <c r="B79" t="s">
        <v>179</v>
      </c>
      <c r="C79" t="s">
        <v>139</v>
      </c>
      <c r="D79" t="s">
        <v>140</v>
      </c>
      <c r="E79" s="2">
        <v>0</v>
      </c>
      <c r="F79" t="s">
        <v>36</v>
      </c>
      <c r="G79" s="2">
        <v>4313</v>
      </c>
      <c r="H79">
        <v>0</v>
      </c>
      <c r="I79">
        <v>3.984</v>
      </c>
    </row>
    <row r="80" spans="1:9" x14ac:dyDescent="0.25">
      <c r="A80">
        <v>2000040200</v>
      </c>
      <c r="B80" t="s">
        <v>180</v>
      </c>
      <c r="C80" t="s">
        <v>130</v>
      </c>
      <c r="D80" t="s">
        <v>131</v>
      </c>
      <c r="E80" s="2">
        <v>0</v>
      </c>
      <c r="F80" t="s">
        <v>36</v>
      </c>
      <c r="G80">
        <v>1</v>
      </c>
      <c r="H80" s="2">
        <v>3523</v>
      </c>
      <c r="I80">
        <v>3.8666670000000001</v>
      </c>
    </row>
    <row r="81" spans="1:9" x14ac:dyDescent="0.25">
      <c r="A81">
        <v>2000040200</v>
      </c>
      <c r="B81" t="s">
        <v>180</v>
      </c>
      <c r="C81" t="s">
        <v>139</v>
      </c>
      <c r="D81" t="s">
        <v>140</v>
      </c>
      <c r="E81" s="2">
        <v>0</v>
      </c>
      <c r="F81" t="s">
        <v>36</v>
      </c>
      <c r="G81" s="2">
        <v>3523</v>
      </c>
      <c r="H81">
        <v>0</v>
      </c>
      <c r="I81">
        <v>3.8660000000000001</v>
      </c>
    </row>
    <row r="82" spans="1:9" x14ac:dyDescent="0.25">
      <c r="A82">
        <v>2000040201</v>
      </c>
      <c r="B82" t="s">
        <v>181</v>
      </c>
      <c r="C82" t="s">
        <v>130</v>
      </c>
      <c r="D82" t="s">
        <v>131</v>
      </c>
      <c r="E82" s="2">
        <v>0</v>
      </c>
      <c r="F82" t="s">
        <v>36</v>
      </c>
      <c r="G82">
        <v>2</v>
      </c>
      <c r="H82" s="2">
        <v>2792</v>
      </c>
      <c r="I82">
        <v>3.8666670000000001</v>
      </c>
    </row>
    <row r="83" spans="1:9" x14ac:dyDescent="0.25">
      <c r="A83">
        <v>2000040201</v>
      </c>
      <c r="B83" t="s">
        <v>181</v>
      </c>
      <c r="C83" t="s">
        <v>139</v>
      </c>
      <c r="D83" t="s">
        <v>140</v>
      </c>
      <c r="E83" s="2">
        <v>0</v>
      </c>
      <c r="F83" t="s">
        <v>36</v>
      </c>
      <c r="G83" s="2">
        <v>2792</v>
      </c>
      <c r="H83">
        <v>0</v>
      </c>
      <c r="I83">
        <v>3.8660000000000001</v>
      </c>
    </row>
    <row r="84" spans="1:9" x14ac:dyDescent="0.25">
      <c r="A84">
        <v>2000040202</v>
      </c>
      <c r="B84" t="s">
        <v>182</v>
      </c>
      <c r="C84" t="s">
        <v>130</v>
      </c>
      <c r="D84" t="s">
        <v>131</v>
      </c>
      <c r="E84" s="2">
        <v>5</v>
      </c>
      <c r="F84" t="s">
        <v>36</v>
      </c>
      <c r="G84" s="2">
        <v>0</v>
      </c>
      <c r="H84" s="2">
        <v>1510</v>
      </c>
      <c r="I84">
        <v>3.8660000000000001</v>
      </c>
    </row>
    <row r="85" spans="1:9" x14ac:dyDescent="0.25">
      <c r="A85">
        <v>2000040202</v>
      </c>
      <c r="B85" t="s">
        <v>182</v>
      </c>
      <c r="C85" t="s">
        <v>137</v>
      </c>
      <c r="D85" t="s">
        <v>138</v>
      </c>
      <c r="E85" s="2">
        <v>16</v>
      </c>
      <c r="F85" t="s">
        <v>36</v>
      </c>
      <c r="G85">
        <v>0</v>
      </c>
      <c r="H85">
        <v>0</v>
      </c>
      <c r="I85">
        <v>3.8675000000000002</v>
      </c>
    </row>
    <row r="86" spans="1:9" x14ac:dyDescent="0.25">
      <c r="A86">
        <v>2000040202</v>
      </c>
      <c r="B86" t="s">
        <v>182</v>
      </c>
      <c r="C86" t="s">
        <v>139</v>
      </c>
      <c r="D86" t="s">
        <v>140</v>
      </c>
      <c r="E86" s="2">
        <v>0</v>
      </c>
      <c r="F86" t="s">
        <v>36</v>
      </c>
      <c r="G86" s="2">
        <v>1510</v>
      </c>
      <c r="H86">
        <v>0</v>
      </c>
      <c r="I86">
        <v>3.8670179999999998</v>
      </c>
    </row>
    <row r="87" spans="1:9" x14ac:dyDescent="0.25">
      <c r="A87">
        <v>2000040203</v>
      </c>
      <c r="B87" t="s">
        <v>183</v>
      </c>
      <c r="C87" t="s">
        <v>130</v>
      </c>
      <c r="D87" t="s">
        <v>131</v>
      </c>
      <c r="E87" s="2">
        <v>45</v>
      </c>
      <c r="F87" t="s">
        <v>36</v>
      </c>
      <c r="G87">
        <v>1</v>
      </c>
      <c r="H87" s="2">
        <v>1781</v>
      </c>
      <c r="I87">
        <v>3.866889</v>
      </c>
    </row>
    <row r="88" spans="1:9" x14ac:dyDescent="0.25">
      <c r="A88">
        <v>2000040203</v>
      </c>
      <c r="B88" t="s">
        <v>183</v>
      </c>
      <c r="C88" t="s">
        <v>137</v>
      </c>
      <c r="D88" t="s">
        <v>138</v>
      </c>
      <c r="E88" s="2">
        <v>0</v>
      </c>
      <c r="F88" t="s">
        <v>36</v>
      </c>
      <c r="G88" s="2">
        <v>0</v>
      </c>
      <c r="H88">
        <v>1</v>
      </c>
      <c r="I88">
        <v>3.87</v>
      </c>
    </row>
    <row r="89" spans="1:9" x14ac:dyDescent="0.25">
      <c r="A89">
        <v>2000040203</v>
      </c>
      <c r="B89" t="s">
        <v>183</v>
      </c>
      <c r="C89" t="s">
        <v>151</v>
      </c>
      <c r="D89" t="s">
        <v>152</v>
      </c>
      <c r="E89" s="2">
        <v>0</v>
      </c>
      <c r="F89" t="s">
        <v>36</v>
      </c>
      <c r="G89">
        <v>200</v>
      </c>
      <c r="H89" s="2">
        <v>0</v>
      </c>
      <c r="I89">
        <v>3.8669709999999999</v>
      </c>
    </row>
    <row r="90" spans="1:9" x14ac:dyDescent="0.25">
      <c r="A90">
        <v>2000040203</v>
      </c>
      <c r="B90" t="s">
        <v>183</v>
      </c>
      <c r="C90" t="s">
        <v>139</v>
      </c>
      <c r="D90" t="s">
        <v>140</v>
      </c>
      <c r="E90" s="2">
        <v>0</v>
      </c>
      <c r="F90" t="s">
        <v>36</v>
      </c>
      <c r="G90" s="2">
        <v>1581</v>
      </c>
      <c r="H90">
        <v>0</v>
      </c>
      <c r="I90">
        <v>3.8669220000000002</v>
      </c>
    </row>
    <row r="91" spans="1:9" x14ac:dyDescent="0.25">
      <c r="A91">
        <v>2000040204</v>
      </c>
      <c r="B91" t="s">
        <v>184</v>
      </c>
      <c r="C91" t="s">
        <v>130</v>
      </c>
      <c r="D91" t="s">
        <v>131</v>
      </c>
      <c r="E91" s="2">
        <v>12</v>
      </c>
      <c r="F91" t="s">
        <v>36</v>
      </c>
      <c r="G91" s="2">
        <v>0</v>
      </c>
      <c r="H91" s="2">
        <v>1632</v>
      </c>
      <c r="I91">
        <v>3.8666670000000001</v>
      </c>
    </row>
    <row r="92" spans="1:9" x14ac:dyDescent="0.25">
      <c r="A92">
        <v>2000040204</v>
      </c>
      <c r="B92" t="s">
        <v>184</v>
      </c>
      <c r="C92" t="s">
        <v>151</v>
      </c>
      <c r="D92" t="s">
        <v>152</v>
      </c>
      <c r="E92" s="2">
        <v>0</v>
      </c>
      <c r="F92" t="s">
        <v>36</v>
      </c>
      <c r="G92">
        <v>100</v>
      </c>
      <c r="H92" s="2">
        <v>0</v>
      </c>
      <c r="I92">
        <v>3.867</v>
      </c>
    </row>
    <row r="93" spans="1:9" x14ac:dyDescent="0.25">
      <c r="A93">
        <v>2000040204</v>
      </c>
      <c r="B93" t="s">
        <v>184</v>
      </c>
      <c r="C93" t="s">
        <v>139</v>
      </c>
      <c r="D93" t="s">
        <v>140</v>
      </c>
      <c r="E93" s="2">
        <v>0</v>
      </c>
      <c r="F93" t="s">
        <v>36</v>
      </c>
      <c r="G93" s="2">
        <v>1532</v>
      </c>
      <c r="H93">
        <v>0</v>
      </c>
      <c r="I93">
        <v>3.8669910000000001</v>
      </c>
    </row>
    <row r="94" spans="1:9" x14ac:dyDescent="0.25">
      <c r="A94">
        <v>2000040205</v>
      </c>
      <c r="B94" t="s">
        <v>185</v>
      </c>
      <c r="C94" t="s">
        <v>130</v>
      </c>
      <c r="D94" t="s">
        <v>131</v>
      </c>
      <c r="E94" s="2">
        <v>0</v>
      </c>
      <c r="F94" t="s">
        <v>36</v>
      </c>
      <c r="G94" s="2">
        <v>2642</v>
      </c>
      <c r="H94" s="2">
        <v>2499</v>
      </c>
      <c r="I94">
        <v>4.533023</v>
      </c>
    </row>
    <row r="95" spans="1:9" x14ac:dyDescent="0.25">
      <c r="A95">
        <v>2000040205</v>
      </c>
      <c r="B95" t="s">
        <v>185</v>
      </c>
      <c r="C95" t="s">
        <v>139</v>
      </c>
      <c r="D95" t="s">
        <v>140</v>
      </c>
      <c r="E95" s="2">
        <v>0</v>
      </c>
      <c r="F95" t="s">
        <v>36</v>
      </c>
      <c r="G95" s="2">
        <v>2499</v>
      </c>
      <c r="H95" s="2">
        <v>2640</v>
      </c>
      <c r="I95">
        <v>4.5339999999999998</v>
      </c>
    </row>
    <row r="96" spans="1:9" x14ac:dyDescent="0.25">
      <c r="A96">
        <v>2000040206</v>
      </c>
      <c r="B96" t="s">
        <v>186</v>
      </c>
      <c r="C96" t="s">
        <v>130</v>
      </c>
      <c r="D96" t="s">
        <v>131</v>
      </c>
      <c r="E96" s="2">
        <v>7</v>
      </c>
      <c r="F96" t="s">
        <v>36</v>
      </c>
      <c r="G96">
        <v>249</v>
      </c>
      <c r="H96" s="2">
        <v>2263</v>
      </c>
      <c r="I96">
        <v>4.5114289999999997</v>
      </c>
    </row>
    <row r="97" spans="1:9" x14ac:dyDescent="0.25">
      <c r="A97">
        <v>2000040206</v>
      </c>
      <c r="B97" t="s">
        <v>186</v>
      </c>
      <c r="C97" t="s">
        <v>142</v>
      </c>
      <c r="D97" t="s">
        <v>143</v>
      </c>
      <c r="E97" s="2">
        <v>0</v>
      </c>
      <c r="F97" t="s">
        <v>36</v>
      </c>
      <c r="G97" s="2">
        <v>0</v>
      </c>
      <c r="H97">
        <v>248</v>
      </c>
      <c r="I97">
        <v>4.5114289999999997</v>
      </c>
    </row>
    <row r="98" spans="1:9" x14ac:dyDescent="0.25">
      <c r="A98">
        <v>2000040206</v>
      </c>
      <c r="B98" t="s">
        <v>186</v>
      </c>
      <c r="C98" t="s">
        <v>139</v>
      </c>
      <c r="D98" t="s">
        <v>140</v>
      </c>
      <c r="E98" s="2">
        <v>0</v>
      </c>
      <c r="F98" t="s">
        <v>36</v>
      </c>
      <c r="G98" s="2">
        <v>2263</v>
      </c>
      <c r="H98" s="2">
        <v>0</v>
      </c>
      <c r="I98">
        <v>4.5110760000000001</v>
      </c>
    </row>
    <row r="99" spans="1:9" x14ac:dyDescent="0.25">
      <c r="A99">
        <v>2000040207</v>
      </c>
      <c r="B99" t="s">
        <v>187</v>
      </c>
      <c r="C99" t="s">
        <v>130</v>
      </c>
      <c r="D99" t="s">
        <v>131</v>
      </c>
      <c r="E99" s="2">
        <v>0</v>
      </c>
      <c r="F99" t="s">
        <v>36</v>
      </c>
      <c r="G99" s="2">
        <v>769</v>
      </c>
      <c r="H99" s="2">
        <v>2024</v>
      </c>
      <c r="I99">
        <v>4.5266669999999998</v>
      </c>
    </row>
    <row r="100" spans="1:9" x14ac:dyDescent="0.25">
      <c r="A100">
        <v>2000040207</v>
      </c>
      <c r="B100" t="s">
        <v>187</v>
      </c>
      <c r="C100" t="s">
        <v>142</v>
      </c>
      <c r="D100" t="s">
        <v>143</v>
      </c>
      <c r="E100" s="2">
        <v>0</v>
      </c>
      <c r="F100" t="s">
        <v>36</v>
      </c>
      <c r="G100" s="2">
        <v>0</v>
      </c>
      <c r="H100">
        <v>227</v>
      </c>
      <c r="I100">
        <v>4.53</v>
      </c>
    </row>
    <row r="101" spans="1:9" x14ac:dyDescent="0.25">
      <c r="A101">
        <v>2000040207</v>
      </c>
      <c r="B101" t="s">
        <v>187</v>
      </c>
      <c r="C101" t="s">
        <v>151</v>
      </c>
      <c r="D101" t="s">
        <v>152</v>
      </c>
      <c r="E101" s="2">
        <v>0</v>
      </c>
      <c r="F101" t="s">
        <v>36</v>
      </c>
      <c r="G101" s="2">
        <v>24</v>
      </c>
      <c r="H101" s="2">
        <v>0</v>
      </c>
      <c r="I101">
        <v>4.5253329999999998</v>
      </c>
    </row>
    <row r="102" spans="1:9" x14ac:dyDescent="0.25">
      <c r="A102">
        <v>2000040207</v>
      </c>
      <c r="B102" t="s">
        <v>187</v>
      </c>
      <c r="C102" t="s">
        <v>139</v>
      </c>
      <c r="D102" t="s">
        <v>140</v>
      </c>
      <c r="E102" s="2">
        <v>0</v>
      </c>
      <c r="F102" t="s">
        <v>36</v>
      </c>
      <c r="G102" s="2">
        <v>2000</v>
      </c>
      <c r="H102">
        <v>541</v>
      </c>
      <c r="I102">
        <v>4.5259999999999998</v>
      </c>
    </row>
    <row r="103" spans="1:9" x14ac:dyDescent="0.25">
      <c r="A103">
        <v>2000040208</v>
      </c>
      <c r="B103" t="s">
        <v>188</v>
      </c>
      <c r="C103" t="s">
        <v>130</v>
      </c>
      <c r="D103" t="s">
        <v>131</v>
      </c>
      <c r="E103" s="2">
        <v>0</v>
      </c>
      <c r="F103" t="s">
        <v>36</v>
      </c>
      <c r="G103">
        <v>45</v>
      </c>
      <c r="H103" s="2">
        <v>1127</v>
      </c>
      <c r="I103">
        <v>4.5114289999999997</v>
      </c>
    </row>
    <row r="104" spans="1:9" x14ac:dyDescent="0.25">
      <c r="A104">
        <v>2000040208</v>
      </c>
      <c r="B104" t="s">
        <v>188</v>
      </c>
      <c r="C104" t="s">
        <v>142</v>
      </c>
      <c r="D104" t="s">
        <v>143</v>
      </c>
      <c r="E104" s="2">
        <v>0</v>
      </c>
      <c r="F104" t="s">
        <v>36</v>
      </c>
      <c r="G104" s="2">
        <v>0</v>
      </c>
      <c r="H104">
        <v>45</v>
      </c>
      <c r="I104">
        <v>4.5113329999999996</v>
      </c>
    </row>
    <row r="105" spans="1:9" x14ac:dyDescent="0.25">
      <c r="A105">
        <v>2000040208</v>
      </c>
      <c r="B105" t="s">
        <v>188</v>
      </c>
      <c r="C105" t="s">
        <v>151</v>
      </c>
      <c r="D105" t="s">
        <v>152</v>
      </c>
      <c r="E105" s="2">
        <v>0</v>
      </c>
      <c r="F105" t="s">
        <v>36</v>
      </c>
      <c r="G105">
        <v>40</v>
      </c>
      <c r="H105" s="2">
        <v>0</v>
      </c>
      <c r="I105">
        <v>4.5119999999999996</v>
      </c>
    </row>
    <row r="106" spans="1:9" x14ac:dyDescent="0.25">
      <c r="A106">
        <v>2000040208</v>
      </c>
      <c r="B106" t="s">
        <v>188</v>
      </c>
      <c r="C106" t="s">
        <v>139</v>
      </c>
      <c r="D106" t="s">
        <v>140</v>
      </c>
      <c r="E106" s="2">
        <v>0</v>
      </c>
      <c r="F106" t="s">
        <v>36</v>
      </c>
      <c r="G106" s="2">
        <v>1087</v>
      </c>
      <c r="H106">
        <v>0</v>
      </c>
      <c r="I106">
        <v>4.5119999999999996</v>
      </c>
    </row>
    <row r="107" spans="1:9" x14ac:dyDescent="0.25">
      <c r="A107">
        <v>2000040209</v>
      </c>
      <c r="B107" t="s">
        <v>189</v>
      </c>
      <c r="C107" t="s">
        <v>130</v>
      </c>
      <c r="D107" t="s">
        <v>131</v>
      </c>
      <c r="E107" s="2">
        <v>1</v>
      </c>
      <c r="F107" t="s">
        <v>36</v>
      </c>
      <c r="G107" s="2">
        <v>60</v>
      </c>
      <c r="H107" s="2">
        <v>1016</v>
      </c>
      <c r="I107">
        <v>4.51</v>
      </c>
    </row>
    <row r="108" spans="1:9" x14ac:dyDescent="0.25">
      <c r="A108">
        <v>2000040209</v>
      </c>
      <c r="B108" t="s">
        <v>189</v>
      </c>
      <c r="C108" t="s">
        <v>142</v>
      </c>
      <c r="D108" t="s">
        <v>143</v>
      </c>
      <c r="E108" s="2">
        <v>0</v>
      </c>
      <c r="F108" t="s">
        <v>36</v>
      </c>
      <c r="G108" s="2">
        <v>0</v>
      </c>
      <c r="H108">
        <v>60</v>
      </c>
      <c r="I108">
        <v>4.51</v>
      </c>
    </row>
    <row r="109" spans="1:9" x14ac:dyDescent="0.25">
      <c r="A109">
        <v>2000040209</v>
      </c>
      <c r="B109" t="s">
        <v>189</v>
      </c>
      <c r="C109" t="s">
        <v>151</v>
      </c>
      <c r="D109" t="s">
        <v>152</v>
      </c>
      <c r="E109" s="2">
        <v>0</v>
      </c>
      <c r="F109" t="s">
        <v>36</v>
      </c>
      <c r="G109" s="2">
        <v>13</v>
      </c>
      <c r="H109" s="2">
        <v>0</v>
      </c>
      <c r="I109">
        <v>4.51</v>
      </c>
    </row>
    <row r="110" spans="1:9" x14ac:dyDescent="0.25">
      <c r="A110">
        <v>2000040209</v>
      </c>
      <c r="B110" t="s">
        <v>189</v>
      </c>
      <c r="C110" t="s">
        <v>139</v>
      </c>
      <c r="D110" t="s">
        <v>140</v>
      </c>
      <c r="E110" s="2">
        <v>0</v>
      </c>
      <c r="F110" t="s">
        <v>36</v>
      </c>
      <c r="G110" s="2">
        <v>1003</v>
      </c>
      <c r="H110">
        <v>0</v>
      </c>
      <c r="I110">
        <v>4.51</v>
      </c>
    </row>
    <row r="111" spans="1:9" x14ac:dyDescent="0.25">
      <c r="A111">
        <v>2000040210</v>
      </c>
      <c r="B111" t="s">
        <v>190</v>
      </c>
      <c r="C111" t="s">
        <v>130</v>
      </c>
      <c r="D111" t="s">
        <v>131</v>
      </c>
      <c r="E111" s="2">
        <v>16</v>
      </c>
      <c r="F111" t="s">
        <v>36</v>
      </c>
      <c r="G111" s="2">
        <v>1587</v>
      </c>
      <c r="H111" s="2">
        <v>1705</v>
      </c>
      <c r="I111">
        <v>4.7300000000000004</v>
      </c>
    </row>
    <row r="112" spans="1:9" x14ac:dyDescent="0.25">
      <c r="A112">
        <v>2000040210</v>
      </c>
      <c r="B112" t="s">
        <v>190</v>
      </c>
      <c r="C112" t="s">
        <v>142</v>
      </c>
      <c r="D112" t="s">
        <v>143</v>
      </c>
      <c r="E112" s="2">
        <v>0</v>
      </c>
      <c r="F112" t="s">
        <v>36</v>
      </c>
      <c r="G112">
        <v>2</v>
      </c>
      <c r="H112">
        <v>24</v>
      </c>
      <c r="I112">
        <v>4.7300000000000004</v>
      </c>
    </row>
    <row r="113" spans="1:9" x14ac:dyDescent="0.25">
      <c r="A113">
        <v>2000040210</v>
      </c>
      <c r="B113" t="s">
        <v>190</v>
      </c>
      <c r="C113" t="s">
        <v>151</v>
      </c>
      <c r="D113" t="s">
        <v>152</v>
      </c>
      <c r="E113" s="2">
        <v>0</v>
      </c>
      <c r="F113" t="s">
        <v>36</v>
      </c>
      <c r="G113" s="2">
        <v>187</v>
      </c>
      <c r="H113" s="2">
        <v>0</v>
      </c>
      <c r="I113">
        <v>4.7279999999999998</v>
      </c>
    </row>
    <row r="114" spans="1:9" x14ac:dyDescent="0.25">
      <c r="A114">
        <v>2000040210</v>
      </c>
      <c r="B114" t="s">
        <v>190</v>
      </c>
      <c r="C114" t="s">
        <v>139</v>
      </c>
      <c r="D114" t="s">
        <v>140</v>
      </c>
      <c r="E114" s="2">
        <v>0</v>
      </c>
      <c r="F114" t="s">
        <v>36</v>
      </c>
      <c r="G114" s="2">
        <v>1516</v>
      </c>
      <c r="H114" s="2">
        <v>1561</v>
      </c>
      <c r="I114">
        <v>4.7279999999999998</v>
      </c>
    </row>
    <row r="115" spans="1:9" x14ac:dyDescent="0.25">
      <c r="A115">
        <v>2000040211</v>
      </c>
      <c r="B115" t="s">
        <v>191</v>
      </c>
      <c r="C115" t="s">
        <v>130</v>
      </c>
      <c r="D115" t="s">
        <v>131</v>
      </c>
      <c r="E115" s="2">
        <v>0</v>
      </c>
      <c r="F115" t="s">
        <v>36</v>
      </c>
      <c r="G115" s="2">
        <v>1378</v>
      </c>
      <c r="H115" s="2">
        <v>1156</v>
      </c>
      <c r="I115">
        <v>4.7324999999999999</v>
      </c>
    </row>
    <row r="116" spans="1:9" x14ac:dyDescent="0.25">
      <c r="A116">
        <v>2000040211</v>
      </c>
      <c r="B116" t="s">
        <v>191</v>
      </c>
      <c r="C116" t="s">
        <v>142</v>
      </c>
      <c r="D116" t="s">
        <v>143</v>
      </c>
      <c r="E116" s="2">
        <v>0</v>
      </c>
      <c r="F116" t="s">
        <v>36</v>
      </c>
      <c r="G116">
        <v>0</v>
      </c>
      <c r="H116">
        <v>154</v>
      </c>
      <c r="I116">
        <v>4.7350000000000003</v>
      </c>
    </row>
    <row r="117" spans="1:9" x14ac:dyDescent="0.25">
      <c r="A117">
        <v>2000040211</v>
      </c>
      <c r="B117" t="s">
        <v>191</v>
      </c>
      <c r="C117" t="s">
        <v>151</v>
      </c>
      <c r="D117" t="s">
        <v>152</v>
      </c>
      <c r="E117" s="2">
        <v>0</v>
      </c>
      <c r="F117" t="s">
        <v>36</v>
      </c>
      <c r="G117">
        <v>46</v>
      </c>
      <c r="H117">
        <v>0</v>
      </c>
      <c r="I117">
        <v>4.7320000000000002</v>
      </c>
    </row>
    <row r="118" spans="1:9" x14ac:dyDescent="0.25">
      <c r="A118">
        <v>2000040211</v>
      </c>
      <c r="B118" t="s">
        <v>191</v>
      </c>
      <c r="C118" t="s">
        <v>139</v>
      </c>
      <c r="D118" t="s">
        <v>140</v>
      </c>
      <c r="E118" s="2">
        <v>0</v>
      </c>
      <c r="F118" t="s">
        <v>36</v>
      </c>
      <c r="G118" s="2">
        <v>1110</v>
      </c>
      <c r="H118" s="2">
        <v>1221</v>
      </c>
      <c r="I118">
        <v>4.7320000000000002</v>
      </c>
    </row>
    <row r="119" spans="1:9" x14ac:dyDescent="0.25">
      <c r="A119">
        <v>2000040212</v>
      </c>
      <c r="B119" t="s">
        <v>192</v>
      </c>
      <c r="C119" t="s">
        <v>130</v>
      </c>
      <c r="D119" t="s">
        <v>131</v>
      </c>
      <c r="E119" s="2">
        <v>0</v>
      </c>
      <c r="F119" t="s">
        <v>36</v>
      </c>
      <c r="G119">
        <v>117</v>
      </c>
      <c r="H119" s="2">
        <v>1750</v>
      </c>
      <c r="I119">
        <v>4.6905000000000001</v>
      </c>
    </row>
    <row r="120" spans="1:9" x14ac:dyDescent="0.25">
      <c r="A120">
        <v>2000040212</v>
      </c>
      <c r="B120" t="s">
        <v>192</v>
      </c>
      <c r="C120" t="s">
        <v>142</v>
      </c>
      <c r="D120" t="s">
        <v>143</v>
      </c>
      <c r="E120" s="2">
        <v>0</v>
      </c>
      <c r="F120" t="s">
        <v>36</v>
      </c>
      <c r="G120">
        <v>0</v>
      </c>
      <c r="H120">
        <v>51</v>
      </c>
      <c r="I120">
        <v>4.6903699999999997</v>
      </c>
    </row>
    <row r="121" spans="1:9" x14ac:dyDescent="0.25">
      <c r="A121">
        <v>2000040212</v>
      </c>
      <c r="B121" t="s">
        <v>192</v>
      </c>
      <c r="C121" t="s">
        <v>151</v>
      </c>
      <c r="D121" t="s">
        <v>152</v>
      </c>
      <c r="E121" s="2">
        <v>0</v>
      </c>
      <c r="F121" t="s">
        <v>36</v>
      </c>
      <c r="G121">
        <v>75</v>
      </c>
      <c r="H121">
        <v>5</v>
      </c>
      <c r="I121">
        <v>4.6900000000000004</v>
      </c>
    </row>
    <row r="122" spans="1:9" x14ac:dyDescent="0.25">
      <c r="A122">
        <v>2000040212</v>
      </c>
      <c r="B122" t="s">
        <v>192</v>
      </c>
      <c r="C122" t="s">
        <v>139</v>
      </c>
      <c r="D122" t="s">
        <v>140</v>
      </c>
      <c r="E122" s="2">
        <v>0</v>
      </c>
      <c r="F122" t="s">
        <v>36</v>
      </c>
      <c r="G122" s="2">
        <v>1675</v>
      </c>
      <c r="H122">
        <v>61</v>
      </c>
      <c r="I122">
        <v>4.6900000000000004</v>
      </c>
    </row>
    <row r="123" spans="1:9" x14ac:dyDescent="0.25">
      <c r="A123">
        <v>2000040213</v>
      </c>
      <c r="B123" t="s">
        <v>193</v>
      </c>
      <c r="C123" t="s">
        <v>130</v>
      </c>
      <c r="D123" t="s">
        <v>131</v>
      </c>
      <c r="E123" s="2">
        <v>2</v>
      </c>
      <c r="F123" t="s">
        <v>36</v>
      </c>
      <c r="G123">
        <v>177</v>
      </c>
      <c r="H123" s="2">
        <v>764</v>
      </c>
      <c r="I123">
        <v>4.6900000000000004</v>
      </c>
    </row>
    <row r="124" spans="1:9" x14ac:dyDescent="0.25">
      <c r="A124">
        <v>2000040213</v>
      </c>
      <c r="B124" t="s">
        <v>193</v>
      </c>
      <c r="C124" t="s">
        <v>151</v>
      </c>
      <c r="D124" t="s">
        <v>152</v>
      </c>
      <c r="E124" s="2">
        <v>0</v>
      </c>
      <c r="F124" t="s">
        <v>36</v>
      </c>
      <c r="G124">
        <v>0</v>
      </c>
      <c r="H124" s="2">
        <v>55</v>
      </c>
      <c r="I124">
        <v>4.6980000000000004</v>
      </c>
    </row>
    <row r="125" spans="1:9" x14ac:dyDescent="0.25">
      <c r="A125">
        <v>2000040213</v>
      </c>
      <c r="B125" t="s">
        <v>193</v>
      </c>
      <c r="C125" t="s">
        <v>139</v>
      </c>
      <c r="D125" t="s">
        <v>140</v>
      </c>
      <c r="E125" s="2">
        <v>0</v>
      </c>
      <c r="F125" t="s">
        <v>36</v>
      </c>
      <c r="G125">
        <v>764</v>
      </c>
      <c r="H125">
        <v>121</v>
      </c>
      <c r="I125">
        <v>4.6950000000000003</v>
      </c>
    </row>
    <row r="126" spans="1:9" x14ac:dyDescent="0.25">
      <c r="A126">
        <v>2000040214</v>
      </c>
      <c r="B126" t="s">
        <v>194</v>
      </c>
      <c r="C126" t="s">
        <v>130</v>
      </c>
      <c r="D126" t="s">
        <v>131</v>
      </c>
      <c r="E126" s="2">
        <v>2</v>
      </c>
      <c r="F126" t="s">
        <v>36</v>
      </c>
      <c r="G126">
        <v>4</v>
      </c>
      <c r="H126">
        <v>815</v>
      </c>
      <c r="I126">
        <v>4.6900000000000004</v>
      </c>
    </row>
    <row r="127" spans="1:9" x14ac:dyDescent="0.25">
      <c r="A127">
        <v>2000040214</v>
      </c>
      <c r="B127" t="s">
        <v>194</v>
      </c>
      <c r="C127" t="s">
        <v>139</v>
      </c>
      <c r="D127" t="s">
        <v>140</v>
      </c>
      <c r="E127" s="2">
        <v>0</v>
      </c>
      <c r="F127" t="s">
        <v>36</v>
      </c>
      <c r="G127" s="2">
        <v>815</v>
      </c>
      <c r="H127">
        <v>0</v>
      </c>
      <c r="I127">
        <v>4.6874900000000004</v>
      </c>
    </row>
    <row r="128" spans="1:9" x14ac:dyDescent="0.25">
      <c r="A128">
        <v>2000040215</v>
      </c>
      <c r="B128" t="s">
        <v>195</v>
      </c>
      <c r="C128" t="s">
        <v>130</v>
      </c>
      <c r="D128" t="s">
        <v>131</v>
      </c>
      <c r="E128" s="2">
        <v>11</v>
      </c>
      <c r="F128" t="s">
        <v>36</v>
      </c>
      <c r="G128" s="2">
        <v>2278</v>
      </c>
      <c r="H128" s="2">
        <v>1045</v>
      </c>
      <c r="I128">
        <v>5.21</v>
      </c>
    </row>
    <row r="129" spans="1:9" x14ac:dyDescent="0.25">
      <c r="A129">
        <v>2000040215</v>
      </c>
      <c r="B129" t="s">
        <v>195</v>
      </c>
      <c r="C129" t="s">
        <v>142</v>
      </c>
      <c r="D129" t="s">
        <v>143</v>
      </c>
      <c r="E129" s="2">
        <v>0</v>
      </c>
      <c r="F129" t="s">
        <v>36</v>
      </c>
      <c r="G129" s="2">
        <v>0</v>
      </c>
      <c r="H129" s="2">
        <v>86</v>
      </c>
      <c r="I129">
        <v>5.2095710000000004</v>
      </c>
    </row>
    <row r="130" spans="1:9" x14ac:dyDescent="0.25">
      <c r="A130">
        <v>2000040215</v>
      </c>
      <c r="B130" t="s">
        <v>195</v>
      </c>
      <c r="C130" t="s">
        <v>137</v>
      </c>
      <c r="D130" t="s">
        <v>138</v>
      </c>
      <c r="E130" s="2">
        <v>0</v>
      </c>
      <c r="F130" t="s">
        <v>36</v>
      </c>
      <c r="G130">
        <v>0</v>
      </c>
      <c r="H130" s="2">
        <v>1</v>
      </c>
      <c r="I130">
        <v>5.21</v>
      </c>
    </row>
    <row r="131" spans="1:9" x14ac:dyDescent="0.25">
      <c r="A131">
        <v>2000040215</v>
      </c>
      <c r="B131" t="s">
        <v>195</v>
      </c>
      <c r="C131" t="s">
        <v>139</v>
      </c>
      <c r="D131" t="s">
        <v>140</v>
      </c>
      <c r="E131" s="2">
        <v>0</v>
      </c>
      <c r="F131" t="s">
        <v>36</v>
      </c>
      <c r="G131" s="2">
        <v>1045</v>
      </c>
      <c r="H131" s="2">
        <v>2191</v>
      </c>
      <c r="I131">
        <v>5.21</v>
      </c>
    </row>
    <row r="132" spans="1:9" x14ac:dyDescent="0.25">
      <c r="A132">
        <v>2000040216</v>
      </c>
      <c r="B132" t="s">
        <v>196</v>
      </c>
      <c r="C132" t="s">
        <v>130</v>
      </c>
      <c r="D132" t="s">
        <v>131</v>
      </c>
      <c r="E132" s="2">
        <v>0</v>
      </c>
      <c r="F132" t="s">
        <v>36</v>
      </c>
      <c r="G132" s="2">
        <v>1367</v>
      </c>
      <c r="H132" s="2">
        <v>1118</v>
      </c>
      <c r="I132">
        <v>5.2</v>
      </c>
    </row>
    <row r="133" spans="1:9" x14ac:dyDescent="0.25">
      <c r="A133">
        <v>2000040216</v>
      </c>
      <c r="B133" t="s">
        <v>196</v>
      </c>
      <c r="C133" t="s">
        <v>142</v>
      </c>
      <c r="D133" t="s">
        <v>143</v>
      </c>
      <c r="E133" s="2">
        <v>0</v>
      </c>
      <c r="F133" t="s">
        <v>36</v>
      </c>
      <c r="G133" s="2">
        <v>0</v>
      </c>
      <c r="H133" s="2">
        <v>140</v>
      </c>
      <c r="I133">
        <v>5.1967790000000003</v>
      </c>
    </row>
    <row r="134" spans="1:9" x14ac:dyDescent="0.25">
      <c r="A134">
        <v>2000040216</v>
      </c>
      <c r="B134" t="s">
        <v>196</v>
      </c>
      <c r="C134" t="s">
        <v>137</v>
      </c>
      <c r="D134" t="s">
        <v>138</v>
      </c>
      <c r="E134" s="2">
        <v>0</v>
      </c>
      <c r="F134" t="s">
        <v>36</v>
      </c>
      <c r="G134">
        <v>0</v>
      </c>
      <c r="H134">
        <v>1</v>
      </c>
      <c r="I134">
        <v>5.2</v>
      </c>
    </row>
    <row r="135" spans="1:9" x14ac:dyDescent="0.25">
      <c r="A135">
        <v>2000040216</v>
      </c>
      <c r="B135" t="s">
        <v>196</v>
      </c>
      <c r="C135" t="s">
        <v>139</v>
      </c>
      <c r="D135" t="s">
        <v>140</v>
      </c>
      <c r="E135" s="2">
        <v>0</v>
      </c>
      <c r="F135" t="s">
        <v>36</v>
      </c>
      <c r="G135" s="2">
        <v>1118</v>
      </c>
      <c r="H135" s="2">
        <v>1222</v>
      </c>
      <c r="I135">
        <v>5.1971429999999996</v>
      </c>
    </row>
    <row r="136" spans="1:9" x14ac:dyDescent="0.25">
      <c r="A136">
        <v>2000040217</v>
      </c>
      <c r="B136" t="s">
        <v>197</v>
      </c>
      <c r="C136" t="s">
        <v>130</v>
      </c>
      <c r="D136" t="s">
        <v>131</v>
      </c>
      <c r="E136" s="2">
        <v>5</v>
      </c>
      <c r="F136" t="s">
        <v>36</v>
      </c>
      <c r="G136">
        <v>912</v>
      </c>
      <c r="H136" s="2">
        <v>1375</v>
      </c>
      <c r="I136">
        <v>5.1820000000000004</v>
      </c>
    </row>
    <row r="137" spans="1:9" x14ac:dyDescent="0.25">
      <c r="A137">
        <v>2000040217</v>
      </c>
      <c r="B137" t="s">
        <v>197</v>
      </c>
      <c r="C137" t="s">
        <v>142</v>
      </c>
      <c r="D137" t="s">
        <v>143</v>
      </c>
      <c r="E137" s="2">
        <v>0</v>
      </c>
      <c r="F137" t="s">
        <v>36</v>
      </c>
      <c r="G137">
        <v>0</v>
      </c>
      <c r="H137">
        <v>191</v>
      </c>
      <c r="I137">
        <v>5.1827399999999999</v>
      </c>
    </row>
    <row r="138" spans="1:9" x14ac:dyDescent="0.25">
      <c r="A138">
        <v>2000040217</v>
      </c>
      <c r="B138" t="s">
        <v>197</v>
      </c>
      <c r="C138" t="s">
        <v>137</v>
      </c>
      <c r="D138" t="s">
        <v>138</v>
      </c>
      <c r="E138" s="2">
        <v>10</v>
      </c>
      <c r="F138" t="s">
        <v>36</v>
      </c>
      <c r="G138">
        <v>0</v>
      </c>
      <c r="H138" s="2">
        <v>0</v>
      </c>
      <c r="I138">
        <v>5.1820000000000004</v>
      </c>
    </row>
    <row r="139" spans="1:9" x14ac:dyDescent="0.25">
      <c r="A139">
        <v>2000040217</v>
      </c>
      <c r="B139" t="s">
        <v>197</v>
      </c>
      <c r="C139" t="s">
        <v>139</v>
      </c>
      <c r="D139" t="s">
        <v>140</v>
      </c>
      <c r="E139" s="2">
        <v>0</v>
      </c>
      <c r="F139" t="s">
        <v>36</v>
      </c>
      <c r="G139" s="2">
        <v>1375</v>
      </c>
      <c r="H139" s="2">
        <v>721</v>
      </c>
      <c r="I139">
        <v>5.1828570000000003</v>
      </c>
    </row>
    <row r="140" spans="1:9" x14ac:dyDescent="0.25">
      <c r="A140">
        <v>2000040218</v>
      </c>
      <c r="B140" t="s">
        <v>198</v>
      </c>
      <c r="C140" t="s">
        <v>199</v>
      </c>
      <c r="D140" t="s">
        <v>200</v>
      </c>
      <c r="E140" s="2">
        <v>1</v>
      </c>
      <c r="F140" t="s">
        <v>36</v>
      </c>
      <c r="G140">
        <v>0</v>
      </c>
      <c r="H140" s="2">
        <v>0</v>
      </c>
      <c r="I140">
        <v>5.16</v>
      </c>
    </row>
    <row r="141" spans="1:9" x14ac:dyDescent="0.25">
      <c r="A141">
        <v>2000040218</v>
      </c>
      <c r="B141" t="s">
        <v>198</v>
      </c>
      <c r="C141" t="s">
        <v>130</v>
      </c>
      <c r="D141" t="s">
        <v>131</v>
      </c>
      <c r="E141" s="2">
        <v>0</v>
      </c>
      <c r="F141" t="s">
        <v>36</v>
      </c>
      <c r="G141">
        <v>167</v>
      </c>
      <c r="H141" s="2">
        <v>1027</v>
      </c>
      <c r="I141">
        <v>5.16</v>
      </c>
    </row>
    <row r="142" spans="1:9" x14ac:dyDescent="0.25">
      <c r="A142">
        <v>2000040218</v>
      </c>
      <c r="B142" t="s">
        <v>198</v>
      </c>
      <c r="C142" t="s">
        <v>142</v>
      </c>
      <c r="D142" t="s">
        <v>143</v>
      </c>
      <c r="E142" s="2">
        <v>0</v>
      </c>
      <c r="F142" t="s">
        <v>36</v>
      </c>
      <c r="G142">
        <v>0</v>
      </c>
      <c r="H142">
        <v>107</v>
      </c>
      <c r="I142">
        <v>5.15</v>
      </c>
    </row>
    <row r="143" spans="1:9" x14ac:dyDescent="0.25">
      <c r="A143">
        <v>2000040218</v>
      </c>
      <c r="B143" t="s">
        <v>198</v>
      </c>
      <c r="C143" t="s">
        <v>151</v>
      </c>
      <c r="D143" t="s">
        <v>152</v>
      </c>
      <c r="E143" s="2">
        <v>0</v>
      </c>
      <c r="F143" t="s">
        <v>36</v>
      </c>
      <c r="G143">
        <v>3</v>
      </c>
      <c r="H143">
        <v>60</v>
      </c>
      <c r="I143">
        <v>5.16</v>
      </c>
    </row>
    <row r="144" spans="1:9" x14ac:dyDescent="0.25">
      <c r="A144">
        <v>2000040218</v>
      </c>
      <c r="B144" t="s">
        <v>198</v>
      </c>
      <c r="C144" t="s">
        <v>139</v>
      </c>
      <c r="D144" t="s">
        <v>140</v>
      </c>
      <c r="E144" s="2">
        <v>0</v>
      </c>
      <c r="F144" t="s">
        <v>36</v>
      </c>
      <c r="G144" s="2">
        <v>1024</v>
      </c>
      <c r="H144">
        <v>0</v>
      </c>
      <c r="I144">
        <v>5.16</v>
      </c>
    </row>
    <row r="145" spans="1:9" x14ac:dyDescent="0.25">
      <c r="A145">
        <v>2000040219</v>
      </c>
      <c r="B145" t="s">
        <v>201</v>
      </c>
      <c r="C145" t="s">
        <v>130</v>
      </c>
      <c r="D145" t="s">
        <v>131</v>
      </c>
      <c r="E145" s="2">
        <v>2</v>
      </c>
      <c r="F145" t="s">
        <v>36</v>
      </c>
      <c r="G145" s="2">
        <v>1643</v>
      </c>
      <c r="H145" s="2">
        <v>1342</v>
      </c>
      <c r="I145">
        <v>5.1950000000000003</v>
      </c>
    </row>
    <row r="146" spans="1:9" x14ac:dyDescent="0.25">
      <c r="A146">
        <v>2000040219</v>
      </c>
      <c r="B146" t="s">
        <v>201</v>
      </c>
      <c r="C146" t="s">
        <v>142</v>
      </c>
      <c r="D146" t="s">
        <v>143</v>
      </c>
      <c r="E146" s="2">
        <v>0</v>
      </c>
      <c r="F146" t="s">
        <v>36</v>
      </c>
      <c r="G146">
        <v>2</v>
      </c>
      <c r="H146">
        <v>500</v>
      </c>
      <c r="I146">
        <v>5.1950000000000003</v>
      </c>
    </row>
    <row r="147" spans="1:9" x14ac:dyDescent="0.25">
      <c r="A147">
        <v>2000040219</v>
      </c>
      <c r="B147" t="s">
        <v>201</v>
      </c>
      <c r="C147" t="s">
        <v>151</v>
      </c>
      <c r="D147" t="s">
        <v>152</v>
      </c>
      <c r="E147" s="2">
        <v>0</v>
      </c>
      <c r="F147" t="s">
        <v>36</v>
      </c>
      <c r="G147" s="2">
        <v>24</v>
      </c>
      <c r="H147">
        <v>60</v>
      </c>
      <c r="I147">
        <v>5.1957139999999997</v>
      </c>
    </row>
    <row r="148" spans="1:9" x14ac:dyDescent="0.25">
      <c r="A148">
        <v>2000040219</v>
      </c>
      <c r="B148" t="s">
        <v>201</v>
      </c>
      <c r="C148" t="s">
        <v>139</v>
      </c>
      <c r="D148" t="s">
        <v>140</v>
      </c>
      <c r="E148" s="2">
        <v>0</v>
      </c>
      <c r="F148" t="s">
        <v>36</v>
      </c>
      <c r="G148" s="2">
        <v>1316</v>
      </c>
      <c r="H148" s="2">
        <v>1081</v>
      </c>
      <c r="I148">
        <v>5.1957139999999997</v>
      </c>
    </row>
    <row r="149" spans="1:9" x14ac:dyDescent="0.25">
      <c r="A149">
        <v>2000040220</v>
      </c>
      <c r="B149" t="s">
        <v>202</v>
      </c>
      <c r="C149" t="s">
        <v>130</v>
      </c>
      <c r="D149" t="s">
        <v>131</v>
      </c>
      <c r="E149" s="2">
        <v>387</v>
      </c>
      <c r="F149" t="s">
        <v>36</v>
      </c>
      <c r="G149">
        <v>0</v>
      </c>
      <c r="H149">
        <v>976</v>
      </c>
      <c r="I149">
        <v>4.6165370000000001</v>
      </c>
    </row>
    <row r="150" spans="1:9" x14ac:dyDescent="0.25">
      <c r="A150">
        <v>2000040220</v>
      </c>
      <c r="B150" t="s">
        <v>202</v>
      </c>
      <c r="C150" t="s">
        <v>139</v>
      </c>
      <c r="D150" t="s">
        <v>140</v>
      </c>
      <c r="E150" s="2">
        <v>0</v>
      </c>
      <c r="F150" t="s">
        <v>36</v>
      </c>
      <c r="G150">
        <v>976</v>
      </c>
      <c r="H150" s="2">
        <v>0</v>
      </c>
      <c r="I150">
        <v>4.6165320000000003</v>
      </c>
    </row>
    <row r="151" spans="1:9" x14ac:dyDescent="0.25">
      <c r="A151">
        <v>2000040221</v>
      </c>
      <c r="B151" t="s">
        <v>203</v>
      </c>
      <c r="C151" t="s">
        <v>130</v>
      </c>
      <c r="D151" t="s">
        <v>131</v>
      </c>
      <c r="E151" s="2">
        <v>157</v>
      </c>
      <c r="F151" t="s">
        <v>36</v>
      </c>
      <c r="G151">
        <v>0</v>
      </c>
      <c r="H151">
        <v>711</v>
      </c>
      <c r="I151">
        <v>4.6174520000000001</v>
      </c>
    </row>
    <row r="152" spans="1:9" x14ac:dyDescent="0.25">
      <c r="A152">
        <v>2000040221</v>
      </c>
      <c r="B152" t="s">
        <v>203</v>
      </c>
      <c r="C152" t="s">
        <v>139</v>
      </c>
      <c r="D152" t="s">
        <v>140</v>
      </c>
      <c r="E152" s="2">
        <v>0</v>
      </c>
      <c r="F152" t="s">
        <v>36</v>
      </c>
      <c r="G152" s="2">
        <v>711</v>
      </c>
      <c r="H152">
        <v>0</v>
      </c>
      <c r="I152">
        <v>4.6174749999999998</v>
      </c>
    </row>
    <row r="153" spans="1:9" x14ac:dyDescent="0.25">
      <c r="A153">
        <v>2000040222</v>
      </c>
      <c r="B153" t="s">
        <v>204</v>
      </c>
      <c r="C153" t="s">
        <v>199</v>
      </c>
      <c r="D153" t="s">
        <v>200</v>
      </c>
      <c r="E153" s="2">
        <v>2</v>
      </c>
      <c r="F153" t="s">
        <v>36</v>
      </c>
      <c r="G153" s="2">
        <v>0</v>
      </c>
      <c r="H153" s="2">
        <v>0</v>
      </c>
      <c r="I153">
        <v>4.6150000000000002</v>
      </c>
    </row>
    <row r="154" spans="1:9" x14ac:dyDescent="0.25">
      <c r="A154">
        <v>2000040222</v>
      </c>
      <c r="B154" t="s">
        <v>204</v>
      </c>
      <c r="C154" t="s">
        <v>130</v>
      </c>
      <c r="D154" t="s">
        <v>131</v>
      </c>
      <c r="E154" s="2">
        <v>159</v>
      </c>
      <c r="F154" t="s">
        <v>36</v>
      </c>
      <c r="G154" s="2">
        <v>0</v>
      </c>
      <c r="H154" s="2">
        <v>569</v>
      </c>
      <c r="I154">
        <v>4.6174840000000001</v>
      </c>
    </row>
    <row r="155" spans="1:9" x14ac:dyDescent="0.25">
      <c r="A155">
        <v>2000040222</v>
      </c>
      <c r="B155" t="s">
        <v>204</v>
      </c>
      <c r="C155" t="s">
        <v>139</v>
      </c>
      <c r="D155" t="s">
        <v>140</v>
      </c>
      <c r="E155" s="2">
        <v>0</v>
      </c>
      <c r="F155" t="s">
        <v>36</v>
      </c>
      <c r="G155">
        <v>569</v>
      </c>
      <c r="H155">
        <v>0</v>
      </c>
      <c r="I155">
        <v>4.6174879999999998</v>
      </c>
    </row>
    <row r="156" spans="1:9" x14ac:dyDescent="0.25">
      <c r="A156">
        <v>2000040223</v>
      </c>
      <c r="B156" t="s">
        <v>205</v>
      </c>
      <c r="C156" t="s">
        <v>130</v>
      </c>
      <c r="D156" t="s">
        <v>131</v>
      </c>
      <c r="E156" s="2">
        <v>152</v>
      </c>
      <c r="F156" t="s">
        <v>36</v>
      </c>
      <c r="G156" s="2">
        <v>0</v>
      </c>
      <c r="H156" s="2">
        <v>565</v>
      </c>
      <c r="I156">
        <v>4.6165130000000003</v>
      </c>
    </row>
    <row r="157" spans="1:9" x14ac:dyDescent="0.25">
      <c r="A157">
        <v>2000040223</v>
      </c>
      <c r="B157" t="s">
        <v>205</v>
      </c>
      <c r="C157" t="s">
        <v>139</v>
      </c>
      <c r="D157" t="s">
        <v>140</v>
      </c>
      <c r="E157" s="2">
        <v>0</v>
      </c>
      <c r="F157" t="s">
        <v>36</v>
      </c>
      <c r="G157" s="2">
        <v>565</v>
      </c>
      <c r="H157" s="2">
        <v>0</v>
      </c>
      <c r="I157">
        <v>4.6165380000000003</v>
      </c>
    </row>
    <row r="158" spans="1:9" x14ac:dyDescent="0.25">
      <c r="A158">
        <v>2000040224</v>
      </c>
      <c r="B158" t="s">
        <v>206</v>
      </c>
      <c r="C158" t="s">
        <v>130</v>
      </c>
      <c r="D158" t="s">
        <v>131</v>
      </c>
      <c r="E158" s="2">
        <v>171</v>
      </c>
      <c r="F158" t="s">
        <v>36</v>
      </c>
      <c r="G158" s="2">
        <v>1744</v>
      </c>
      <c r="H158">
        <v>753</v>
      </c>
      <c r="I158">
        <v>4.9992979999999996</v>
      </c>
    </row>
    <row r="159" spans="1:9" x14ac:dyDescent="0.25">
      <c r="A159">
        <v>2000040224</v>
      </c>
      <c r="B159" t="s">
        <v>206</v>
      </c>
      <c r="C159" t="s">
        <v>137</v>
      </c>
      <c r="D159" t="s">
        <v>138</v>
      </c>
      <c r="E159" s="2">
        <v>8</v>
      </c>
      <c r="F159" t="s">
        <v>36</v>
      </c>
      <c r="G159" s="2">
        <v>0</v>
      </c>
      <c r="H159" s="2">
        <v>0</v>
      </c>
      <c r="I159">
        <v>4.9987500000000002</v>
      </c>
    </row>
    <row r="160" spans="1:9" x14ac:dyDescent="0.25">
      <c r="A160">
        <v>2000040224</v>
      </c>
      <c r="B160" t="s">
        <v>206</v>
      </c>
      <c r="C160" t="s">
        <v>151</v>
      </c>
      <c r="D160" t="s">
        <v>152</v>
      </c>
      <c r="E160" s="2">
        <v>0</v>
      </c>
      <c r="F160" t="s">
        <v>36</v>
      </c>
      <c r="G160">
        <v>0</v>
      </c>
      <c r="H160" s="2">
        <v>7</v>
      </c>
      <c r="I160">
        <v>5</v>
      </c>
    </row>
    <row r="161" spans="1:9" x14ac:dyDescent="0.25">
      <c r="A161">
        <v>2000040224</v>
      </c>
      <c r="B161" t="s">
        <v>206</v>
      </c>
      <c r="C161" t="s">
        <v>139</v>
      </c>
      <c r="D161" t="s">
        <v>140</v>
      </c>
      <c r="E161" s="2">
        <v>0</v>
      </c>
      <c r="F161" t="s">
        <v>36</v>
      </c>
      <c r="G161">
        <v>612</v>
      </c>
      <c r="H161" s="2">
        <v>1737</v>
      </c>
      <c r="I161">
        <v>4.9994290000000001</v>
      </c>
    </row>
    <row r="162" spans="1:9" x14ac:dyDescent="0.25">
      <c r="A162">
        <v>2000040225</v>
      </c>
      <c r="B162" t="s">
        <v>207</v>
      </c>
      <c r="C162" t="s">
        <v>199</v>
      </c>
      <c r="D162" t="s">
        <v>200</v>
      </c>
      <c r="E162" s="2">
        <v>2</v>
      </c>
      <c r="F162" t="s">
        <v>36</v>
      </c>
      <c r="G162" s="2">
        <v>0</v>
      </c>
      <c r="H162">
        <v>0</v>
      </c>
      <c r="I162">
        <v>4.9400000000000004</v>
      </c>
    </row>
    <row r="163" spans="1:9" x14ac:dyDescent="0.25">
      <c r="A163">
        <v>2000040225</v>
      </c>
      <c r="B163" t="s">
        <v>207</v>
      </c>
      <c r="C163" t="s">
        <v>130</v>
      </c>
      <c r="D163" t="s">
        <v>131</v>
      </c>
      <c r="E163" s="2">
        <v>3</v>
      </c>
      <c r="F163" t="s">
        <v>36</v>
      </c>
      <c r="G163" s="2">
        <v>29</v>
      </c>
      <c r="H163" s="2">
        <v>1080</v>
      </c>
      <c r="I163">
        <v>4.943333</v>
      </c>
    </row>
    <row r="164" spans="1:9" x14ac:dyDescent="0.25">
      <c r="A164">
        <v>2000040225</v>
      </c>
      <c r="B164" t="s">
        <v>207</v>
      </c>
      <c r="C164" t="s">
        <v>142</v>
      </c>
      <c r="D164" t="s">
        <v>143</v>
      </c>
      <c r="E164" s="2">
        <v>0</v>
      </c>
      <c r="F164" t="s">
        <v>36</v>
      </c>
      <c r="G164">
        <v>0</v>
      </c>
      <c r="H164">
        <v>29</v>
      </c>
      <c r="I164">
        <v>4.9411649999999998</v>
      </c>
    </row>
    <row r="165" spans="1:9" x14ac:dyDescent="0.25">
      <c r="A165">
        <v>2000040225</v>
      </c>
      <c r="B165" t="s">
        <v>207</v>
      </c>
      <c r="C165" t="s">
        <v>151</v>
      </c>
      <c r="D165" t="s">
        <v>152</v>
      </c>
      <c r="E165" s="2">
        <v>0</v>
      </c>
      <c r="F165" t="s">
        <v>36</v>
      </c>
      <c r="G165" s="2">
        <v>42</v>
      </c>
      <c r="H165" s="2">
        <v>0</v>
      </c>
      <c r="I165">
        <v>4.9400000000000004</v>
      </c>
    </row>
    <row r="166" spans="1:9" x14ac:dyDescent="0.25">
      <c r="A166">
        <v>2000040225</v>
      </c>
      <c r="B166" t="s">
        <v>207</v>
      </c>
      <c r="C166" t="s">
        <v>139</v>
      </c>
      <c r="D166" t="s">
        <v>140</v>
      </c>
      <c r="E166" s="2">
        <v>0</v>
      </c>
      <c r="F166" t="s">
        <v>36</v>
      </c>
      <c r="G166" s="2">
        <v>1038</v>
      </c>
      <c r="H166">
        <v>0</v>
      </c>
      <c r="I166">
        <v>4.9416669999999998</v>
      </c>
    </row>
    <row r="167" spans="1:9" x14ac:dyDescent="0.25">
      <c r="A167">
        <v>2000040226</v>
      </c>
      <c r="B167" t="s">
        <v>208</v>
      </c>
      <c r="C167" t="s">
        <v>130</v>
      </c>
      <c r="D167" t="s">
        <v>131</v>
      </c>
      <c r="E167" s="2">
        <v>9</v>
      </c>
      <c r="F167" t="s">
        <v>36</v>
      </c>
      <c r="G167">
        <v>61</v>
      </c>
      <c r="H167">
        <v>612</v>
      </c>
      <c r="I167">
        <v>4.9477779999999996</v>
      </c>
    </row>
    <row r="168" spans="1:9" x14ac:dyDescent="0.25">
      <c r="A168">
        <v>2000040226</v>
      </c>
      <c r="B168" t="s">
        <v>208</v>
      </c>
      <c r="C168" t="s">
        <v>139</v>
      </c>
      <c r="D168" t="s">
        <v>140</v>
      </c>
      <c r="E168" s="2">
        <v>0</v>
      </c>
      <c r="F168" t="s">
        <v>36</v>
      </c>
      <c r="G168">
        <v>612</v>
      </c>
      <c r="H168" s="2">
        <v>61</v>
      </c>
      <c r="I168">
        <v>4.9482689999999998</v>
      </c>
    </row>
    <row r="169" spans="1:9" x14ac:dyDescent="0.25">
      <c r="A169">
        <v>2000040227</v>
      </c>
      <c r="B169" t="s">
        <v>209</v>
      </c>
      <c r="C169" t="s">
        <v>130</v>
      </c>
      <c r="D169" t="s">
        <v>131</v>
      </c>
      <c r="E169" s="2">
        <v>87</v>
      </c>
      <c r="F169" t="s">
        <v>36</v>
      </c>
      <c r="G169" s="2">
        <v>445</v>
      </c>
      <c r="H169">
        <v>932</v>
      </c>
      <c r="I169">
        <v>4.9991950000000003</v>
      </c>
    </row>
    <row r="170" spans="1:9" x14ac:dyDescent="0.25">
      <c r="A170">
        <v>2000040227</v>
      </c>
      <c r="B170" t="s">
        <v>209</v>
      </c>
      <c r="C170" t="s">
        <v>151</v>
      </c>
      <c r="D170" t="s">
        <v>152</v>
      </c>
      <c r="E170" s="2">
        <v>0</v>
      </c>
      <c r="F170" t="s">
        <v>36</v>
      </c>
      <c r="G170" s="2">
        <v>24</v>
      </c>
      <c r="H170" s="2">
        <v>0</v>
      </c>
      <c r="I170">
        <v>5</v>
      </c>
    </row>
    <row r="171" spans="1:9" x14ac:dyDescent="0.25">
      <c r="A171">
        <v>2000040227</v>
      </c>
      <c r="B171" t="s">
        <v>209</v>
      </c>
      <c r="C171" t="s">
        <v>139</v>
      </c>
      <c r="D171" t="s">
        <v>140</v>
      </c>
      <c r="E171" s="2">
        <v>0</v>
      </c>
      <c r="F171" t="s">
        <v>36</v>
      </c>
      <c r="G171">
        <v>908</v>
      </c>
      <c r="H171">
        <v>421</v>
      </c>
      <c r="I171">
        <v>4.9992809999999999</v>
      </c>
    </row>
    <row r="172" spans="1:9" x14ac:dyDescent="0.25">
      <c r="A172">
        <v>2000040228</v>
      </c>
      <c r="B172" t="s">
        <v>210</v>
      </c>
      <c r="C172" t="s">
        <v>130</v>
      </c>
      <c r="D172" t="s">
        <v>131</v>
      </c>
      <c r="E172" s="2">
        <v>2</v>
      </c>
      <c r="F172" t="s">
        <v>36</v>
      </c>
      <c r="G172">
        <v>325</v>
      </c>
      <c r="H172">
        <v>688</v>
      </c>
      <c r="I172">
        <v>4.9950000000000001</v>
      </c>
    </row>
    <row r="173" spans="1:9" x14ac:dyDescent="0.25">
      <c r="A173">
        <v>2000040228</v>
      </c>
      <c r="B173" t="s">
        <v>210</v>
      </c>
      <c r="C173" t="s">
        <v>151</v>
      </c>
      <c r="D173" t="s">
        <v>152</v>
      </c>
      <c r="E173" s="2">
        <v>0</v>
      </c>
      <c r="F173" t="s">
        <v>36</v>
      </c>
      <c r="G173">
        <v>24</v>
      </c>
      <c r="H173">
        <v>0</v>
      </c>
      <c r="I173">
        <v>4.9980000000000002</v>
      </c>
    </row>
    <row r="174" spans="1:9" x14ac:dyDescent="0.25">
      <c r="A174">
        <v>2000040228</v>
      </c>
      <c r="B174" t="s">
        <v>210</v>
      </c>
      <c r="C174" t="s">
        <v>139</v>
      </c>
      <c r="D174" t="s">
        <v>140</v>
      </c>
      <c r="E174" s="2">
        <v>0</v>
      </c>
      <c r="F174" t="s">
        <v>36</v>
      </c>
      <c r="G174" s="2">
        <v>664</v>
      </c>
      <c r="H174" s="2">
        <v>301</v>
      </c>
      <c r="I174">
        <v>4.9974069999999999</v>
      </c>
    </row>
    <row r="175" spans="1:9" x14ac:dyDescent="0.25">
      <c r="A175">
        <v>2000040229</v>
      </c>
      <c r="B175" t="s">
        <v>211</v>
      </c>
      <c r="C175" t="s">
        <v>130</v>
      </c>
      <c r="D175" t="s">
        <v>131</v>
      </c>
      <c r="E175" s="2">
        <v>24</v>
      </c>
      <c r="F175" t="s">
        <v>36</v>
      </c>
      <c r="G175">
        <v>205</v>
      </c>
      <c r="H175">
        <v>966</v>
      </c>
      <c r="I175">
        <v>4.9879170000000004</v>
      </c>
    </row>
    <row r="176" spans="1:9" x14ac:dyDescent="0.25">
      <c r="A176" s="1">
        <v>2000040229</v>
      </c>
      <c r="B176" s="1" t="s">
        <v>211</v>
      </c>
      <c r="C176" s="1" t="s">
        <v>137</v>
      </c>
      <c r="D176" s="1" t="s">
        <v>138</v>
      </c>
      <c r="E176" s="3">
        <v>56</v>
      </c>
      <c r="F176" s="1" t="s">
        <v>36</v>
      </c>
      <c r="G176" s="1">
        <v>0</v>
      </c>
      <c r="H176" s="1">
        <v>0</v>
      </c>
      <c r="I176" s="1">
        <v>4.9882140000000001</v>
      </c>
    </row>
    <row r="177" spans="1:9" x14ac:dyDescent="0.25">
      <c r="A177">
        <v>2000040229</v>
      </c>
      <c r="B177" t="s">
        <v>211</v>
      </c>
      <c r="C177" t="s">
        <v>139</v>
      </c>
      <c r="D177" t="s">
        <v>140</v>
      </c>
      <c r="E177" s="2">
        <v>0</v>
      </c>
      <c r="F177" t="s">
        <v>36</v>
      </c>
      <c r="G177">
        <v>966</v>
      </c>
      <c r="H177">
        <v>181</v>
      </c>
      <c r="I177">
        <v>4.988073</v>
      </c>
    </row>
    <row r="178" spans="1:9" x14ac:dyDescent="0.25">
      <c r="A178">
        <v>2000040230</v>
      </c>
      <c r="B178" t="s">
        <v>212</v>
      </c>
      <c r="C178" t="s">
        <v>130</v>
      </c>
      <c r="D178" t="s">
        <v>131</v>
      </c>
      <c r="E178" s="2">
        <v>279</v>
      </c>
      <c r="F178" t="s">
        <v>36</v>
      </c>
      <c r="G178">
        <v>0</v>
      </c>
      <c r="H178">
        <v>850</v>
      </c>
      <c r="I178">
        <v>4.9764869999999997</v>
      </c>
    </row>
    <row r="179" spans="1:9" x14ac:dyDescent="0.25">
      <c r="A179">
        <v>2000040230</v>
      </c>
      <c r="B179" t="s">
        <v>212</v>
      </c>
      <c r="C179" t="s">
        <v>139</v>
      </c>
      <c r="D179" t="s">
        <v>140</v>
      </c>
      <c r="E179" s="2">
        <v>0</v>
      </c>
      <c r="F179" t="s">
        <v>36</v>
      </c>
      <c r="G179">
        <v>850</v>
      </c>
      <c r="H179">
        <v>0</v>
      </c>
      <c r="I179">
        <v>4.9764970000000002</v>
      </c>
    </row>
    <row r="180" spans="1:9" x14ac:dyDescent="0.25">
      <c r="A180">
        <v>2000040232</v>
      </c>
      <c r="B180" t="s">
        <v>213</v>
      </c>
      <c r="C180" t="s">
        <v>130</v>
      </c>
      <c r="D180" t="s">
        <v>131</v>
      </c>
      <c r="E180" s="2">
        <v>20</v>
      </c>
      <c r="F180" t="s">
        <v>36</v>
      </c>
      <c r="G180">
        <v>997</v>
      </c>
      <c r="H180" s="2">
        <v>1710</v>
      </c>
      <c r="I180">
        <v>4.9160000000000004</v>
      </c>
    </row>
    <row r="181" spans="1:9" x14ac:dyDescent="0.25">
      <c r="A181">
        <v>2000040232</v>
      </c>
      <c r="B181" t="s">
        <v>213</v>
      </c>
      <c r="C181" t="s">
        <v>142</v>
      </c>
      <c r="D181" t="s">
        <v>143</v>
      </c>
      <c r="E181" s="2">
        <v>0</v>
      </c>
      <c r="F181" t="s">
        <v>36</v>
      </c>
      <c r="G181">
        <v>0</v>
      </c>
      <c r="H181">
        <v>291</v>
      </c>
      <c r="I181">
        <v>4.9171430000000003</v>
      </c>
    </row>
    <row r="182" spans="1:9" x14ac:dyDescent="0.25">
      <c r="A182">
        <v>2000040232</v>
      </c>
      <c r="B182" t="s">
        <v>213</v>
      </c>
      <c r="C182" t="s">
        <v>139</v>
      </c>
      <c r="D182" t="s">
        <v>140</v>
      </c>
      <c r="E182" s="2">
        <v>0</v>
      </c>
      <c r="F182" t="s">
        <v>36</v>
      </c>
      <c r="G182" s="2">
        <v>1710</v>
      </c>
      <c r="H182">
        <v>706</v>
      </c>
      <c r="I182">
        <v>4.9180000000000001</v>
      </c>
    </row>
    <row r="183" spans="1:9" x14ac:dyDescent="0.25">
      <c r="A183">
        <v>2000040233</v>
      </c>
      <c r="B183" t="s">
        <v>214</v>
      </c>
      <c r="C183" t="s">
        <v>130</v>
      </c>
      <c r="D183" t="s">
        <v>131</v>
      </c>
      <c r="E183" s="2">
        <v>126</v>
      </c>
      <c r="F183" t="s">
        <v>36</v>
      </c>
      <c r="G183" s="2">
        <v>1512</v>
      </c>
      <c r="H183" s="2">
        <v>1549</v>
      </c>
      <c r="I183">
        <v>5.0306350000000002</v>
      </c>
    </row>
    <row r="184" spans="1:9" x14ac:dyDescent="0.25">
      <c r="A184">
        <v>2000040233</v>
      </c>
      <c r="B184" t="s">
        <v>214</v>
      </c>
      <c r="C184" t="s">
        <v>142</v>
      </c>
      <c r="D184" t="s">
        <v>143</v>
      </c>
      <c r="E184" s="2">
        <v>0</v>
      </c>
      <c r="F184" t="s">
        <v>36</v>
      </c>
      <c r="G184">
        <v>0</v>
      </c>
      <c r="H184">
        <v>351</v>
      </c>
      <c r="I184">
        <v>5.0306449999999998</v>
      </c>
    </row>
    <row r="185" spans="1:9" x14ac:dyDescent="0.25">
      <c r="A185">
        <v>2000040233</v>
      </c>
      <c r="B185" t="s">
        <v>214</v>
      </c>
      <c r="C185" t="s">
        <v>151</v>
      </c>
      <c r="D185" t="s">
        <v>152</v>
      </c>
      <c r="E185" s="2">
        <v>0</v>
      </c>
      <c r="F185" t="s">
        <v>36</v>
      </c>
      <c r="G185">
        <v>0</v>
      </c>
      <c r="H185">
        <v>5</v>
      </c>
      <c r="I185">
        <v>5.030545</v>
      </c>
    </row>
    <row r="186" spans="1:9" x14ac:dyDescent="0.25">
      <c r="A186">
        <v>2000040233</v>
      </c>
      <c r="B186" t="s">
        <v>214</v>
      </c>
      <c r="C186" t="s">
        <v>139</v>
      </c>
      <c r="D186" t="s">
        <v>140</v>
      </c>
      <c r="E186" s="2">
        <v>0</v>
      </c>
      <c r="F186" t="s">
        <v>36</v>
      </c>
      <c r="G186" s="2">
        <v>1549</v>
      </c>
      <c r="H186" s="2">
        <v>1156</v>
      </c>
      <c r="I186">
        <v>5.0306050000000004</v>
      </c>
    </row>
    <row r="187" spans="1:9" x14ac:dyDescent="0.25">
      <c r="A187">
        <v>2000040234</v>
      </c>
      <c r="B187" t="s">
        <v>215</v>
      </c>
      <c r="C187" t="s">
        <v>130</v>
      </c>
      <c r="D187" t="s">
        <v>131</v>
      </c>
      <c r="E187" s="2">
        <v>7</v>
      </c>
      <c r="F187" t="s">
        <v>36</v>
      </c>
      <c r="G187">
        <v>683</v>
      </c>
      <c r="H187" s="2">
        <v>1176</v>
      </c>
      <c r="I187">
        <v>5.01</v>
      </c>
    </row>
    <row r="188" spans="1:9" x14ac:dyDescent="0.25">
      <c r="A188">
        <v>2000040234</v>
      </c>
      <c r="B188" t="s">
        <v>215</v>
      </c>
      <c r="C188" t="s">
        <v>142</v>
      </c>
      <c r="D188" t="s">
        <v>143</v>
      </c>
      <c r="E188" s="2">
        <v>0</v>
      </c>
      <c r="F188" t="s">
        <v>36</v>
      </c>
      <c r="G188" s="2">
        <v>0</v>
      </c>
      <c r="H188">
        <v>22</v>
      </c>
      <c r="I188">
        <v>5.0145949999999999</v>
      </c>
    </row>
    <row r="189" spans="1:9" x14ac:dyDescent="0.25">
      <c r="A189">
        <v>2000040234</v>
      </c>
      <c r="B189" t="s">
        <v>215</v>
      </c>
      <c r="C189" t="s">
        <v>151</v>
      </c>
      <c r="D189" t="s">
        <v>152</v>
      </c>
      <c r="E189" s="2">
        <v>0</v>
      </c>
      <c r="F189" t="s">
        <v>36</v>
      </c>
      <c r="G189">
        <v>36</v>
      </c>
      <c r="H189">
        <v>0</v>
      </c>
      <c r="I189">
        <v>5.0140000000000002</v>
      </c>
    </row>
    <row r="190" spans="1:9" x14ac:dyDescent="0.25">
      <c r="A190">
        <v>2000040234</v>
      </c>
      <c r="B190" t="s">
        <v>215</v>
      </c>
      <c r="C190" t="s">
        <v>139</v>
      </c>
      <c r="D190" t="s">
        <v>140</v>
      </c>
      <c r="E190" s="2">
        <v>0</v>
      </c>
      <c r="F190" t="s">
        <v>36</v>
      </c>
      <c r="G190" s="2">
        <v>1140</v>
      </c>
      <c r="H190">
        <v>661</v>
      </c>
      <c r="I190">
        <v>5.0140000000000002</v>
      </c>
    </row>
    <row r="191" spans="1:9" x14ac:dyDescent="0.25">
      <c r="A191">
        <v>2000040235</v>
      </c>
      <c r="B191" t="s">
        <v>216</v>
      </c>
      <c r="C191" t="s">
        <v>199</v>
      </c>
      <c r="D191" t="s">
        <v>200</v>
      </c>
      <c r="E191" s="2">
        <v>5</v>
      </c>
      <c r="F191" t="s">
        <v>36</v>
      </c>
      <c r="G191" s="2">
        <v>0</v>
      </c>
      <c r="H191" s="2">
        <v>0</v>
      </c>
      <c r="I191">
        <v>5.0199999999999996</v>
      </c>
    </row>
    <row r="192" spans="1:9" x14ac:dyDescent="0.25">
      <c r="A192">
        <v>2000040235</v>
      </c>
      <c r="B192" t="s">
        <v>216</v>
      </c>
      <c r="C192" t="s">
        <v>130</v>
      </c>
      <c r="D192" t="s">
        <v>131</v>
      </c>
      <c r="E192" s="2">
        <v>7</v>
      </c>
      <c r="F192" t="s">
        <v>36</v>
      </c>
      <c r="G192">
        <v>357</v>
      </c>
      <c r="H192">
        <v>805</v>
      </c>
      <c r="I192">
        <v>5.0257139999999998</v>
      </c>
    </row>
    <row r="193" spans="1:9" x14ac:dyDescent="0.25">
      <c r="A193">
        <v>2000040235</v>
      </c>
      <c r="B193" t="s">
        <v>216</v>
      </c>
      <c r="C193" t="s">
        <v>142</v>
      </c>
      <c r="D193" t="s">
        <v>143</v>
      </c>
      <c r="E193" s="2">
        <v>0</v>
      </c>
      <c r="F193" t="s">
        <v>36</v>
      </c>
      <c r="G193">
        <v>0</v>
      </c>
      <c r="H193" s="2">
        <v>25</v>
      </c>
      <c r="I193">
        <v>5.0199999999999996</v>
      </c>
    </row>
    <row r="194" spans="1:9" x14ac:dyDescent="0.25">
      <c r="A194">
        <v>2000040235</v>
      </c>
      <c r="B194" t="s">
        <v>216</v>
      </c>
      <c r="C194" t="s">
        <v>151</v>
      </c>
      <c r="D194" t="s">
        <v>152</v>
      </c>
      <c r="E194" s="2">
        <v>0</v>
      </c>
      <c r="F194" t="s">
        <v>36</v>
      </c>
      <c r="G194">
        <v>92</v>
      </c>
      <c r="H194">
        <v>0</v>
      </c>
      <c r="I194">
        <v>5.0199999999999996</v>
      </c>
    </row>
    <row r="195" spans="1:9" x14ac:dyDescent="0.25">
      <c r="A195">
        <v>2000040235</v>
      </c>
      <c r="B195" t="s">
        <v>216</v>
      </c>
      <c r="C195" t="s">
        <v>139</v>
      </c>
      <c r="D195" t="s">
        <v>140</v>
      </c>
      <c r="E195" s="2">
        <v>0</v>
      </c>
      <c r="F195" t="s">
        <v>36</v>
      </c>
      <c r="G195">
        <v>713</v>
      </c>
      <c r="H195">
        <v>331</v>
      </c>
      <c r="I195">
        <v>5.0199999999999996</v>
      </c>
    </row>
    <row r="196" spans="1:9" x14ac:dyDescent="0.25">
      <c r="A196">
        <v>2000040236</v>
      </c>
      <c r="B196" t="s">
        <v>217</v>
      </c>
      <c r="C196" t="s">
        <v>130</v>
      </c>
      <c r="D196" t="s">
        <v>131</v>
      </c>
      <c r="E196" s="2">
        <v>3</v>
      </c>
      <c r="F196" t="s">
        <v>36</v>
      </c>
      <c r="G196" s="2">
        <v>6</v>
      </c>
      <c r="H196" s="2">
        <v>1741</v>
      </c>
      <c r="I196">
        <v>7.48</v>
      </c>
    </row>
    <row r="197" spans="1:9" x14ac:dyDescent="0.25">
      <c r="A197">
        <v>2000040236</v>
      </c>
      <c r="B197" t="s">
        <v>217</v>
      </c>
      <c r="C197" t="s">
        <v>137</v>
      </c>
      <c r="D197" t="s">
        <v>138</v>
      </c>
      <c r="E197" s="2">
        <v>36</v>
      </c>
      <c r="F197" t="s">
        <v>36</v>
      </c>
      <c r="G197">
        <v>0</v>
      </c>
      <c r="H197">
        <v>0</v>
      </c>
      <c r="I197">
        <v>7.4802780000000002</v>
      </c>
    </row>
    <row r="198" spans="1:9" x14ac:dyDescent="0.25">
      <c r="A198" s="1">
        <v>2000040236</v>
      </c>
      <c r="B198" s="1" t="s">
        <v>217</v>
      </c>
      <c r="C198" s="1" t="s">
        <v>139</v>
      </c>
      <c r="D198" s="1" t="s">
        <v>140</v>
      </c>
      <c r="E198" s="3">
        <v>0</v>
      </c>
      <c r="F198" s="1" t="s">
        <v>36</v>
      </c>
      <c r="G198" s="3">
        <v>1741</v>
      </c>
      <c r="H198" s="1">
        <v>0</v>
      </c>
      <c r="I198" s="1">
        <v>7.48041</v>
      </c>
    </row>
    <row r="199" spans="1:9" x14ac:dyDescent="0.25">
      <c r="A199">
        <v>2000040237</v>
      </c>
      <c r="B199" t="s">
        <v>218</v>
      </c>
      <c r="C199" t="s">
        <v>130</v>
      </c>
      <c r="D199" t="s">
        <v>131</v>
      </c>
      <c r="E199" s="2">
        <v>0</v>
      </c>
      <c r="F199" t="s">
        <v>36</v>
      </c>
      <c r="G199">
        <v>9</v>
      </c>
      <c r="H199" s="2">
        <v>1581</v>
      </c>
      <c r="I199">
        <v>7.48</v>
      </c>
    </row>
    <row r="200" spans="1:9" x14ac:dyDescent="0.25">
      <c r="A200">
        <v>2000040237</v>
      </c>
      <c r="B200" t="s">
        <v>218</v>
      </c>
      <c r="C200" t="s">
        <v>151</v>
      </c>
      <c r="D200" t="s">
        <v>152</v>
      </c>
      <c r="E200" s="2">
        <v>0</v>
      </c>
      <c r="F200" t="s">
        <v>36</v>
      </c>
      <c r="G200">
        <v>0</v>
      </c>
      <c r="H200">
        <v>7</v>
      </c>
      <c r="I200">
        <v>0</v>
      </c>
    </row>
    <row r="201" spans="1:9" x14ac:dyDescent="0.25">
      <c r="A201">
        <v>2000040237</v>
      </c>
      <c r="B201" t="s">
        <v>218</v>
      </c>
      <c r="C201" t="s">
        <v>139</v>
      </c>
      <c r="D201" t="s">
        <v>140</v>
      </c>
      <c r="E201" s="2">
        <v>0</v>
      </c>
      <c r="F201" t="s">
        <v>36</v>
      </c>
      <c r="G201" s="2">
        <v>1581</v>
      </c>
      <c r="H201">
        <v>0</v>
      </c>
      <c r="I201">
        <v>7.4812500000000002</v>
      </c>
    </row>
    <row r="202" spans="1:9" x14ac:dyDescent="0.25">
      <c r="A202">
        <v>2000040238</v>
      </c>
      <c r="B202" t="s">
        <v>219</v>
      </c>
      <c r="C202" t="s">
        <v>199</v>
      </c>
      <c r="D202" t="s">
        <v>200</v>
      </c>
      <c r="E202" s="2">
        <v>1</v>
      </c>
      <c r="F202" t="s">
        <v>36</v>
      </c>
      <c r="G202">
        <v>0</v>
      </c>
      <c r="H202">
        <v>0</v>
      </c>
      <c r="I202">
        <v>7.48</v>
      </c>
    </row>
    <row r="203" spans="1:9" x14ac:dyDescent="0.25">
      <c r="A203">
        <v>2000040238</v>
      </c>
      <c r="B203" t="s">
        <v>219</v>
      </c>
      <c r="C203" t="s">
        <v>130</v>
      </c>
      <c r="D203" t="s">
        <v>131</v>
      </c>
      <c r="E203" s="2">
        <v>7</v>
      </c>
      <c r="F203" t="s">
        <v>36</v>
      </c>
      <c r="G203">
        <v>0</v>
      </c>
      <c r="H203" s="2">
        <v>1187</v>
      </c>
      <c r="I203">
        <v>7.48</v>
      </c>
    </row>
    <row r="204" spans="1:9" x14ac:dyDescent="0.25">
      <c r="A204">
        <v>2000040238</v>
      </c>
      <c r="B204" t="s">
        <v>219</v>
      </c>
      <c r="C204" t="s">
        <v>139</v>
      </c>
      <c r="D204" t="s">
        <v>140</v>
      </c>
      <c r="E204" s="2">
        <v>0</v>
      </c>
      <c r="F204" t="s">
        <v>36</v>
      </c>
      <c r="G204" s="2">
        <v>1187</v>
      </c>
      <c r="H204">
        <v>0</v>
      </c>
      <c r="I204">
        <v>7.48</v>
      </c>
    </row>
    <row r="205" spans="1:9" x14ac:dyDescent="0.25">
      <c r="A205">
        <v>2000050201</v>
      </c>
      <c r="B205" t="s">
        <v>220</v>
      </c>
      <c r="C205" t="s">
        <v>126</v>
      </c>
      <c r="D205" t="s">
        <v>127</v>
      </c>
      <c r="E205" s="2">
        <v>1194</v>
      </c>
      <c r="F205" t="s">
        <v>36</v>
      </c>
      <c r="G205" s="2">
        <v>0</v>
      </c>
      <c r="H205" s="2">
        <v>0</v>
      </c>
      <c r="I205">
        <v>0.66525100000000004</v>
      </c>
    </row>
    <row r="206" spans="1:9" x14ac:dyDescent="0.25">
      <c r="A206">
        <v>2000050496</v>
      </c>
      <c r="B206" t="s">
        <v>221</v>
      </c>
      <c r="C206" t="s">
        <v>126</v>
      </c>
      <c r="D206" t="s">
        <v>127</v>
      </c>
      <c r="E206" s="2">
        <v>6600</v>
      </c>
      <c r="F206" t="s">
        <v>36</v>
      </c>
      <c r="G206">
        <v>0</v>
      </c>
      <c r="H206">
        <v>0</v>
      </c>
      <c r="I206">
        <v>0.130991</v>
      </c>
    </row>
    <row r="207" spans="1:9" x14ac:dyDescent="0.25">
      <c r="A207">
        <v>2000050497</v>
      </c>
      <c r="B207" t="s">
        <v>222</v>
      </c>
      <c r="C207" t="s">
        <v>126</v>
      </c>
      <c r="D207" t="s">
        <v>127</v>
      </c>
      <c r="E207" s="2">
        <v>1345</v>
      </c>
      <c r="F207" t="s">
        <v>36</v>
      </c>
      <c r="G207">
        <v>0</v>
      </c>
      <c r="H207">
        <v>0</v>
      </c>
      <c r="I207">
        <v>0.13098899999999999</v>
      </c>
    </row>
    <row r="208" spans="1:9" x14ac:dyDescent="0.25">
      <c r="A208">
        <v>2000050500</v>
      </c>
      <c r="B208" t="s">
        <v>223</v>
      </c>
      <c r="C208" t="s">
        <v>126</v>
      </c>
      <c r="D208" t="s">
        <v>127</v>
      </c>
      <c r="E208" s="2">
        <v>81</v>
      </c>
      <c r="F208" t="s">
        <v>36</v>
      </c>
      <c r="G208">
        <v>0</v>
      </c>
      <c r="H208">
        <v>0</v>
      </c>
      <c r="I208">
        <v>0.17419799999999999</v>
      </c>
    </row>
    <row r="209" spans="1:9" x14ac:dyDescent="0.25">
      <c r="A209">
        <v>2000050504</v>
      </c>
      <c r="B209" t="s">
        <v>224</v>
      </c>
      <c r="C209" t="s">
        <v>130</v>
      </c>
      <c r="D209" t="s">
        <v>131</v>
      </c>
      <c r="E209" s="2">
        <v>28076.799999999999</v>
      </c>
      <c r="F209" t="s">
        <v>36</v>
      </c>
      <c r="G209">
        <v>244</v>
      </c>
      <c r="H209" s="2">
        <v>0</v>
      </c>
      <c r="I209">
        <v>0.25459700000000002</v>
      </c>
    </row>
    <row r="210" spans="1:9" x14ac:dyDescent="0.25">
      <c r="A210">
        <v>2000050504</v>
      </c>
      <c r="B210" t="s">
        <v>224</v>
      </c>
      <c r="C210" t="s">
        <v>137</v>
      </c>
      <c r="D210" t="s">
        <v>138</v>
      </c>
      <c r="E210" s="2">
        <v>0</v>
      </c>
      <c r="F210" t="s">
        <v>36</v>
      </c>
      <c r="G210">
        <v>0</v>
      </c>
      <c r="H210">
        <v>172</v>
      </c>
      <c r="I210">
        <v>0.27055600000000002</v>
      </c>
    </row>
    <row r="211" spans="1:9" x14ac:dyDescent="0.25">
      <c r="A211">
        <v>2000050505</v>
      </c>
      <c r="B211" t="s">
        <v>225</v>
      </c>
      <c r="C211" t="s">
        <v>130</v>
      </c>
      <c r="D211" t="s">
        <v>131</v>
      </c>
      <c r="E211" s="2">
        <v>16428</v>
      </c>
      <c r="F211" t="s">
        <v>36</v>
      </c>
      <c r="G211" s="2">
        <v>60</v>
      </c>
      <c r="H211">
        <v>0</v>
      </c>
      <c r="I211">
        <v>0.25746000000000002</v>
      </c>
    </row>
    <row r="212" spans="1:9" x14ac:dyDescent="0.25">
      <c r="A212">
        <v>2000050506</v>
      </c>
      <c r="B212" t="s">
        <v>226</v>
      </c>
      <c r="C212" t="s">
        <v>130</v>
      </c>
      <c r="D212" t="s">
        <v>131</v>
      </c>
      <c r="E212" s="2">
        <v>14806.4012</v>
      </c>
      <c r="F212" t="s">
        <v>36</v>
      </c>
      <c r="G212" s="2">
        <v>60</v>
      </c>
      <c r="H212">
        <v>33</v>
      </c>
      <c r="I212">
        <v>0.25734499999999999</v>
      </c>
    </row>
    <row r="213" spans="1:9" x14ac:dyDescent="0.25">
      <c r="A213">
        <v>2000050506</v>
      </c>
      <c r="B213" t="s">
        <v>226</v>
      </c>
      <c r="C213" t="s">
        <v>126</v>
      </c>
      <c r="D213" t="s">
        <v>127</v>
      </c>
      <c r="E213" s="2">
        <v>59.998800000000003</v>
      </c>
      <c r="F213" t="s">
        <v>36</v>
      </c>
      <c r="G213">
        <v>0</v>
      </c>
      <c r="H213" s="2">
        <v>0</v>
      </c>
      <c r="I213">
        <v>0.29917300000000002</v>
      </c>
    </row>
    <row r="214" spans="1:9" x14ac:dyDescent="0.25">
      <c r="A214">
        <v>2000050506</v>
      </c>
      <c r="B214" t="s">
        <v>226</v>
      </c>
      <c r="C214" t="s">
        <v>142</v>
      </c>
      <c r="D214" t="s">
        <v>143</v>
      </c>
      <c r="E214" s="2">
        <v>12</v>
      </c>
      <c r="F214" t="s">
        <v>36</v>
      </c>
      <c r="G214" s="2">
        <v>9</v>
      </c>
      <c r="H214">
        <v>0</v>
      </c>
      <c r="I214">
        <v>0.25750000000000001</v>
      </c>
    </row>
    <row r="215" spans="1:9" x14ac:dyDescent="0.25">
      <c r="A215">
        <v>2000050506</v>
      </c>
      <c r="B215" t="s">
        <v>226</v>
      </c>
      <c r="C215" t="s">
        <v>139</v>
      </c>
      <c r="D215" t="s">
        <v>140</v>
      </c>
      <c r="E215" s="2">
        <v>24</v>
      </c>
      <c r="F215" t="s">
        <v>36</v>
      </c>
      <c r="G215" s="2">
        <v>24</v>
      </c>
      <c r="H215" s="2">
        <v>0</v>
      </c>
      <c r="I215">
        <v>0.25791700000000001</v>
      </c>
    </row>
    <row r="216" spans="1:9" x14ac:dyDescent="0.25">
      <c r="A216">
        <v>2000050507</v>
      </c>
      <c r="B216" t="s">
        <v>227</v>
      </c>
      <c r="C216" t="s">
        <v>130</v>
      </c>
      <c r="D216" t="s">
        <v>131</v>
      </c>
      <c r="E216" s="2">
        <v>3.9600000000000003E-2</v>
      </c>
      <c r="F216" t="s">
        <v>36</v>
      </c>
      <c r="G216">
        <v>0</v>
      </c>
      <c r="H216" s="2">
        <v>0</v>
      </c>
      <c r="I216">
        <v>0.252525</v>
      </c>
    </row>
    <row r="217" spans="1:9" x14ac:dyDescent="0.25">
      <c r="A217">
        <v>2000050508</v>
      </c>
      <c r="B217" t="s">
        <v>228</v>
      </c>
      <c r="C217" t="s">
        <v>130</v>
      </c>
      <c r="D217" t="s">
        <v>131</v>
      </c>
      <c r="E217" s="2">
        <v>3.9600000000000003E-2</v>
      </c>
      <c r="F217" t="s">
        <v>36</v>
      </c>
      <c r="G217" s="2">
        <v>0</v>
      </c>
      <c r="H217">
        <v>0</v>
      </c>
      <c r="I217">
        <v>0.252525</v>
      </c>
    </row>
    <row r="218" spans="1:9" x14ac:dyDescent="0.25">
      <c r="A218">
        <v>2000050517</v>
      </c>
      <c r="B218" t="s">
        <v>229</v>
      </c>
      <c r="C218" t="s">
        <v>130</v>
      </c>
      <c r="D218" t="s">
        <v>131</v>
      </c>
      <c r="E218" s="2">
        <v>70</v>
      </c>
      <c r="F218" t="s">
        <v>230</v>
      </c>
      <c r="G218">
        <v>0</v>
      </c>
      <c r="H218">
        <v>0</v>
      </c>
      <c r="I218">
        <v>2.794</v>
      </c>
    </row>
    <row r="219" spans="1:9" x14ac:dyDescent="0.25">
      <c r="A219">
        <v>2000050534</v>
      </c>
      <c r="B219" t="s">
        <v>231</v>
      </c>
      <c r="C219" t="s">
        <v>126</v>
      </c>
      <c r="D219" t="s">
        <v>127</v>
      </c>
      <c r="E219" s="2">
        <v>40</v>
      </c>
      <c r="F219" t="s">
        <v>36</v>
      </c>
      <c r="G219" s="2">
        <v>0</v>
      </c>
      <c r="H219" s="2">
        <v>0</v>
      </c>
      <c r="I219">
        <v>0.3765</v>
      </c>
    </row>
    <row r="220" spans="1:9" x14ac:dyDescent="0.25">
      <c r="A220">
        <v>2000050548</v>
      </c>
      <c r="B220" t="s">
        <v>232</v>
      </c>
      <c r="C220" t="s">
        <v>126</v>
      </c>
      <c r="D220" t="s">
        <v>127</v>
      </c>
      <c r="E220" s="2">
        <v>4</v>
      </c>
      <c r="F220" t="s">
        <v>36</v>
      </c>
      <c r="G220">
        <v>0</v>
      </c>
      <c r="H220" s="2">
        <v>0</v>
      </c>
      <c r="I220">
        <v>0.13250000000000001</v>
      </c>
    </row>
    <row r="221" spans="1:9" x14ac:dyDescent="0.25">
      <c r="A221">
        <v>2000050562</v>
      </c>
      <c r="B221" t="s">
        <v>233</v>
      </c>
      <c r="C221" t="s">
        <v>126</v>
      </c>
      <c r="D221" t="s">
        <v>127</v>
      </c>
      <c r="E221" s="2">
        <v>48</v>
      </c>
      <c r="F221" t="s">
        <v>36</v>
      </c>
      <c r="G221">
        <v>0</v>
      </c>
      <c r="H221">
        <v>0</v>
      </c>
      <c r="I221">
        <v>0.16437499999999999</v>
      </c>
    </row>
    <row r="222" spans="1:9" x14ac:dyDescent="0.25">
      <c r="A222">
        <v>2000050574</v>
      </c>
      <c r="B222" t="s">
        <v>234</v>
      </c>
      <c r="C222" t="s">
        <v>126</v>
      </c>
      <c r="D222" t="s">
        <v>127</v>
      </c>
      <c r="E222" s="2">
        <v>28</v>
      </c>
      <c r="F222" t="s">
        <v>36</v>
      </c>
      <c r="G222" s="2">
        <v>0</v>
      </c>
      <c r="H222">
        <v>0</v>
      </c>
      <c r="I222">
        <v>1.2871429999999999</v>
      </c>
    </row>
    <row r="223" spans="1:9" x14ac:dyDescent="0.25">
      <c r="A223">
        <v>2000050576</v>
      </c>
      <c r="B223" t="s">
        <v>235</v>
      </c>
      <c r="C223" t="s">
        <v>126</v>
      </c>
      <c r="D223" t="s">
        <v>127</v>
      </c>
      <c r="E223" s="2">
        <v>984</v>
      </c>
      <c r="F223" t="s">
        <v>36</v>
      </c>
      <c r="G223">
        <v>0</v>
      </c>
      <c r="H223">
        <v>0</v>
      </c>
      <c r="I223">
        <v>1.3021039999999999</v>
      </c>
    </row>
    <row r="224" spans="1:9" x14ac:dyDescent="0.25">
      <c r="A224">
        <v>2000050578</v>
      </c>
      <c r="B224" t="s">
        <v>236</v>
      </c>
      <c r="C224" t="s">
        <v>126</v>
      </c>
      <c r="D224" t="s">
        <v>127</v>
      </c>
      <c r="E224" s="2">
        <v>17</v>
      </c>
      <c r="F224" t="s">
        <v>36</v>
      </c>
      <c r="G224">
        <v>0</v>
      </c>
      <c r="H224">
        <v>0</v>
      </c>
      <c r="I224">
        <v>1.416471</v>
      </c>
    </row>
    <row r="225" spans="1:9" x14ac:dyDescent="0.25">
      <c r="A225">
        <v>2000050580</v>
      </c>
      <c r="B225" t="s">
        <v>237</v>
      </c>
      <c r="C225" t="s">
        <v>126</v>
      </c>
      <c r="D225" t="s">
        <v>127</v>
      </c>
      <c r="E225" s="2">
        <v>264</v>
      </c>
      <c r="F225" t="s">
        <v>36</v>
      </c>
      <c r="G225">
        <v>0</v>
      </c>
      <c r="H225">
        <v>0</v>
      </c>
      <c r="I225">
        <v>1.475492</v>
      </c>
    </row>
    <row r="226" spans="1:9" x14ac:dyDescent="0.25">
      <c r="A226">
        <v>2000050581</v>
      </c>
      <c r="B226" t="s">
        <v>238</v>
      </c>
      <c r="C226" t="s">
        <v>126</v>
      </c>
      <c r="D226" t="s">
        <v>127</v>
      </c>
      <c r="E226" s="2">
        <v>329</v>
      </c>
      <c r="F226" t="s">
        <v>36</v>
      </c>
      <c r="G226">
        <v>0</v>
      </c>
      <c r="H226">
        <v>0</v>
      </c>
      <c r="I226">
        <v>1.4655320000000001</v>
      </c>
    </row>
    <row r="227" spans="1:9" x14ac:dyDescent="0.25">
      <c r="A227">
        <v>2000050582</v>
      </c>
      <c r="B227" t="s">
        <v>239</v>
      </c>
      <c r="C227" t="s">
        <v>126</v>
      </c>
      <c r="D227" t="s">
        <v>127</v>
      </c>
      <c r="E227" s="2">
        <v>98</v>
      </c>
      <c r="F227" t="s">
        <v>36</v>
      </c>
      <c r="G227">
        <v>0</v>
      </c>
      <c r="H227" s="2">
        <v>0</v>
      </c>
      <c r="I227">
        <v>1.2414289999999999</v>
      </c>
    </row>
    <row r="228" spans="1:9" x14ac:dyDescent="0.25">
      <c r="A228">
        <v>2000050584</v>
      </c>
      <c r="B228" t="s">
        <v>240</v>
      </c>
      <c r="C228" t="s">
        <v>199</v>
      </c>
      <c r="D228" t="s">
        <v>200</v>
      </c>
      <c r="E228" s="2">
        <v>2000</v>
      </c>
      <c r="F228" t="s">
        <v>36</v>
      </c>
      <c r="G228">
        <v>0</v>
      </c>
      <c r="H228" s="2">
        <v>2000</v>
      </c>
      <c r="I228">
        <v>0.158695</v>
      </c>
    </row>
    <row r="229" spans="1:9" x14ac:dyDescent="0.25">
      <c r="A229">
        <v>2000050584</v>
      </c>
      <c r="B229" t="s">
        <v>240</v>
      </c>
      <c r="C229" t="s">
        <v>130</v>
      </c>
      <c r="D229" t="s">
        <v>131</v>
      </c>
      <c r="E229" s="2">
        <v>14.6004</v>
      </c>
      <c r="F229" t="s">
        <v>36</v>
      </c>
      <c r="G229" s="2">
        <v>2244</v>
      </c>
      <c r="H229" s="2">
        <v>355748</v>
      </c>
      <c r="I229">
        <v>0.15890000000000001</v>
      </c>
    </row>
    <row r="230" spans="1:9" x14ac:dyDescent="0.25">
      <c r="A230">
        <v>2000050584</v>
      </c>
      <c r="B230" t="s">
        <v>240</v>
      </c>
      <c r="C230" t="s">
        <v>137</v>
      </c>
      <c r="D230" t="s">
        <v>138</v>
      </c>
      <c r="E230" s="2">
        <v>1560</v>
      </c>
      <c r="F230" t="s">
        <v>36</v>
      </c>
      <c r="G230">
        <v>0</v>
      </c>
      <c r="H230" s="2">
        <v>100</v>
      </c>
      <c r="I230">
        <v>0.158468</v>
      </c>
    </row>
    <row r="231" spans="1:9" x14ac:dyDescent="0.25">
      <c r="A231">
        <v>2000050584</v>
      </c>
      <c r="B231" t="s">
        <v>240</v>
      </c>
      <c r="C231" t="s">
        <v>139</v>
      </c>
      <c r="D231" t="s">
        <v>140</v>
      </c>
      <c r="E231" s="2">
        <v>630780</v>
      </c>
      <c r="F231" t="s">
        <v>36</v>
      </c>
      <c r="G231" s="2">
        <v>355748</v>
      </c>
      <c r="H231">
        <v>0</v>
      </c>
      <c r="I231">
        <v>0.158</v>
      </c>
    </row>
    <row r="232" spans="1:9" x14ac:dyDescent="0.25">
      <c r="A232">
        <v>2000050585</v>
      </c>
      <c r="B232" t="s">
        <v>241</v>
      </c>
      <c r="C232" t="s">
        <v>130</v>
      </c>
      <c r="D232" t="s">
        <v>131</v>
      </c>
      <c r="E232" s="2">
        <v>305.80040000000002</v>
      </c>
      <c r="F232" t="s">
        <v>36</v>
      </c>
      <c r="G232" s="2">
        <v>144</v>
      </c>
      <c r="H232" s="2">
        <v>129600</v>
      </c>
      <c r="I232">
        <v>0.17145199999999999</v>
      </c>
    </row>
    <row r="233" spans="1:9" x14ac:dyDescent="0.25">
      <c r="A233">
        <v>2000050585</v>
      </c>
      <c r="B233" t="s">
        <v>241</v>
      </c>
      <c r="C233" t="s">
        <v>137</v>
      </c>
      <c r="D233" t="s">
        <v>138</v>
      </c>
      <c r="E233" s="2">
        <v>1284</v>
      </c>
      <c r="F233" t="s">
        <v>36</v>
      </c>
      <c r="G233">
        <v>0</v>
      </c>
      <c r="H233">
        <v>0</v>
      </c>
      <c r="I233">
        <v>0.16453300000000001</v>
      </c>
    </row>
    <row r="234" spans="1:9" x14ac:dyDescent="0.25">
      <c r="A234">
        <v>2000050585</v>
      </c>
      <c r="B234" t="s">
        <v>241</v>
      </c>
      <c r="C234" t="s">
        <v>139</v>
      </c>
      <c r="D234" t="s">
        <v>140</v>
      </c>
      <c r="E234" s="2">
        <v>496728</v>
      </c>
      <c r="F234" t="s">
        <v>36</v>
      </c>
      <c r="G234" s="2">
        <v>129600</v>
      </c>
      <c r="H234" s="2">
        <v>0</v>
      </c>
      <c r="I234">
        <v>0.164049</v>
      </c>
    </row>
    <row r="235" spans="1:9" x14ac:dyDescent="0.25">
      <c r="A235">
        <v>2000050586</v>
      </c>
      <c r="B235" t="s">
        <v>242</v>
      </c>
      <c r="C235" t="s">
        <v>199</v>
      </c>
      <c r="D235" t="s">
        <v>200</v>
      </c>
      <c r="E235" s="2">
        <v>2000</v>
      </c>
      <c r="F235" t="s">
        <v>36</v>
      </c>
      <c r="G235">
        <v>0</v>
      </c>
      <c r="H235" s="2">
        <v>2000</v>
      </c>
      <c r="I235">
        <v>0.163025</v>
      </c>
    </row>
    <row r="236" spans="1:9" x14ac:dyDescent="0.25">
      <c r="A236">
        <v>2000050586</v>
      </c>
      <c r="B236" t="s">
        <v>242</v>
      </c>
      <c r="C236" t="s">
        <v>130</v>
      </c>
      <c r="D236" t="s">
        <v>131</v>
      </c>
      <c r="E236" s="2">
        <v>12.000400000000001</v>
      </c>
      <c r="F236" t="s">
        <v>36</v>
      </c>
      <c r="G236" s="2">
        <v>6464</v>
      </c>
      <c r="H236" s="2">
        <v>215988</v>
      </c>
      <c r="I236">
        <v>0.163328</v>
      </c>
    </row>
    <row r="237" spans="1:9" x14ac:dyDescent="0.25">
      <c r="A237">
        <v>2000050586</v>
      </c>
      <c r="B237" t="s">
        <v>242</v>
      </c>
      <c r="C237" t="s">
        <v>137</v>
      </c>
      <c r="D237" t="s">
        <v>138</v>
      </c>
      <c r="E237" s="2">
        <v>1464</v>
      </c>
      <c r="F237" t="s">
        <v>36</v>
      </c>
      <c r="G237">
        <v>0</v>
      </c>
      <c r="H237">
        <v>0</v>
      </c>
      <c r="I237">
        <v>0.16297800000000001</v>
      </c>
    </row>
    <row r="238" spans="1:9" x14ac:dyDescent="0.25">
      <c r="A238">
        <v>2000050586</v>
      </c>
      <c r="B238" t="s">
        <v>242</v>
      </c>
      <c r="C238" t="s">
        <v>151</v>
      </c>
      <c r="D238" t="s">
        <v>152</v>
      </c>
      <c r="E238" s="2">
        <v>0</v>
      </c>
      <c r="F238" t="s">
        <v>36</v>
      </c>
      <c r="G238">
        <v>0</v>
      </c>
      <c r="H238" s="2">
        <v>4320</v>
      </c>
      <c r="I238">
        <v>0.164162</v>
      </c>
    </row>
    <row r="239" spans="1:9" x14ac:dyDescent="0.25">
      <c r="A239">
        <v>2000050586</v>
      </c>
      <c r="B239" t="s">
        <v>242</v>
      </c>
      <c r="C239" t="s">
        <v>139</v>
      </c>
      <c r="D239" t="s">
        <v>140</v>
      </c>
      <c r="E239" s="2">
        <v>439398</v>
      </c>
      <c r="F239" t="s">
        <v>36</v>
      </c>
      <c r="G239" s="2">
        <v>215988</v>
      </c>
      <c r="H239" s="2">
        <v>0</v>
      </c>
      <c r="I239">
        <v>0.16284599999999999</v>
      </c>
    </row>
    <row r="240" spans="1:9" x14ac:dyDescent="0.25">
      <c r="A240">
        <v>2000050587</v>
      </c>
      <c r="B240" t="s">
        <v>243</v>
      </c>
      <c r="C240" t="s">
        <v>130</v>
      </c>
      <c r="D240" t="s">
        <v>131</v>
      </c>
      <c r="E240" s="2">
        <v>5</v>
      </c>
      <c r="F240" t="s">
        <v>230</v>
      </c>
      <c r="G240">
        <v>802</v>
      </c>
      <c r="H240">
        <v>0</v>
      </c>
      <c r="I240">
        <v>1.1399999999999999</v>
      </c>
    </row>
    <row r="241" spans="1:9" x14ac:dyDescent="0.25">
      <c r="A241">
        <v>2000050587</v>
      </c>
      <c r="B241" t="s">
        <v>243</v>
      </c>
      <c r="C241" t="s">
        <v>151</v>
      </c>
      <c r="D241" t="s">
        <v>152</v>
      </c>
      <c r="E241" s="2">
        <v>720</v>
      </c>
      <c r="F241" t="s">
        <v>230</v>
      </c>
      <c r="G241">
        <v>0</v>
      </c>
      <c r="H241">
        <v>0</v>
      </c>
      <c r="I241">
        <v>1.1392359999999999</v>
      </c>
    </row>
    <row r="242" spans="1:9" x14ac:dyDescent="0.25">
      <c r="A242">
        <v>2000050588</v>
      </c>
      <c r="B242" t="s">
        <v>244</v>
      </c>
      <c r="C242" t="s">
        <v>130</v>
      </c>
      <c r="D242" t="s">
        <v>131</v>
      </c>
      <c r="E242" s="2">
        <v>24</v>
      </c>
      <c r="F242" t="s">
        <v>36</v>
      </c>
      <c r="G242">
        <v>72</v>
      </c>
      <c r="H242">
        <v>0</v>
      </c>
      <c r="I242">
        <v>0.219167</v>
      </c>
    </row>
    <row r="243" spans="1:9" x14ac:dyDescent="0.25">
      <c r="A243">
        <v>2000050588</v>
      </c>
      <c r="B243" t="s">
        <v>244</v>
      </c>
      <c r="C243" t="s">
        <v>137</v>
      </c>
      <c r="D243" t="s">
        <v>138</v>
      </c>
      <c r="E243" s="2">
        <v>0</v>
      </c>
      <c r="F243" t="s">
        <v>36</v>
      </c>
      <c r="G243">
        <v>0</v>
      </c>
      <c r="H243">
        <v>72</v>
      </c>
      <c r="I243">
        <v>0.21909100000000001</v>
      </c>
    </row>
    <row r="244" spans="1:9" x14ac:dyDescent="0.25">
      <c r="A244">
        <v>2000050589</v>
      </c>
      <c r="B244" t="s">
        <v>245</v>
      </c>
      <c r="C244" t="s">
        <v>130</v>
      </c>
      <c r="D244" t="s">
        <v>131</v>
      </c>
      <c r="E244" s="2">
        <v>11</v>
      </c>
      <c r="F244" t="s">
        <v>36</v>
      </c>
      <c r="G244">
        <v>0</v>
      </c>
      <c r="H244">
        <v>0</v>
      </c>
      <c r="I244">
        <v>0.21909100000000001</v>
      </c>
    </row>
    <row r="245" spans="1:9" x14ac:dyDescent="0.25">
      <c r="A245">
        <v>2000050589</v>
      </c>
      <c r="B245" t="s">
        <v>245</v>
      </c>
      <c r="C245" t="s">
        <v>126</v>
      </c>
      <c r="D245" t="s">
        <v>127</v>
      </c>
      <c r="E245" s="2">
        <v>544</v>
      </c>
      <c r="F245" t="s">
        <v>36</v>
      </c>
      <c r="G245">
        <v>0</v>
      </c>
      <c r="H245">
        <v>0</v>
      </c>
      <c r="I245">
        <v>0.21926499999999999</v>
      </c>
    </row>
    <row r="246" spans="1:9" x14ac:dyDescent="0.25">
      <c r="A246">
        <v>2000050590</v>
      </c>
      <c r="B246" t="s">
        <v>246</v>
      </c>
      <c r="C246" t="s">
        <v>130</v>
      </c>
      <c r="D246" t="s">
        <v>131</v>
      </c>
      <c r="E246" s="2">
        <v>48</v>
      </c>
      <c r="F246" t="s">
        <v>36</v>
      </c>
      <c r="G246">
        <v>0</v>
      </c>
      <c r="H246">
        <v>0</v>
      </c>
      <c r="I246">
        <v>0.219167</v>
      </c>
    </row>
    <row r="247" spans="1:9" x14ac:dyDescent="0.25">
      <c r="A247">
        <v>2000050591</v>
      </c>
      <c r="B247" t="s">
        <v>247</v>
      </c>
      <c r="C247" t="s">
        <v>130</v>
      </c>
      <c r="D247" t="s">
        <v>131</v>
      </c>
      <c r="E247" s="2">
        <v>409</v>
      </c>
      <c r="F247" t="s">
        <v>147</v>
      </c>
      <c r="G247">
        <v>2</v>
      </c>
      <c r="H247" s="2">
        <v>0</v>
      </c>
      <c r="I247">
        <v>1.8955010000000001</v>
      </c>
    </row>
    <row r="248" spans="1:9" x14ac:dyDescent="0.25">
      <c r="A248">
        <v>2000050591</v>
      </c>
      <c r="B248" t="s">
        <v>247</v>
      </c>
      <c r="C248" t="s">
        <v>167</v>
      </c>
      <c r="D248" t="s">
        <v>168</v>
      </c>
      <c r="E248" s="2">
        <v>0</v>
      </c>
      <c r="F248" t="s">
        <v>147</v>
      </c>
      <c r="G248">
        <v>0</v>
      </c>
      <c r="H248">
        <v>1</v>
      </c>
      <c r="I248">
        <v>0</v>
      </c>
    </row>
    <row r="249" spans="1:9" x14ac:dyDescent="0.25">
      <c r="A249">
        <v>2000050591</v>
      </c>
      <c r="B249" t="s">
        <v>247</v>
      </c>
      <c r="C249" t="s">
        <v>137</v>
      </c>
      <c r="D249" t="s">
        <v>138</v>
      </c>
      <c r="E249" s="2">
        <v>0</v>
      </c>
      <c r="F249" t="s">
        <v>147</v>
      </c>
      <c r="G249">
        <v>0</v>
      </c>
      <c r="H249">
        <v>1</v>
      </c>
      <c r="I249">
        <v>0</v>
      </c>
    </row>
    <row r="250" spans="1:9" x14ac:dyDescent="0.25">
      <c r="A250">
        <v>2000050592</v>
      </c>
      <c r="B250" t="s">
        <v>248</v>
      </c>
      <c r="C250" t="s">
        <v>130</v>
      </c>
      <c r="D250" t="s">
        <v>131</v>
      </c>
      <c r="E250" s="2">
        <v>2</v>
      </c>
      <c r="F250" t="s">
        <v>36</v>
      </c>
      <c r="G250" s="2">
        <v>4320</v>
      </c>
      <c r="H250">
        <v>0</v>
      </c>
      <c r="I250">
        <v>0.315</v>
      </c>
    </row>
    <row r="251" spans="1:9" x14ac:dyDescent="0.25">
      <c r="A251">
        <v>2000050592</v>
      </c>
      <c r="B251" t="s">
        <v>248</v>
      </c>
      <c r="C251" t="s">
        <v>139</v>
      </c>
      <c r="D251" t="s">
        <v>140</v>
      </c>
      <c r="E251" s="2">
        <v>17028</v>
      </c>
      <c r="F251" t="s">
        <v>36</v>
      </c>
      <c r="G251">
        <v>0</v>
      </c>
      <c r="H251">
        <v>0</v>
      </c>
      <c r="I251">
        <v>0.31708599999999998</v>
      </c>
    </row>
    <row r="252" spans="1:9" x14ac:dyDescent="0.25">
      <c r="A252">
        <v>2000050593</v>
      </c>
      <c r="B252" t="s">
        <v>249</v>
      </c>
      <c r="C252" t="s">
        <v>130</v>
      </c>
      <c r="D252" t="s">
        <v>131</v>
      </c>
      <c r="E252" s="2">
        <v>350</v>
      </c>
      <c r="F252" t="s">
        <v>36</v>
      </c>
      <c r="G252" s="2">
        <v>2880</v>
      </c>
      <c r="H252">
        <v>0</v>
      </c>
      <c r="I252">
        <v>0.315</v>
      </c>
    </row>
    <row r="253" spans="1:9" x14ac:dyDescent="0.25">
      <c r="A253">
        <v>2000050593</v>
      </c>
      <c r="B253" t="s">
        <v>249</v>
      </c>
      <c r="C253" t="s">
        <v>139</v>
      </c>
      <c r="D253" t="s">
        <v>140</v>
      </c>
      <c r="E253" s="2">
        <v>10020</v>
      </c>
      <c r="F253" t="s">
        <v>36</v>
      </c>
      <c r="G253">
        <v>0</v>
      </c>
      <c r="H253">
        <v>0</v>
      </c>
      <c r="I253">
        <v>0.31708599999999998</v>
      </c>
    </row>
    <row r="254" spans="1:9" x14ac:dyDescent="0.25">
      <c r="A254">
        <v>2000050594</v>
      </c>
      <c r="B254" t="s">
        <v>250</v>
      </c>
      <c r="C254" t="s">
        <v>130</v>
      </c>
      <c r="D254" t="s">
        <v>131</v>
      </c>
      <c r="E254" s="2">
        <v>505</v>
      </c>
      <c r="F254" t="s">
        <v>36</v>
      </c>
      <c r="G254" s="2">
        <v>2880</v>
      </c>
      <c r="H254">
        <v>0</v>
      </c>
      <c r="I254">
        <v>0.32</v>
      </c>
    </row>
    <row r="255" spans="1:9" x14ac:dyDescent="0.25">
      <c r="A255">
        <v>2000050594</v>
      </c>
      <c r="B255" t="s">
        <v>250</v>
      </c>
      <c r="C255" t="s">
        <v>139</v>
      </c>
      <c r="D255" t="s">
        <v>140</v>
      </c>
      <c r="E255" s="2">
        <v>10314</v>
      </c>
      <c r="F255" t="s">
        <v>36</v>
      </c>
      <c r="G255">
        <v>0</v>
      </c>
      <c r="H255">
        <v>0</v>
      </c>
      <c r="I255">
        <v>0.31708599999999998</v>
      </c>
    </row>
    <row r="256" spans="1:9" x14ac:dyDescent="0.25">
      <c r="A256">
        <v>2000050595</v>
      </c>
      <c r="B256" t="s">
        <v>251</v>
      </c>
      <c r="C256" t="s">
        <v>130</v>
      </c>
      <c r="D256" t="s">
        <v>131</v>
      </c>
      <c r="E256" s="2">
        <v>15</v>
      </c>
      <c r="F256" t="s">
        <v>230</v>
      </c>
      <c r="G256" s="2">
        <v>99</v>
      </c>
      <c r="H256" s="2">
        <v>13209</v>
      </c>
      <c r="I256">
        <v>2.1766670000000001</v>
      </c>
    </row>
    <row r="257" spans="1:9" x14ac:dyDescent="0.25">
      <c r="A257">
        <v>2000050595</v>
      </c>
      <c r="B257" t="s">
        <v>251</v>
      </c>
      <c r="C257" t="s">
        <v>137</v>
      </c>
      <c r="D257" t="s">
        <v>138</v>
      </c>
      <c r="E257" s="2">
        <v>68</v>
      </c>
      <c r="F257" t="s">
        <v>230</v>
      </c>
      <c r="G257" s="2">
        <v>0</v>
      </c>
      <c r="H257">
        <v>3</v>
      </c>
      <c r="I257">
        <v>2.2413240000000001</v>
      </c>
    </row>
    <row r="258" spans="1:9" x14ac:dyDescent="0.25">
      <c r="A258">
        <v>2000050595</v>
      </c>
      <c r="B258" t="s">
        <v>251</v>
      </c>
      <c r="C258" t="s">
        <v>151</v>
      </c>
      <c r="D258" t="s">
        <v>152</v>
      </c>
      <c r="E258" s="2">
        <v>2500</v>
      </c>
      <c r="F258" t="s">
        <v>230</v>
      </c>
      <c r="G258">
        <v>0</v>
      </c>
      <c r="H258" s="2">
        <v>0</v>
      </c>
      <c r="I258">
        <v>2.1789200000000002</v>
      </c>
    </row>
    <row r="259" spans="1:9" x14ac:dyDescent="0.25">
      <c r="A259">
        <v>2000050595</v>
      </c>
      <c r="B259" t="s">
        <v>251</v>
      </c>
      <c r="C259" t="s">
        <v>139</v>
      </c>
      <c r="D259" t="s">
        <v>140</v>
      </c>
      <c r="E259" s="2">
        <v>18146</v>
      </c>
      <c r="F259" t="s">
        <v>230</v>
      </c>
      <c r="G259" s="2">
        <v>13209</v>
      </c>
      <c r="H259">
        <v>0</v>
      </c>
      <c r="I259">
        <v>2.1789179999999999</v>
      </c>
    </row>
    <row r="260" spans="1:9" x14ac:dyDescent="0.25">
      <c r="A260">
        <v>2000050596</v>
      </c>
      <c r="B260" t="s">
        <v>252</v>
      </c>
      <c r="C260" t="s">
        <v>130</v>
      </c>
      <c r="D260" t="s">
        <v>131</v>
      </c>
      <c r="E260" s="2">
        <v>19</v>
      </c>
      <c r="F260" t="s">
        <v>230</v>
      </c>
      <c r="G260" s="2">
        <v>472</v>
      </c>
      <c r="H260">
        <v>0</v>
      </c>
      <c r="I260">
        <v>1.208421</v>
      </c>
    </row>
    <row r="261" spans="1:9" x14ac:dyDescent="0.25">
      <c r="A261">
        <v>2000050596</v>
      </c>
      <c r="B261" t="s">
        <v>252</v>
      </c>
      <c r="C261" t="s">
        <v>137</v>
      </c>
      <c r="D261" t="s">
        <v>138</v>
      </c>
      <c r="E261" s="2">
        <v>36</v>
      </c>
      <c r="F261" t="s">
        <v>230</v>
      </c>
      <c r="G261">
        <v>0</v>
      </c>
      <c r="H261" s="2">
        <v>0</v>
      </c>
      <c r="I261">
        <v>1.2083330000000001</v>
      </c>
    </row>
    <row r="262" spans="1:9" x14ac:dyDescent="0.25">
      <c r="A262">
        <v>2000050596</v>
      </c>
      <c r="B262" t="s">
        <v>252</v>
      </c>
      <c r="C262" t="s">
        <v>151</v>
      </c>
      <c r="D262" t="s">
        <v>152</v>
      </c>
      <c r="E262" s="2">
        <v>1476</v>
      </c>
      <c r="F262" t="s">
        <v>230</v>
      </c>
      <c r="G262">
        <v>0</v>
      </c>
      <c r="H262">
        <v>0</v>
      </c>
      <c r="I262">
        <v>1.2083330000000001</v>
      </c>
    </row>
    <row r="263" spans="1:9" x14ac:dyDescent="0.25">
      <c r="A263">
        <v>2000050597</v>
      </c>
      <c r="B263" t="s">
        <v>253</v>
      </c>
      <c r="C263" t="s">
        <v>130</v>
      </c>
      <c r="D263" t="s">
        <v>131</v>
      </c>
      <c r="E263" s="2">
        <v>576</v>
      </c>
      <c r="F263" t="s">
        <v>147</v>
      </c>
      <c r="G263">
        <v>2</v>
      </c>
      <c r="H263">
        <v>0</v>
      </c>
      <c r="I263">
        <v>1.3779170000000001</v>
      </c>
    </row>
    <row r="264" spans="1:9" x14ac:dyDescent="0.25">
      <c r="A264">
        <v>2000050597</v>
      </c>
      <c r="B264" t="s">
        <v>253</v>
      </c>
      <c r="C264" t="s">
        <v>167</v>
      </c>
      <c r="D264" t="s">
        <v>168</v>
      </c>
      <c r="E264" s="2">
        <v>0</v>
      </c>
      <c r="F264" t="s">
        <v>147</v>
      </c>
      <c r="G264" s="2">
        <v>0</v>
      </c>
      <c r="H264">
        <v>1</v>
      </c>
      <c r="I264">
        <v>0</v>
      </c>
    </row>
    <row r="265" spans="1:9" x14ac:dyDescent="0.25">
      <c r="A265">
        <v>2000050597</v>
      </c>
      <c r="B265" t="s">
        <v>253</v>
      </c>
      <c r="C265" t="s">
        <v>137</v>
      </c>
      <c r="D265" t="s">
        <v>138</v>
      </c>
      <c r="E265" s="2">
        <v>0</v>
      </c>
      <c r="F265" t="s">
        <v>147</v>
      </c>
      <c r="G265" s="2">
        <v>0</v>
      </c>
      <c r="H265">
        <v>1</v>
      </c>
      <c r="I265">
        <v>0</v>
      </c>
    </row>
    <row r="266" spans="1:9" x14ac:dyDescent="0.25">
      <c r="A266">
        <v>2000050598</v>
      </c>
      <c r="B266" t="s">
        <v>254</v>
      </c>
      <c r="C266" t="s">
        <v>130</v>
      </c>
      <c r="D266" t="s">
        <v>131</v>
      </c>
      <c r="E266" s="2">
        <v>408</v>
      </c>
      <c r="F266" t="s">
        <v>36</v>
      </c>
      <c r="G266" s="2">
        <v>3120</v>
      </c>
      <c r="H266">
        <v>0</v>
      </c>
      <c r="I266">
        <v>0.190833</v>
      </c>
    </row>
    <row r="267" spans="1:9" x14ac:dyDescent="0.25">
      <c r="A267">
        <v>2000050598</v>
      </c>
      <c r="B267" t="s">
        <v>254</v>
      </c>
      <c r="C267" t="s">
        <v>139</v>
      </c>
      <c r="D267" t="s">
        <v>140</v>
      </c>
      <c r="E267" s="2">
        <v>41684</v>
      </c>
      <c r="F267" t="s">
        <v>36</v>
      </c>
      <c r="G267" s="2">
        <v>0</v>
      </c>
      <c r="H267" s="2">
        <v>2880</v>
      </c>
      <c r="I267">
        <v>0.17785799999999999</v>
      </c>
    </row>
    <row r="268" spans="1:9" x14ac:dyDescent="0.25">
      <c r="A268">
        <v>2000050599</v>
      </c>
      <c r="B268" t="s">
        <v>255</v>
      </c>
      <c r="C268" t="s">
        <v>130</v>
      </c>
      <c r="D268" t="s">
        <v>131</v>
      </c>
      <c r="E268" s="2">
        <v>5</v>
      </c>
      <c r="F268" t="s">
        <v>36</v>
      </c>
      <c r="G268">
        <v>168</v>
      </c>
      <c r="H268">
        <v>0</v>
      </c>
      <c r="I268">
        <v>0.192</v>
      </c>
    </row>
    <row r="269" spans="1:9" x14ac:dyDescent="0.25">
      <c r="A269">
        <v>2000050599</v>
      </c>
      <c r="B269" t="s">
        <v>255</v>
      </c>
      <c r="C269" t="s">
        <v>137</v>
      </c>
      <c r="D269" t="s">
        <v>138</v>
      </c>
      <c r="E269" s="2">
        <v>2</v>
      </c>
      <c r="F269" t="s">
        <v>36</v>
      </c>
      <c r="G269" s="2">
        <v>0</v>
      </c>
      <c r="H269" s="2">
        <v>0</v>
      </c>
      <c r="I269">
        <v>0.19</v>
      </c>
    </row>
    <row r="270" spans="1:9" x14ac:dyDescent="0.25">
      <c r="A270">
        <v>2000050599</v>
      </c>
      <c r="B270" t="s">
        <v>255</v>
      </c>
      <c r="C270" t="s">
        <v>139</v>
      </c>
      <c r="D270" t="s">
        <v>140</v>
      </c>
      <c r="E270" s="2">
        <v>24798</v>
      </c>
      <c r="F270" t="s">
        <v>36</v>
      </c>
      <c r="G270">
        <v>0</v>
      </c>
      <c r="H270">
        <v>0</v>
      </c>
      <c r="I270">
        <v>0.178178</v>
      </c>
    </row>
    <row r="271" spans="1:9" x14ac:dyDescent="0.25">
      <c r="A271">
        <v>2000050600</v>
      </c>
      <c r="B271" t="s">
        <v>256</v>
      </c>
      <c r="C271" t="s">
        <v>130</v>
      </c>
      <c r="D271" t="s">
        <v>131</v>
      </c>
      <c r="E271" s="2">
        <v>14618</v>
      </c>
      <c r="F271" t="s">
        <v>36</v>
      </c>
      <c r="G271" s="2">
        <v>96</v>
      </c>
      <c r="H271" s="2">
        <v>64800</v>
      </c>
      <c r="I271">
        <v>0.177957</v>
      </c>
    </row>
    <row r="272" spans="1:9" x14ac:dyDescent="0.25">
      <c r="A272">
        <v>2000050600</v>
      </c>
      <c r="B272" t="s">
        <v>256</v>
      </c>
      <c r="C272" t="s">
        <v>139</v>
      </c>
      <c r="D272" t="s">
        <v>140</v>
      </c>
      <c r="E272" s="2">
        <v>6480</v>
      </c>
      <c r="F272" t="s">
        <v>36</v>
      </c>
      <c r="G272" s="2">
        <v>64800</v>
      </c>
      <c r="H272">
        <v>0</v>
      </c>
      <c r="I272">
        <v>0.17787500000000001</v>
      </c>
    </row>
    <row r="273" spans="1:9" x14ac:dyDescent="0.25">
      <c r="A273">
        <v>2000050601</v>
      </c>
      <c r="B273" t="s">
        <v>257</v>
      </c>
      <c r="C273" t="s">
        <v>130</v>
      </c>
      <c r="D273" t="s">
        <v>131</v>
      </c>
      <c r="E273" s="2">
        <v>8</v>
      </c>
      <c r="F273" t="s">
        <v>36</v>
      </c>
      <c r="G273" s="2">
        <v>4150</v>
      </c>
      <c r="H273" s="2">
        <v>1954399</v>
      </c>
      <c r="I273">
        <v>0.16375000000000001</v>
      </c>
    </row>
    <row r="274" spans="1:9" x14ac:dyDescent="0.25">
      <c r="A274">
        <v>2000050601</v>
      </c>
      <c r="B274" t="s">
        <v>257</v>
      </c>
      <c r="C274" t="s">
        <v>258</v>
      </c>
      <c r="D274" t="s">
        <v>259</v>
      </c>
      <c r="E274" s="2">
        <v>0</v>
      </c>
      <c r="F274" t="s">
        <v>36</v>
      </c>
      <c r="G274">
        <v>0</v>
      </c>
      <c r="H274">
        <v>750</v>
      </c>
      <c r="I274">
        <v>0</v>
      </c>
    </row>
    <row r="275" spans="1:9" x14ac:dyDescent="0.25">
      <c r="A275">
        <v>2000050601</v>
      </c>
      <c r="B275" t="s">
        <v>257</v>
      </c>
      <c r="C275" t="s">
        <v>137</v>
      </c>
      <c r="D275" t="s">
        <v>138</v>
      </c>
      <c r="E275" s="2">
        <v>8450</v>
      </c>
      <c r="F275" t="s">
        <v>36</v>
      </c>
      <c r="G275" s="2">
        <v>0</v>
      </c>
      <c r="H275" s="2">
        <v>1250</v>
      </c>
      <c r="I275">
        <v>0.16454099999999999</v>
      </c>
    </row>
    <row r="276" spans="1:9" x14ac:dyDescent="0.25">
      <c r="A276">
        <v>2000050601</v>
      </c>
      <c r="B276" t="s">
        <v>257</v>
      </c>
      <c r="C276" t="s">
        <v>139</v>
      </c>
      <c r="D276" t="s">
        <v>140</v>
      </c>
      <c r="E276" s="2">
        <v>2081305</v>
      </c>
      <c r="F276" t="s">
        <v>36</v>
      </c>
      <c r="G276" s="2">
        <v>1954399</v>
      </c>
      <c r="H276">
        <v>0</v>
      </c>
      <c r="I276">
        <v>0.16395899999999999</v>
      </c>
    </row>
    <row r="277" spans="1:9" x14ac:dyDescent="0.25">
      <c r="A277">
        <v>2000050601</v>
      </c>
      <c r="B277" t="s">
        <v>257</v>
      </c>
      <c r="C277" t="s">
        <v>144</v>
      </c>
      <c r="D277" t="s">
        <v>145</v>
      </c>
      <c r="E277" s="2">
        <v>1000</v>
      </c>
      <c r="F277" t="s">
        <v>36</v>
      </c>
      <c r="G277" s="2">
        <v>0</v>
      </c>
      <c r="H277">
        <v>0</v>
      </c>
      <c r="I277">
        <v>0.16395999999999999</v>
      </c>
    </row>
    <row r="278" spans="1:9" x14ac:dyDescent="0.25">
      <c r="A278">
        <v>2000050602</v>
      </c>
      <c r="B278" t="s">
        <v>260</v>
      </c>
      <c r="C278" t="s">
        <v>130</v>
      </c>
      <c r="D278" t="s">
        <v>131</v>
      </c>
      <c r="E278" s="2">
        <v>11</v>
      </c>
      <c r="F278" t="s">
        <v>36</v>
      </c>
      <c r="G278" s="2">
        <v>1500</v>
      </c>
      <c r="H278" s="2">
        <v>869399</v>
      </c>
      <c r="I278">
        <v>0.164545</v>
      </c>
    </row>
    <row r="279" spans="1:9" x14ac:dyDescent="0.25">
      <c r="A279">
        <v>2000050602</v>
      </c>
      <c r="B279" t="s">
        <v>260</v>
      </c>
      <c r="C279" t="s">
        <v>258</v>
      </c>
      <c r="D279" t="s">
        <v>259</v>
      </c>
      <c r="E279" s="2">
        <v>0</v>
      </c>
      <c r="F279" t="s">
        <v>36</v>
      </c>
      <c r="G279">
        <v>0</v>
      </c>
      <c r="H279">
        <v>750</v>
      </c>
      <c r="I279">
        <v>0</v>
      </c>
    </row>
    <row r="280" spans="1:9" x14ac:dyDescent="0.25">
      <c r="A280">
        <v>2000050602</v>
      </c>
      <c r="B280" t="s">
        <v>260</v>
      </c>
      <c r="C280" t="s">
        <v>137</v>
      </c>
      <c r="D280" t="s">
        <v>138</v>
      </c>
      <c r="E280" s="2">
        <v>9950</v>
      </c>
      <c r="F280" t="s">
        <v>36</v>
      </c>
      <c r="G280">
        <v>0</v>
      </c>
      <c r="H280" s="2">
        <v>1400</v>
      </c>
      <c r="I280">
        <v>0.164216</v>
      </c>
    </row>
    <row r="281" spans="1:9" x14ac:dyDescent="0.25">
      <c r="A281">
        <v>2000050602</v>
      </c>
      <c r="B281" t="s">
        <v>260</v>
      </c>
      <c r="C281" t="s">
        <v>139</v>
      </c>
      <c r="D281" t="s">
        <v>140</v>
      </c>
      <c r="E281" s="2">
        <v>772441</v>
      </c>
      <c r="F281" t="s">
        <v>36</v>
      </c>
      <c r="G281" s="2">
        <v>869399</v>
      </c>
      <c r="H281" s="2">
        <v>0</v>
      </c>
      <c r="I281">
        <v>0.16409299999999999</v>
      </c>
    </row>
    <row r="282" spans="1:9" x14ac:dyDescent="0.25">
      <c r="A282">
        <v>2000050603</v>
      </c>
      <c r="B282" t="s">
        <v>261</v>
      </c>
      <c r="C282" t="s">
        <v>130</v>
      </c>
      <c r="D282" t="s">
        <v>131</v>
      </c>
      <c r="E282" s="2">
        <v>34</v>
      </c>
      <c r="F282" t="s">
        <v>36</v>
      </c>
      <c r="G282" s="2">
        <v>79650</v>
      </c>
      <c r="H282" s="2">
        <v>1090599</v>
      </c>
      <c r="I282">
        <v>0.163824</v>
      </c>
    </row>
    <row r="283" spans="1:9" x14ac:dyDescent="0.25">
      <c r="A283">
        <v>2000050603</v>
      </c>
      <c r="B283" t="s">
        <v>261</v>
      </c>
      <c r="C283" t="s">
        <v>258</v>
      </c>
      <c r="D283" t="s">
        <v>259</v>
      </c>
      <c r="E283" s="2">
        <v>0</v>
      </c>
      <c r="F283" t="s">
        <v>36</v>
      </c>
      <c r="G283">
        <v>0</v>
      </c>
      <c r="H283" s="2">
        <v>700</v>
      </c>
      <c r="I283">
        <v>0</v>
      </c>
    </row>
    <row r="284" spans="1:9" x14ac:dyDescent="0.25">
      <c r="A284">
        <v>2000050603</v>
      </c>
      <c r="B284" t="s">
        <v>261</v>
      </c>
      <c r="C284" t="s">
        <v>137</v>
      </c>
      <c r="D284" t="s">
        <v>138</v>
      </c>
      <c r="E284" s="2">
        <v>9900</v>
      </c>
      <c r="F284" t="s">
        <v>36</v>
      </c>
      <c r="G284" s="2">
        <v>0</v>
      </c>
      <c r="H284" s="2">
        <v>1150</v>
      </c>
      <c r="I284">
        <v>0.163853</v>
      </c>
    </row>
    <row r="285" spans="1:9" x14ac:dyDescent="0.25">
      <c r="A285">
        <v>2000050603</v>
      </c>
      <c r="B285" t="s">
        <v>261</v>
      </c>
      <c r="C285" t="s">
        <v>151</v>
      </c>
      <c r="D285" t="s">
        <v>152</v>
      </c>
      <c r="E285" s="2">
        <v>0</v>
      </c>
      <c r="F285" t="s">
        <v>36</v>
      </c>
      <c r="G285" s="2">
        <v>0</v>
      </c>
      <c r="H285" s="2">
        <v>78400</v>
      </c>
      <c r="I285">
        <v>0.163831</v>
      </c>
    </row>
    <row r="286" spans="1:9" x14ac:dyDescent="0.25">
      <c r="A286">
        <v>2000050603</v>
      </c>
      <c r="B286" t="s">
        <v>261</v>
      </c>
      <c r="C286" t="s">
        <v>139</v>
      </c>
      <c r="D286" t="s">
        <v>140</v>
      </c>
      <c r="E286" s="2">
        <v>1180811</v>
      </c>
      <c r="F286" t="s">
        <v>36</v>
      </c>
      <c r="G286" s="2">
        <v>1090599</v>
      </c>
      <c r="H286">
        <v>0</v>
      </c>
      <c r="I286">
        <v>0.163831</v>
      </c>
    </row>
    <row r="287" spans="1:9" x14ac:dyDescent="0.25">
      <c r="A287">
        <v>2000050603</v>
      </c>
      <c r="B287" t="s">
        <v>261</v>
      </c>
      <c r="C287" t="s">
        <v>144</v>
      </c>
      <c r="D287" t="s">
        <v>145</v>
      </c>
      <c r="E287" s="2">
        <v>1000</v>
      </c>
      <c r="F287" t="s">
        <v>36</v>
      </c>
      <c r="G287">
        <v>0</v>
      </c>
      <c r="H287" s="2">
        <v>0</v>
      </c>
      <c r="I287">
        <v>0.16383</v>
      </c>
    </row>
    <row r="288" spans="1:9" x14ac:dyDescent="0.25">
      <c r="A288">
        <v>2000050604</v>
      </c>
      <c r="B288" t="s">
        <v>262</v>
      </c>
      <c r="C288" t="s">
        <v>130</v>
      </c>
      <c r="D288" t="s">
        <v>131</v>
      </c>
      <c r="E288" s="2">
        <v>362</v>
      </c>
      <c r="F288" t="s">
        <v>36</v>
      </c>
      <c r="G288" s="2">
        <v>94301</v>
      </c>
      <c r="H288">
        <v>0</v>
      </c>
      <c r="I288">
        <v>0.173398</v>
      </c>
    </row>
    <row r="289" spans="1:9" x14ac:dyDescent="0.25">
      <c r="A289">
        <v>2000050604</v>
      </c>
      <c r="B289" t="s">
        <v>262</v>
      </c>
      <c r="C289" t="s">
        <v>258</v>
      </c>
      <c r="D289" t="s">
        <v>259</v>
      </c>
      <c r="E289" s="2">
        <v>50</v>
      </c>
      <c r="F289" t="s">
        <v>36</v>
      </c>
      <c r="G289">
        <v>0</v>
      </c>
      <c r="H289">
        <v>0</v>
      </c>
      <c r="I289">
        <v>0.1734</v>
      </c>
    </row>
    <row r="290" spans="1:9" x14ac:dyDescent="0.25">
      <c r="A290">
        <v>2000050604</v>
      </c>
      <c r="B290" t="s">
        <v>262</v>
      </c>
      <c r="C290" t="s">
        <v>137</v>
      </c>
      <c r="D290" t="s">
        <v>138</v>
      </c>
      <c r="E290" s="2">
        <v>1</v>
      </c>
      <c r="F290" t="s">
        <v>36</v>
      </c>
      <c r="G290">
        <v>0</v>
      </c>
      <c r="H290" s="2">
        <v>0</v>
      </c>
      <c r="I290">
        <v>0.17</v>
      </c>
    </row>
    <row r="291" spans="1:9" x14ac:dyDescent="0.25">
      <c r="A291">
        <v>2000050604</v>
      </c>
      <c r="B291" t="s">
        <v>262</v>
      </c>
      <c r="C291" t="s">
        <v>139</v>
      </c>
      <c r="D291" t="s">
        <v>140</v>
      </c>
      <c r="E291" s="2">
        <v>31</v>
      </c>
      <c r="F291" t="s">
        <v>36</v>
      </c>
      <c r="G291" s="2">
        <v>0</v>
      </c>
      <c r="H291">
        <v>0</v>
      </c>
      <c r="I291">
        <v>0.17354800000000001</v>
      </c>
    </row>
    <row r="292" spans="1:9" x14ac:dyDescent="0.25">
      <c r="A292">
        <v>2000050605</v>
      </c>
      <c r="B292" t="s">
        <v>263</v>
      </c>
      <c r="C292" t="s">
        <v>130</v>
      </c>
      <c r="D292" t="s">
        <v>131</v>
      </c>
      <c r="E292" s="2">
        <v>8</v>
      </c>
      <c r="F292" t="s">
        <v>36</v>
      </c>
      <c r="G292" s="2">
        <v>46262</v>
      </c>
      <c r="H292">
        <v>0</v>
      </c>
      <c r="I292">
        <v>0.17374999999999999</v>
      </c>
    </row>
    <row r="293" spans="1:9" x14ac:dyDescent="0.25">
      <c r="A293">
        <v>2000050605</v>
      </c>
      <c r="B293" t="s">
        <v>263</v>
      </c>
      <c r="C293" t="s">
        <v>258</v>
      </c>
      <c r="D293" t="s">
        <v>259</v>
      </c>
      <c r="E293" s="2">
        <v>50</v>
      </c>
      <c r="F293" t="s">
        <v>36</v>
      </c>
      <c r="G293">
        <v>0</v>
      </c>
      <c r="H293">
        <v>0</v>
      </c>
      <c r="I293">
        <v>0.1734</v>
      </c>
    </row>
    <row r="294" spans="1:9" x14ac:dyDescent="0.25">
      <c r="A294">
        <v>2000050605</v>
      </c>
      <c r="B294" t="s">
        <v>263</v>
      </c>
      <c r="C294" t="s">
        <v>137</v>
      </c>
      <c r="D294" t="s">
        <v>138</v>
      </c>
      <c r="E294" s="2">
        <v>2</v>
      </c>
      <c r="F294" t="s">
        <v>36</v>
      </c>
      <c r="G294">
        <v>0</v>
      </c>
      <c r="H294" s="2">
        <v>312</v>
      </c>
      <c r="I294">
        <v>0.17</v>
      </c>
    </row>
    <row r="295" spans="1:9" x14ac:dyDescent="0.25">
      <c r="A295">
        <v>2000050605</v>
      </c>
      <c r="B295" t="s">
        <v>263</v>
      </c>
      <c r="C295" t="s">
        <v>139</v>
      </c>
      <c r="D295" t="s">
        <v>140</v>
      </c>
      <c r="E295" s="2">
        <v>36</v>
      </c>
      <c r="F295" t="s">
        <v>36</v>
      </c>
      <c r="G295">
        <v>0</v>
      </c>
      <c r="H295">
        <v>0</v>
      </c>
      <c r="I295">
        <v>0.17333299999999999</v>
      </c>
    </row>
    <row r="296" spans="1:9" x14ac:dyDescent="0.25">
      <c r="A296">
        <v>2000050606</v>
      </c>
      <c r="B296" t="s">
        <v>264</v>
      </c>
      <c r="C296" t="s">
        <v>130</v>
      </c>
      <c r="D296" t="s">
        <v>131</v>
      </c>
      <c r="E296" s="2">
        <v>3</v>
      </c>
      <c r="F296" t="s">
        <v>36</v>
      </c>
      <c r="G296" s="2">
        <v>42780</v>
      </c>
      <c r="H296" s="2">
        <v>0</v>
      </c>
      <c r="I296">
        <v>0.17333299999999999</v>
      </c>
    </row>
    <row r="297" spans="1:9" x14ac:dyDescent="0.25">
      <c r="A297">
        <v>2000050606</v>
      </c>
      <c r="B297" t="s">
        <v>264</v>
      </c>
      <c r="C297" t="s">
        <v>258</v>
      </c>
      <c r="D297" t="s">
        <v>259</v>
      </c>
      <c r="E297" s="2">
        <v>50</v>
      </c>
      <c r="F297" t="s">
        <v>36</v>
      </c>
      <c r="G297">
        <v>0</v>
      </c>
      <c r="H297">
        <v>0</v>
      </c>
      <c r="I297">
        <v>0.1734</v>
      </c>
    </row>
    <row r="298" spans="1:9" x14ac:dyDescent="0.25">
      <c r="A298">
        <v>2000050606</v>
      </c>
      <c r="B298" t="s">
        <v>264</v>
      </c>
      <c r="C298" t="s">
        <v>137</v>
      </c>
      <c r="D298" t="s">
        <v>138</v>
      </c>
      <c r="E298" s="2">
        <v>1</v>
      </c>
      <c r="F298" t="s">
        <v>36</v>
      </c>
      <c r="G298">
        <v>0</v>
      </c>
      <c r="H298">
        <v>0</v>
      </c>
      <c r="I298">
        <v>0.17</v>
      </c>
    </row>
    <row r="299" spans="1:9" x14ac:dyDescent="0.25">
      <c r="A299">
        <v>2000050606</v>
      </c>
      <c r="B299" t="s">
        <v>264</v>
      </c>
      <c r="C299" t="s">
        <v>139</v>
      </c>
      <c r="D299" t="s">
        <v>140</v>
      </c>
      <c r="E299" s="2">
        <v>28</v>
      </c>
      <c r="F299" t="s">
        <v>36</v>
      </c>
      <c r="G299">
        <v>0</v>
      </c>
      <c r="H299">
        <v>0</v>
      </c>
      <c r="I299">
        <v>0.173571</v>
      </c>
    </row>
    <row r="300" spans="1:9" x14ac:dyDescent="0.25">
      <c r="A300">
        <v>2000060072</v>
      </c>
      <c r="B300" t="s">
        <v>266</v>
      </c>
      <c r="C300" t="s">
        <v>126</v>
      </c>
      <c r="D300" t="s">
        <v>127</v>
      </c>
      <c r="E300" s="2">
        <v>276</v>
      </c>
      <c r="F300" t="s">
        <v>36</v>
      </c>
      <c r="G300">
        <v>0</v>
      </c>
      <c r="H300">
        <v>0</v>
      </c>
      <c r="I300">
        <v>0.59166700000000005</v>
      </c>
    </row>
    <row r="301" spans="1:9" x14ac:dyDescent="0.25">
      <c r="A301">
        <v>2000060072</v>
      </c>
      <c r="B301" t="s">
        <v>266</v>
      </c>
      <c r="C301" t="s">
        <v>157</v>
      </c>
      <c r="D301" t="s">
        <v>158</v>
      </c>
      <c r="E301" s="2">
        <v>3201.9996000000001</v>
      </c>
      <c r="F301" t="s">
        <v>36</v>
      </c>
      <c r="G301" s="2">
        <v>0</v>
      </c>
      <c r="H301">
        <v>0</v>
      </c>
      <c r="I301">
        <v>0.59165800000000002</v>
      </c>
    </row>
    <row r="302" spans="1:9" x14ac:dyDescent="0.25">
      <c r="A302">
        <v>2000060074</v>
      </c>
      <c r="B302" t="s">
        <v>267</v>
      </c>
      <c r="C302" t="s">
        <v>157</v>
      </c>
      <c r="D302" t="s">
        <v>158</v>
      </c>
      <c r="E302" s="2">
        <v>0.99960000000000004</v>
      </c>
      <c r="F302" t="s">
        <v>36</v>
      </c>
      <c r="G302">
        <v>0</v>
      </c>
      <c r="H302">
        <v>0</v>
      </c>
      <c r="I302">
        <v>0.47018799999999999</v>
      </c>
    </row>
    <row r="303" spans="1:9" x14ac:dyDescent="0.25">
      <c r="A303">
        <v>2000060081</v>
      </c>
      <c r="B303" t="s">
        <v>268</v>
      </c>
      <c r="C303" t="s">
        <v>130</v>
      </c>
      <c r="D303" t="s">
        <v>131</v>
      </c>
      <c r="E303" s="2">
        <v>3.9600000000000003E-2</v>
      </c>
      <c r="F303" t="s">
        <v>36</v>
      </c>
      <c r="G303">
        <v>0</v>
      </c>
      <c r="H303" s="2">
        <v>0</v>
      </c>
      <c r="I303">
        <v>1.262626</v>
      </c>
    </row>
    <row r="304" spans="1:9" x14ac:dyDescent="0.25">
      <c r="A304">
        <v>2000060092</v>
      </c>
      <c r="B304" t="s">
        <v>269</v>
      </c>
      <c r="C304" t="s">
        <v>126</v>
      </c>
      <c r="D304" t="s">
        <v>127</v>
      </c>
      <c r="E304" s="2">
        <v>206</v>
      </c>
      <c r="F304" t="s">
        <v>36</v>
      </c>
      <c r="G304" s="2">
        <v>0</v>
      </c>
      <c r="H304">
        <v>0</v>
      </c>
      <c r="I304">
        <v>0.346748</v>
      </c>
    </row>
    <row r="305" spans="1:9" x14ac:dyDescent="0.25">
      <c r="A305">
        <v>2000060093</v>
      </c>
      <c r="B305" t="s">
        <v>270</v>
      </c>
      <c r="C305" t="s">
        <v>126</v>
      </c>
      <c r="D305" t="s">
        <v>127</v>
      </c>
      <c r="E305" s="2">
        <v>223</v>
      </c>
      <c r="F305" t="s">
        <v>36</v>
      </c>
      <c r="G305">
        <v>0</v>
      </c>
      <c r="H305">
        <v>0</v>
      </c>
      <c r="I305">
        <v>0.34461900000000001</v>
      </c>
    </row>
    <row r="306" spans="1:9" x14ac:dyDescent="0.25">
      <c r="A306">
        <v>2000060094</v>
      </c>
      <c r="B306" t="s">
        <v>271</v>
      </c>
      <c r="C306" t="s">
        <v>126</v>
      </c>
      <c r="D306" t="s">
        <v>127</v>
      </c>
      <c r="E306" s="2">
        <v>679</v>
      </c>
      <c r="F306" t="s">
        <v>36</v>
      </c>
      <c r="G306">
        <v>0</v>
      </c>
      <c r="H306" s="2">
        <v>0</v>
      </c>
      <c r="I306">
        <v>0.34784999999999999</v>
      </c>
    </row>
    <row r="307" spans="1:9" x14ac:dyDescent="0.25">
      <c r="A307">
        <v>2000060095</v>
      </c>
      <c r="B307" t="s">
        <v>272</v>
      </c>
      <c r="C307" t="s">
        <v>130</v>
      </c>
      <c r="D307" t="s">
        <v>131</v>
      </c>
      <c r="E307" s="2">
        <v>0</v>
      </c>
      <c r="F307" t="s">
        <v>36</v>
      </c>
      <c r="G307">
        <v>0</v>
      </c>
      <c r="H307">
        <v>31</v>
      </c>
      <c r="I307">
        <v>0</v>
      </c>
    </row>
    <row r="308" spans="1:9" x14ac:dyDescent="0.25">
      <c r="A308">
        <v>2000060095</v>
      </c>
      <c r="B308" t="s">
        <v>272</v>
      </c>
      <c r="C308" t="s">
        <v>139</v>
      </c>
      <c r="D308" t="s">
        <v>140</v>
      </c>
      <c r="E308" s="2">
        <v>31</v>
      </c>
      <c r="F308" t="s">
        <v>36</v>
      </c>
      <c r="G308" s="2">
        <v>31</v>
      </c>
      <c r="H308">
        <v>0</v>
      </c>
      <c r="I308">
        <v>0.30129</v>
      </c>
    </row>
    <row r="309" spans="1:9" x14ac:dyDescent="0.25">
      <c r="A309">
        <v>2000060096</v>
      </c>
      <c r="B309" t="s">
        <v>273</v>
      </c>
      <c r="C309" t="s">
        <v>130</v>
      </c>
      <c r="D309" t="s">
        <v>131</v>
      </c>
      <c r="E309" s="2">
        <v>0</v>
      </c>
      <c r="F309" t="s">
        <v>36</v>
      </c>
      <c r="G309">
        <v>0</v>
      </c>
      <c r="H309" s="2">
        <v>57</v>
      </c>
      <c r="I309">
        <v>0</v>
      </c>
    </row>
    <row r="310" spans="1:9" x14ac:dyDescent="0.25">
      <c r="A310">
        <v>2000060096</v>
      </c>
      <c r="B310" t="s">
        <v>273</v>
      </c>
      <c r="C310" t="s">
        <v>139</v>
      </c>
      <c r="D310" t="s">
        <v>140</v>
      </c>
      <c r="E310" s="2">
        <v>57</v>
      </c>
      <c r="F310" t="s">
        <v>36</v>
      </c>
      <c r="G310">
        <v>57</v>
      </c>
      <c r="H310">
        <v>0</v>
      </c>
      <c r="I310">
        <v>0.30508800000000003</v>
      </c>
    </row>
    <row r="311" spans="1:9" x14ac:dyDescent="0.25">
      <c r="A311">
        <v>2000060102</v>
      </c>
      <c r="B311" t="s">
        <v>274</v>
      </c>
      <c r="C311" t="s">
        <v>126</v>
      </c>
      <c r="D311" t="s">
        <v>127</v>
      </c>
      <c r="E311" s="2">
        <v>22</v>
      </c>
      <c r="F311" t="s">
        <v>36</v>
      </c>
      <c r="G311">
        <v>0</v>
      </c>
      <c r="H311">
        <v>0</v>
      </c>
      <c r="I311">
        <v>0.62954500000000002</v>
      </c>
    </row>
    <row r="312" spans="1:9" x14ac:dyDescent="0.25">
      <c r="A312">
        <v>2000060127</v>
      </c>
      <c r="B312" t="s">
        <v>275</v>
      </c>
      <c r="C312" t="s">
        <v>130</v>
      </c>
      <c r="D312" t="s">
        <v>131</v>
      </c>
      <c r="E312" s="2">
        <v>0</v>
      </c>
      <c r="F312" t="s">
        <v>36</v>
      </c>
      <c r="G312" s="2">
        <v>0</v>
      </c>
      <c r="H312">
        <v>205</v>
      </c>
      <c r="I312">
        <v>0</v>
      </c>
    </row>
    <row r="313" spans="1:9" x14ac:dyDescent="0.25">
      <c r="A313">
        <v>2000060127</v>
      </c>
      <c r="B313" t="s">
        <v>275</v>
      </c>
      <c r="C313" t="s">
        <v>139</v>
      </c>
      <c r="D313" t="s">
        <v>140</v>
      </c>
      <c r="E313" s="2">
        <v>205</v>
      </c>
      <c r="F313" t="s">
        <v>36</v>
      </c>
      <c r="G313" s="2">
        <v>205</v>
      </c>
      <c r="H313" s="2">
        <v>0</v>
      </c>
      <c r="I313">
        <v>0.40473199999999998</v>
      </c>
    </row>
    <row r="314" spans="1:9" x14ac:dyDescent="0.25">
      <c r="A314">
        <v>2000060128</v>
      </c>
      <c r="B314" t="s">
        <v>276</v>
      </c>
      <c r="C314" t="s">
        <v>130</v>
      </c>
      <c r="D314" t="s">
        <v>131</v>
      </c>
      <c r="E314" s="2">
        <v>0</v>
      </c>
      <c r="F314" t="s">
        <v>36</v>
      </c>
      <c r="G314">
        <v>0</v>
      </c>
      <c r="H314">
        <v>95</v>
      </c>
      <c r="I314">
        <v>0</v>
      </c>
    </row>
    <row r="315" spans="1:9" x14ac:dyDescent="0.25">
      <c r="A315">
        <v>2000060128</v>
      </c>
      <c r="B315" t="s">
        <v>276</v>
      </c>
      <c r="C315" t="s">
        <v>139</v>
      </c>
      <c r="D315" t="s">
        <v>140</v>
      </c>
      <c r="E315" s="2">
        <v>95</v>
      </c>
      <c r="F315" t="s">
        <v>36</v>
      </c>
      <c r="G315">
        <v>95</v>
      </c>
      <c r="H315">
        <v>0</v>
      </c>
      <c r="I315">
        <v>0.423263</v>
      </c>
    </row>
    <row r="316" spans="1:9" x14ac:dyDescent="0.25">
      <c r="A316">
        <v>2000060144</v>
      </c>
      <c r="B316" t="s">
        <v>277</v>
      </c>
      <c r="C316" t="s">
        <v>130</v>
      </c>
      <c r="D316" t="s">
        <v>131</v>
      </c>
      <c r="E316" s="2">
        <v>6</v>
      </c>
      <c r="F316" t="s">
        <v>230</v>
      </c>
      <c r="G316">
        <v>0</v>
      </c>
      <c r="H316">
        <v>0</v>
      </c>
      <c r="I316">
        <v>2.943333</v>
      </c>
    </row>
    <row r="317" spans="1:9" x14ac:dyDescent="0.25">
      <c r="A317">
        <v>2000060145</v>
      </c>
      <c r="B317" t="s">
        <v>278</v>
      </c>
      <c r="C317" t="s">
        <v>130</v>
      </c>
      <c r="D317" t="s">
        <v>131</v>
      </c>
      <c r="E317" s="2">
        <v>131</v>
      </c>
      <c r="F317" t="s">
        <v>230</v>
      </c>
      <c r="G317">
        <v>170</v>
      </c>
      <c r="H317">
        <v>0</v>
      </c>
      <c r="I317">
        <v>2.9611450000000001</v>
      </c>
    </row>
    <row r="318" spans="1:9" x14ac:dyDescent="0.25">
      <c r="A318">
        <v>2000060145</v>
      </c>
      <c r="B318" t="s">
        <v>278</v>
      </c>
      <c r="C318" t="s">
        <v>258</v>
      </c>
      <c r="D318" t="s">
        <v>259</v>
      </c>
      <c r="E318" s="2">
        <v>168</v>
      </c>
      <c r="F318" t="s">
        <v>230</v>
      </c>
      <c r="G318">
        <v>0</v>
      </c>
      <c r="H318">
        <v>0</v>
      </c>
      <c r="I318">
        <v>2.9611900000000002</v>
      </c>
    </row>
    <row r="319" spans="1:9" x14ac:dyDescent="0.25">
      <c r="A319">
        <v>2000060145</v>
      </c>
      <c r="B319" t="s">
        <v>278</v>
      </c>
      <c r="C319" t="s">
        <v>137</v>
      </c>
      <c r="D319" t="s">
        <v>138</v>
      </c>
      <c r="E319" s="2">
        <v>629</v>
      </c>
      <c r="F319" t="s">
        <v>230</v>
      </c>
      <c r="G319">
        <v>0</v>
      </c>
      <c r="H319" s="2">
        <v>164</v>
      </c>
      <c r="I319">
        <v>2.9611610000000002</v>
      </c>
    </row>
    <row r="320" spans="1:9" x14ac:dyDescent="0.25">
      <c r="A320">
        <v>2000060145</v>
      </c>
      <c r="B320" t="s">
        <v>278</v>
      </c>
      <c r="C320" t="s">
        <v>151</v>
      </c>
      <c r="D320" t="s">
        <v>152</v>
      </c>
      <c r="E320" s="2">
        <v>1040</v>
      </c>
      <c r="F320" t="s">
        <v>230</v>
      </c>
      <c r="G320" s="2">
        <v>0</v>
      </c>
      <c r="H320">
        <v>0</v>
      </c>
      <c r="I320">
        <v>2.9611540000000001</v>
      </c>
    </row>
    <row r="321" spans="1:9" x14ac:dyDescent="0.25">
      <c r="A321">
        <v>2000060146</v>
      </c>
      <c r="B321" t="s">
        <v>279</v>
      </c>
      <c r="C321" t="s">
        <v>130</v>
      </c>
      <c r="D321" t="s">
        <v>131</v>
      </c>
      <c r="E321" s="2">
        <v>3270</v>
      </c>
      <c r="F321" t="s">
        <v>230</v>
      </c>
      <c r="G321" s="2">
        <v>37</v>
      </c>
      <c r="H321">
        <v>0</v>
      </c>
      <c r="I321">
        <v>3.442933</v>
      </c>
    </row>
    <row r="322" spans="1:9" x14ac:dyDescent="0.25">
      <c r="A322">
        <v>2000060146</v>
      </c>
      <c r="B322" t="s">
        <v>279</v>
      </c>
      <c r="C322" t="s">
        <v>258</v>
      </c>
      <c r="D322" t="s">
        <v>259</v>
      </c>
      <c r="E322" s="2">
        <v>40</v>
      </c>
      <c r="F322" t="s">
        <v>230</v>
      </c>
      <c r="G322">
        <v>0</v>
      </c>
      <c r="H322">
        <v>10</v>
      </c>
      <c r="I322">
        <v>3.4430000000000001</v>
      </c>
    </row>
    <row r="323" spans="1:9" x14ac:dyDescent="0.25">
      <c r="A323">
        <v>2000060146</v>
      </c>
      <c r="B323" t="s">
        <v>279</v>
      </c>
      <c r="C323" t="s">
        <v>137</v>
      </c>
      <c r="D323" t="s">
        <v>138</v>
      </c>
      <c r="E323" s="2">
        <v>14</v>
      </c>
      <c r="F323" t="s">
        <v>230</v>
      </c>
      <c r="G323">
        <v>0</v>
      </c>
      <c r="H323">
        <v>30</v>
      </c>
      <c r="I323">
        <v>3.4421430000000002</v>
      </c>
    </row>
    <row r="324" spans="1:9" x14ac:dyDescent="0.25">
      <c r="A324">
        <v>2000060147</v>
      </c>
      <c r="B324" t="s">
        <v>280</v>
      </c>
      <c r="C324" t="s">
        <v>130</v>
      </c>
      <c r="D324" t="s">
        <v>131</v>
      </c>
      <c r="E324" s="2">
        <v>56</v>
      </c>
      <c r="F324" t="s">
        <v>230</v>
      </c>
      <c r="G324">
        <v>283</v>
      </c>
      <c r="H324" s="2">
        <v>3</v>
      </c>
      <c r="I324">
        <v>4.1269640000000001</v>
      </c>
    </row>
    <row r="325" spans="1:9" x14ac:dyDescent="0.25">
      <c r="A325">
        <v>2000060147</v>
      </c>
      <c r="B325" t="s">
        <v>280</v>
      </c>
      <c r="C325" t="s">
        <v>126</v>
      </c>
      <c r="D325" t="s">
        <v>127</v>
      </c>
      <c r="E325" s="2">
        <v>58</v>
      </c>
      <c r="F325" t="s">
        <v>230</v>
      </c>
      <c r="G325" s="2">
        <v>0</v>
      </c>
      <c r="H325">
        <v>0</v>
      </c>
      <c r="I325">
        <v>4.1268969999999996</v>
      </c>
    </row>
    <row r="326" spans="1:9" x14ac:dyDescent="0.25">
      <c r="A326">
        <v>2000060147</v>
      </c>
      <c r="B326" t="s">
        <v>280</v>
      </c>
      <c r="C326" t="s">
        <v>137</v>
      </c>
      <c r="D326" t="s">
        <v>138</v>
      </c>
      <c r="E326" s="2">
        <v>385</v>
      </c>
      <c r="F326" t="s">
        <v>230</v>
      </c>
      <c r="G326" s="2">
        <v>0</v>
      </c>
      <c r="H326">
        <v>265</v>
      </c>
      <c r="I326">
        <v>4.1269349999999996</v>
      </c>
    </row>
    <row r="327" spans="1:9" x14ac:dyDescent="0.25">
      <c r="A327">
        <v>2000060147</v>
      </c>
      <c r="B327" t="s">
        <v>280</v>
      </c>
      <c r="C327" t="s">
        <v>139</v>
      </c>
      <c r="D327" t="s">
        <v>140</v>
      </c>
      <c r="E327" s="2">
        <v>0</v>
      </c>
      <c r="F327" t="s">
        <v>230</v>
      </c>
      <c r="G327" s="2">
        <v>3</v>
      </c>
      <c r="H327">
        <v>0</v>
      </c>
      <c r="I327">
        <v>4.1269289999999996</v>
      </c>
    </row>
    <row r="328" spans="1:9" x14ac:dyDescent="0.25">
      <c r="A328">
        <v>2000060148</v>
      </c>
      <c r="B328" t="s">
        <v>281</v>
      </c>
      <c r="C328" t="s">
        <v>130</v>
      </c>
      <c r="D328" t="s">
        <v>131</v>
      </c>
      <c r="E328" s="2">
        <v>153</v>
      </c>
      <c r="F328" t="s">
        <v>230</v>
      </c>
      <c r="G328">
        <v>187</v>
      </c>
      <c r="H328" s="2">
        <v>0</v>
      </c>
      <c r="I328">
        <v>4.0593459999999997</v>
      </c>
    </row>
    <row r="329" spans="1:9" x14ac:dyDescent="0.25">
      <c r="A329">
        <v>2000060148</v>
      </c>
      <c r="B329" t="s">
        <v>281</v>
      </c>
      <c r="C329" t="s">
        <v>137</v>
      </c>
      <c r="D329" t="s">
        <v>138</v>
      </c>
      <c r="E329" s="2">
        <v>266</v>
      </c>
      <c r="F329" t="s">
        <v>230</v>
      </c>
      <c r="G329" s="2">
        <v>0</v>
      </c>
      <c r="H329" s="2">
        <v>144</v>
      </c>
      <c r="I329">
        <v>4.059361</v>
      </c>
    </row>
    <row r="330" spans="1:9" x14ac:dyDescent="0.25">
      <c r="A330">
        <v>2000060149</v>
      </c>
      <c r="B330" t="s">
        <v>282</v>
      </c>
      <c r="C330" t="s">
        <v>130</v>
      </c>
      <c r="D330" t="s">
        <v>131</v>
      </c>
      <c r="E330" s="2">
        <v>3660</v>
      </c>
      <c r="F330" t="s">
        <v>230</v>
      </c>
      <c r="G330" s="2">
        <v>0</v>
      </c>
      <c r="H330">
        <v>0</v>
      </c>
      <c r="I330">
        <v>5.1687919999999998</v>
      </c>
    </row>
    <row r="331" spans="1:9" x14ac:dyDescent="0.25">
      <c r="A331">
        <v>2000060149</v>
      </c>
      <c r="B331" t="s">
        <v>282</v>
      </c>
      <c r="C331" t="s">
        <v>137</v>
      </c>
      <c r="D331" t="s">
        <v>138</v>
      </c>
      <c r="E331" s="2">
        <v>4</v>
      </c>
      <c r="F331" t="s">
        <v>230</v>
      </c>
      <c r="G331">
        <v>0</v>
      </c>
      <c r="H331">
        <v>0</v>
      </c>
      <c r="I331">
        <v>5.17</v>
      </c>
    </row>
    <row r="332" spans="1:9" x14ac:dyDescent="0.25">
      <c r="A332">
        <v>2000060149</v>
      </c>
      <c r="B332" t="s">
        <v>282</v>
      </c>
      <c r="C332" t="s">
        <v>151</v>
      </c>
      <c r="D332" t="s">
        <v>152</v>
      </c>
      <c r="E332" s="2">
        <v>180</v>
      </c>
      <c r="F332" t="s">
        <v>230</v>
      </c>
      <c r="G332">
        <v>0</v>
      </c>
      <c r="H332">
        <v>0</v>
      </c>
      <c r="I332">
        <v>5.1688330000000002</v>
      </c>
    </row>
    <row r="333" spans="1:9" x14ac:dyDescent="0.25">
      <c r="A333">
        <v>2000060151</v>
      </c>
      <c r="B333" t="s">
        <v>283</v>
      </c>
      <c r="C333" t="s">
        <v>130</v>
      </c>
      <c r="D333" t="s">
        <v>131</v>
      </c>
      <c r="E333" s="2">
        <v>13621</v>
      </c>
      <c r="F333" t="s">
        <v>230</v>
      </c>
      <c r="G333">
        <v>80</v>
      </c>
      <c r="H333">
        <v>0</v>
      </c>
      <c r="I333">
        <v>0.40479399999999999</v>
      </c>
    </row>
    <row r="334" spans="1:9" x14ac:dyDescent="0.25">
      <c r="A334">
        <v>2000060151</v>
      </c>
      <c r="B334" t="s">
        <v>283</v>
      </c>
      <c r="C334" t="s">
        <v>126</v>
      </c>
      <c r="D334" t="s">
        <v>127</v>
      </c>
      <c r="E334" s="2">
        <v>119483</v>
      </c>
      <c r="F334" t="s">
        <v>230</v>
      </c>
      <c r="G334">
        <v>0</v>
      </c>
      <c r="H334">
        <v>0</v>
      </c>
      <c r="I334">
        <v>0.419854</v>
      </c>
    </row>
    <row r="335" spans="1:9" x14ac:dyDescent="0.25">
      <c r="A335">
        <v>2000060151</v>
      </c>
      <c r="B335" t="s">
        <v>283</v>
      </c>
      <c r="C335" t="s">
        <v>137</v>
      </c>
      <c r="D335" t="s">
        <v>138</v>
      </c>
      <c r="E335" s="2">
        <v>4</v>
      </c>
      <c r="F335" t="s">
        <v>230</v>
      </c>
      <c r="G335">
        <v>0</v>
      </c>
      <c r="H335">
        <v>0</v>
      </c>
      <c r="I335">
        <v>0.4</v>
      </c>
    </row>
    <row r="336" spans="1:9" x14ac:dyDescent="0.25">
      <c r="A336">
        <v>2000060152</v>
      </c>
      <c r="B336" t="s">
        <v>284</v>
      </c>
      <c r="C336" t="s">
        <v>130</v>
      </c>
      <c r="D336" t="s">
        <v>131</v>
      </c>
      <c r="E336" s="2">
        <v>345</v>
      </c>
      <c r="F336" t="s">
        <v>230</v>
      </c>
      <c r="G336" s="2">
        <v>3373</v>
      </c>
      <c r="H336">
        <v>0</v>
      </c>
      <c r="I336">
        <v>0.41492800000000002</v>
      </c>
    </row>
    <row r="337" spans="1:9" x14ac:dyDescent="0.25">
      <c r="A337">
        <v>2000060152</v>
      </c>
      <c r="B337" t="s">
        <v>284</v>
      </c>
      <c r="C337" t="s">
        <v>126</v>
      </c>
      <c r="D337" t="s">
        <v>127</v>
      </c>
      <c r="E337" s="2">
        <v>31134</v>
      </c>
      <c r="F337" t="s">
        <v>230</v>
      </c>
      <c r="G337">
        <v>0</v>
      </c>
      <c r="H337">
        <v>0</v>
      </c>
      <c r="I337">
        <v>0.41639100000000001</v>
      </c>
    </row>
    <row r="338" spans="1:9" x14ac:dyDescent="0.25">
      <c r="A338">
        <v>2000060152</v>
      </c>
      <c r="B338" t="s">
        <v>284</v>
      </c>
      <c r="C338" t="s">
        <v>137</v>
      </c>
      <c r="D338" t="s">
        <v>138</v>
      </c>
      <c r="E338" s="2">
        <v>3</v>
      </c>
      <c r="F338" t="s">
        <v>230</v>
      </c>
      <c r="G338">
        <v>0</v>
      </c>
      <c r="H338">
        <v>1</v>
      </c>
      <c r="I338">
        <v>0.41666700000000001</v>
      </c>
    </row>
    <row r="339" spans="1:9" x14ac:dyDescent="0.25">
      <c r="A339">
        <v>2000060153</v>
      </c>
      <c r="B339" t="s">
        <v>285</v>
      </c>
      <c r="C339" t="s">
        <v>130</v>
      </c>
      <c r="D339" t="s">
        <v>131</v>
      </c>
      <c r="E339" s="2">
        <v>585</v>
      </c>
      <c r="F339" t="s">
        <v>230</v>
      </c>
      <c r="G339">
        <v>61</v>
      </c>
      <c r="H339">
        <v>0</v>
      </c>
      <c r="I339">
        <v>0.41459800000000002</v>
      </c>
    </row>
    <row r="340" spans="1:9" x14ac:dyDescent="0.25">
      <c r="A340">
        <v>2000060153</v>
      </c>
      <c r="B340" t="s">
        <v>285</v>
      </c>
      <c r="C340" t="s">
        <v>126</v>
      </c>
      <c r="D340" t="s">
        <v>127</v>
      </c>
      <c r="E340" s="2">
        <v>18996</v>
      </c>
      <c r="F340" t="s">
        <v>230</v>
      </c>
      <c r="G340">
        <v>0</v>
      </c>
      <c r="H340">
        <v>0</v>
      </c>
      <c r="I340">
        <v>0.41453699999999999</v>
      </c>
    </row>
    <row r="341" spans="1:9" x14ac:dyDescent="0.25">
      <c r="A341">
        <v>2000060153</v>
      </c>
      <c r="B341" t="s">
        <v>285</v>
      </c>
      <c r="C341" t="s">
        <v>137</v>
      </c>
      <c r="D341" t="s">
        <v>138</v>
      </c>
      <c r="E341" s="2">
        <v>3</v>
      </c>
      <c r="F341" t="s">
        <v>230</v>
      </c>
      <c r="G341">
        <v>0</v>
      </c>
      <c r="H341">
        <v>1</v>
      </c>
      <c r="I341">
        <v>0.41</v>
      </c>
    </row>
    <row r="342" spans="1:9" x14ac:dyDescent="0.25">
      <c r="A342">
        <v>2000060154</v>
      </c>
      <c r="B342" t="s">
        <v>286</v>
      </c>
      <c r="C342" t="s">
        <v>130</v>
      </c>
      <c r="D342" t="s">
        <v>131</v>
      </c>
      <c r="E342" s="2">
        <v>1902</v>
      </c>
      <c r="F342" t="s">
        <v>230</v>
      </c>
      <c r="G342">
        <v>12</v>
      </c>
      <c r="H342">
        <v>0</v>
      </c>
      <c r="I342">
        <v>2.3524759999999998</v>
      </c>
    </row>
    <row r="343" spans="1:9" x14ac:dyDescent="0.25">
      <c r="A343">
        <v>2000060154</v>
      </c>
      <c r="B343" t="s">
        <v>286</v>
      </c>
      <c r="C343" t="s">
        <v>151</v>
      </c>
      <c r="D343" t="s">
        <v>152</v>
      </c>
      <c r="E343" s="2">
        <v>4144</v>
      </c>
      <c r="F343" t="s">
        <v>230</v>
      </c>
      <c r="G343">
        <v>0</v>
      </c>
      <c r="H343">
        <v>0</v>
      </c>
      <c r="I343">
        <v>2.352481</v>
      </c>
    </row>
    <row r="344" spans="1:9" x14ac:dyDescent="0.25">
      <c r="A344">
        <v>2000060155</v>
      </c>
      <c r="B344" t="s">
        <v>287</v>
      </c>
      <c r="C344" t="s">
        <v>130</v>
      </c>
      <c r="D344" t="s">
        <v>131</v>
      </c>
      <c r="E344" s="2">
        <v>26304</v>
      </c>
      <c r="F344" t="s">
        <v>36</v>
      </c>
      <c r="G344" s="2">
        <v>1008</v>
      </c>
      <c r="H344">
        <v>0</v>
      </c>
      <c r="I344">
        <v>0.45480300000000001</v>
      </c>
    </row>
    <row r="345" spans="1:9" x14ac:dyDescent="0.25">
      <c r="A345">
        <v>2000060155</v>
      </c>
      <c r="B345" t="s">
        <v>287</v>
      </c>
      <c r="C345" t="s">
        <v>258</v>
      </c>
      <c r="D345" t="s">
        <v>259</v>
      </c>
      <c r="E345" s="2">
        <v>12</v>
      </c>
      <c r="F345" t="s">
        <v>36</v>
      </c>
      <c r="G345">
        <v>0</v>
      </c>
      <c r="H345">
        <v>0</v>
      </c>
      <c r="I345">
        <v>0.46500000000000002</v>
      </c>
    </row>
    <row r="346" spans="1:9" x14ac:dyDescent="0.25">
      <c r="A346">
        <v>2000060155</v>
      </c>
      <c r="B346" t="s">
        <v>287</v>
      </c>
      <c r="C346" t="s">
        <v>137</v>
      </c>
      <c r="D346" t="s">
        <v>138</v>
      </c>
      <c r="E346" s="2">
        <v>55</v>
      </c>
      <c r="F346" t="s">
        <v>36</v>
      </c>
      <c r="G346" s="2">
        <v>0</v>
      </c>
      <c r="H346">
        <v>72</v>
      </c>
      <c r="I346">
        <v>0.460364</v>
      </c>
    </row>
    <row r="347" spans="1:9" x14ac:dyDescent="0.25">
      <c r="A347">
        <v>2000060155</v>
      </c>
      <c r="B347" t="s">
        <v>287</v>
      </c>
      <c r="C347" t="s">
        <v>151</v>
      </c>
      <c r="D347" t="s">
        <v>152</v>
      </c>
      <c r="E347" s="2">
        <v>12096</v>
      </c>
      <c r="F347" t="s">
        <v>36</v>
      </c>
      <c r="G347">
        <v>0</v>
      </c>
      <c r="H347">
        <v>0</v>
      </c>
      <c r="I347">
        <v>0.46536</v>
      </c>
    </row>
    <row r="348" spans="1:9" x14ac:dyDescent="0.25">
      <c r="A348">
        <v>2000060156</v>
      </c>
      <c r="B348" t="s">
        <v>288</v>
      </c>
      <c r="C348" t="s">
        <v>130</v>
      </c>
      <c r="D348" t="s">
        <v>131</v>
      </c>
      <c r="E348" s="2">
        <v>7265</v>
      </c>
      <c r="F348" t="s">
        <v>36</v>
      </c>
      <c r="G348" s="2">
        <v>504</v>
      </c>
      <c r="H348">
        <v>0</v>
      </c>
      <c r="I348">
        <v>0.46536100000000002</v>
      </c>
    </row>
    <row r="349" spans="1:9" x14ac:dyDescent="0.25">
      <c r="A349">
        <v>2000060156</v>
      </c>
      <c r="B349" t="s">
        <v>288</v>
      </c>
      <c r="C349" t="s">
        <v>137</v>
      </c>
      <c r="D349" t="s">
        <v>138</v>
      </c>
      <c r="E349" s="2">
        <v>55</v>
      </c>
      <c r="F349" t="s">
        <v>36</v>
      </c>
      <c r="G349">
        <v>0</v>
      </c>
      <c r="H349">
        <v>0</v>
      </c>
      <c r="I349">
        <v>0.46545500000000001</v>
      </c>
    </row>
    <row r="350" spans="1:9" x14ac:dyDescent="0.25">
      <c r="A350">
        <v>2000060156</v>
      </c>
      <c r="B350" t="s">
        <v>288</v>
      </c>
      <c r="C350" t="s">
        <v>151</v>
      </c>
      <c r="D350" t="s">
        <v>152</v>
      </c>
      <c r="E350" s="2">
        <v>12096</v>
      </c>
      <c r="F350" t="s">
        <v>36</v>
      </c>
      <c r="G350" s="2">
        <v>0</v>
      </c>
      <c r="H350">
        <v>0</v>
      </c>
      <c r="I350">
        <v>0.46536</v>
      </c>
    </row>
    <row r="351" spans="1:9" x14ac:dyDescent="0.25">
      <c r="A351">
        <v>2000060157</v>
      </c>
      <c r="B351" t="s">
        <v>289</v>
      </c>
      <c r="C351" t="s">
        <v>130</v>
      </c>
      <c r="D351" t="s">
        <v>131</v>
      </c>
      <c r="E351" s="2">
        <v>18242</v>
      </c>
      <c r="F351" t="s">
        <v>36</v>
      </c>
      <c r="G351" s="2">
        <v>504</v>
      </c>
      <c r="H351" s="2">
        <v>0</v>
      </c>
      <c r="I351">
        <v>0.465364</v>
      </c>
    </row>
    <row r="352" spans="1:9" x14ac:dyDescent="0.25">
      <c r="A352">
        <v>2000060157</v>
      </c>
      <c r="B352" t="s">
        <v>289</v>
      </c>
      <c r="C352" t="s">
        <v>137</v>
      </c>
      <c r="D352" t="s">
        <v>138</v>
      </c>
      <c r="E352" s="2">
        <v>55</v>
      </c>
      <c r="F352" t="s">
        <v>36</v>
      </c>
      <c r="G352">
        <v>0</v>
      </c>
      <c r="H352">
        <v>0</v>
      </c>
      <c r="I352">
        <v>0.46527299999999999</v>
      </c>
    </row>
    <row r="353" spans="1:9" x14ac:dyDescent="0.25">
      <c r="A353">
        <v>2000060157</v>
      </c>
      <c r="B353" t="s">
        <v>289</v>
      </c>
      <c r="C353" t="s">
        <v>151</v>
      </c>
      <c r="D353" t="s">
        <v>152</v>
      </c>
      <c r="E353" s="2">
        <v>12096</v>
      </c>
      <c r="F353" t="s">
        <v>36</v>
      </c>
      <c r="G353">
        <v>0</v>
      </c>
      <c r="H353">
        <v>0</v>
      </c>
      <c r="I353">
        <v>0.46536</v>
      </c>
    </row>
    <row r="354" spans="1:9" x14ac:dyDescent="0.25">
      <c r="A354">
        <v>2000060158</v>
      </c>
      <c r="B354" t="s">
        <v>290</v>
      </c>
      <c r="C354" t="s">
        <v>130</v>
      </c>
      <c r="D354" t="s">
        <v>131</v>
      </c>
      <c r="E354" s="2">
        <v>796</v>
      </c>
      <c r="F354" t="s">
        <v>36</v>
      </c>
      <c r="G354" s="2">
        <v>4857</v>
      </c>
      <c r="H354">
        <v>0</v>
      </c>
      <c r="I354">
        <v>0.465364</v>
      </c>
    </row>
    <row r="355" spans="1:9" x14ac:dyDescent="0.25">
      <c r="A355">
        <v>2000060158</v>
      </c>
      <c r="B355" t="s">
        <v>290</v>
      </c>
      <c r="C355" t="s">
        <v>167</v>
      </c>
      <c r="D355" t="s">
        <v>168</v>
      </c>
      <c r="E355" s="2">
        <v>0</v>
      </c>
      <c r="F355" t="s">
        <v>36</v>
      </c>
      <c r="G355">
        <v>0</v>
      </c>
      <c r="H355">
        <v>54</v>
      </c>
      <c r="I355">
        <v>0.46535900000000002</v>
      </c>
    </row>
    <row r="356" spans="1:9" x14ac:dyDescent="0.25">
      <c r="A356">
        <v>2000060158</v>
      </c>
      <c r="B356" t="s">
        <v>290</v>
      </c>
      <c r="C356" t="s">
        <v>137</v>
      </c>
      <c r="D356" t="s">
        <v>138</v>
      </c>
      <c r="E356" s="2">
        <v>0</v>
      </c>
      <c r="F356" t="s">
        <v>36</v>
      </c>
      <c r="G356">
        <v>0</v>
      </c>
      <c r="H356">
        <v>1</v>
      </c>
      <c r="I356">
        <v>0.46527800000000002</v>
      </c>
    </row>
    <row r="357" spans="1:9" x14ac:dyDescent="0.25">
      <c r="A357">
        <v>2000060158</v>
      </c>
      <c r="B357" t="s">
        <v>290</v>
      </c>
      <c r="C357" t="s">
        <v>151</v>
      </c>
      <c r="D357" t="s">
        <v>152</v>
      </c>
      <c r="E357" s="2">
        <v>5048</v>
      </c>
      <c r="F357" t="s">
        <v>36</v>
      </c>
      <c r="G357" s="2">
        <v>0</v>
      </c>
      <c r="H357">
        <v>314</v>
      </c>
      <c r="I357">
        <v>0.46536499999999997</v>
      </c>
    </row>
    <row r="358" spans="1:9" x14ac:dyDescent="0.25">
      <c r="A358">
        <v>2000060159</v>
      </c>
      <c r="B358" t="s">
        <v>291</v>
      </c>
      <c r="C358" t="s">
        <v>130</v>
      </c>
      <c r="D358" t="s">
        <v>131</v>
      </c>
      <c r="E358" s="2">
        <v>72</v>
      </c>
      <c r="F358" t="s">
        <v>36</v>
      </c>
      <c r="G358" s="2">
        <v>8131</v>
      </c>
      <c r="H358">
        <v>0</v>
      </c>
      <c r="I358">
        <v>0.46500000000000002</v>
      </c>
    </row>
    <row r="359" spans="1:9" x14ac:dyDescent="0.25">
      <c r="A359">
        <v>2000060159</v>
      </c>
      <c r="B359" t="s">
        <v>291</v>
      </c>
      <c r="C359" t="s">
        <v>167</v>
      </c>
      <c r="D359" t="s">
        <v>168</v>
      </c>
      <c r="E359" s="2">
        <v>0</v>
      </c>
      <c r="F359" t="s">
        <v>36</v>
      </c>
      <c r="G359">
        <v>0</v>
      </c>
      <c r="H359">
        <v>54</v>
      </c>
      <c r="I359">
        <v>0</v>
      </c>
    </row>
    <row r="360" spans="1:9" x14ac:dyDescent="0.25">
      <c r="A360">
        <v>2000060159</v>
      </c>
      <c r="B360" t="s">
        <v>291</v>
      </c>
      <c r="C360" t="s">
        <v>137</v>
      </c>
      <c r="D360" t="s">
        <v>138</v>
      </c>
      <c r="E360" s="2">
        <v>0</v>
      </c>
      <c r="F360" t="s">
        <v>36</v>
      </c>
      <c r="G360">
        <v>0</v>
      </c>
      <c r="H360">
        <v>1</v>
      </c>
      <c r="I360">
        <v>0.46527800000000002</v>
      </c>
    </row>
    <row r="361" spans="1:9" x14ac:dyDescent="0.25">
      <c r="A361">
        <v>2000060159</v>
      </c>
      <c r="B361" t="s">
        <v>291</v>
      </c>
      <c r="C361" t="s">
        <v>151</v>
      </c>
      <c r="D361" t="s">
        <v>152</v>
      </c>
      <c r="E361" s="2">
        <v>0</v>
      </c>
      <c r="F361" t="s">
        <v>36</v>
      </c>
      <c r="G361">
        <v>0</v>
      </c>
      <c r="H361" s="2">
        <v>4260</v>
      </c>
      <c r="I361">
        <v>0.46535900000000002</v>
      </c>
    </row>
    <row r="362" spans="1:9" x14ac:dyDescent="0.25">
      <c r="A362">
        <v>2000060160</v>
      </c>
      <c r="B362" t="s">
        <v>292</v>
      </c>
      <c r="C362" t="s">
        <v>130</v>
      </c>
      <c r="D362" t="s">
        <v>131</v>
      </c>
      <c r="E362" s="2">
        <v>2</v>
      </c>
      <c r="F362" t="s">
        <v>147</v>
      </c>
      <c r="G362">
        <v>747</v>
      </c>
      <c r="H362">
        <v>0</v>
      </c>
      <c r="I362">
        <v>0.93500000000000005</v>
      </c>
    </row>
    <row r="363" spans="1:9" x14ac:dyDescent="0.25">
      <c r="A363">
        <v>2000060160</v>
      </c>
      <c r="B363" t="s">
        <v>292</v>
      </c>
      <c r="C363" t="s">
        <v>137</v>
      </c>
      <c r="D363" t="s">
        <v>138</v>
      </c>
      <c r="E363" s="2">
        <v>5</v>
      </c>
      <c r="F363" t="s">
        <v>147</v>
      </c>
      <c r="G363">
        <v>0</v>
      </c>
      <c r="H363">
        <v>6</v>
      </c>
      <c r="I363">
        <v>0.94</v>
      </c>
    </row>
    <row r="364" spans="1:9" x14ac:dyDescent="0.25">
      <c r="A364">
        <v>2000060161</v>
      </c>
      <c r="B364" t="s">
        <v>293</v>
      </c>
      <c r="C364" t="s">
        <v>130</v>
      </c>
      <c r="D364" t="s">
        <v>131</v>
      </c>
      <c r="E364" s="2">
        <v>0</v>
      </c>
      <c r="F364" t="s">
        <v>147</v>
      </c>
      <c r="G364">
        <v>930</v>
      </c>
      <c r="H364">
        <v>372</v>
      </c>
      <c r="I364">
        <v>0.94</v>
      </c>
    </row>
    <row r="365" spans="1:9" x14ac:dyDescent="0.25">
      <c r="A365">
        <v>2000060161</v>
      </c>
      <c r="B365" t="s">
        <v>293</v>
      </c>
      <c r="C365" t="s">
        <v>137</v>
      </c>
      <c r="D365" t="s">
        <v>138</v>
      </c>
      <c r="E365" s="2">
        <v>2</v>
      </c>
      <c r="F365" t="s">
        <v>147</v>
      </c>
      <c r="G365" s="2">
        <v>0</v>
      </c>
      <c r="H365">
        <v>4</v>
      </c>
      <c r="I365">
        <v>0.94</v>
      </c>
    </row>
    <row r="366" spans="1:9" x14ac:dyDescent="0.25">
      <c r="A366">
        <v>2000060161</v>
      </c>
      <c r="B366" t="s">
        <v>293</v>
      </c>
      <c r="C366" t="s">
        <v>151</v>
      </c>
      <c r="D366" t="s">
        <v>152</v>
      </c>
      <c r="E366" s="2">
        <v>0</v>
      </c>
      <c r="F366" t="s">
        <v>147</v>
      </c>
      <c r="G366">
        <v>372</v>
      </c>
      <c r="H366">
        <v>0</v>
      </c>
      <c r="I366">
        <v>0.93842599999999998</v>
      </c>
    </row>
    <row r="367" spans="1:9" x14ac:dyDescent="0.25">
      <c r="A367">
        <v>2000060162</v>
      </c>
      <c r="B367" t="s">
        <v>294</v>
      </c>
      <c r="C367" t="s">
        <v>130</v>
      </c>
      <c r="D367" t="s">
        <v>131</v>
      </c>
      <c r="E367" s="2">
        <v>0</v>
      </c>
      <c r="F367" t="s">
        <v>147</v>
      </c>
      <c r="G367">
        <v>455</v>
      </c>
      <c r="H367">
        <v>0</v>
      </c>
      <c r="I367">
        <v>0.93500000000000005</v>
      </c>
    </row>
    <row r="368" spans="1:9" x14ac:dyDescent="0.25">
      <c r="A368">
        <v>2000060162</v>
      </c>
      <c r="B368" t="s">
        <v>294</v>
      </c>
      <c r="C368" t="s">
        <v>137</v>
      </c>
      <c r="D368" t="s">
        <v>138</v>
      </c>
      <c r="E368" s="2">
        <v>5</v>
      </c>
      <c r="F368" t="s">
        <v>147</v>
      </c>
      <c r="G368">
        <v>0</v>
      </c>
      <c r="H368">
        <v>0</v>
      </c>
      <c r="I368">
        <v>0.93799999999999994</v>
      </c>
    </row>
    <row r="369" spans="1:9" x14ac:dyDescent="0.25">
      <c r="A369">
        <v>2000060163</v>
      </c>
      <c r="B369" t="s">
        <v>295</v>
      </c>
      <c r="C369" t="s">
        <v>130</v>
      </c>
      <c r="D369" t="s">
        <v>131</v>
      </c>
      <c r="E369" s="2">
        <v>1</v>
      </c>
      <c r="F369" t="s">
        <v>147</v>
      </c>
      <c r="G369">
        <v>809</v>
      </c>
      <c r="H369">
        <v>0</v>
      </c>
      <c r="I369">
        <v>0.94</v>
      </c>
    </row>
    <row r="370" spans="1:9" x14ac:dyDescent="0.25">
      <c r="A370">
        <v>2000060163</v>
      </c>
      <c r="B370" t="s">
        <v>295</v>
      </c>
      <c r="C370" t="s">
        <v>137</v>
      </c>
      <c r="D370" t="s">
        <v>138</v>
      </c>
      <c r="E370" s="2">
        <v>2</v>
      </c>
      <c r="F370" t="s">
        <v>147</v>
      </c>
      <c r="G370" s="2">
        <v>0</v>
      </c>
      <c r="H370">
        <v>3</v>
      </c>
      <c r="I370">
        <v>0.94</v>
      </c>
    </row>
    <row r="371" spans="1:9" x14ac:dyDescent="0.25">
      <c r="A371">
        <v>2000060164</v>
      </c>
      <c r="B371" t="s">
        <v>296</v>
      </c>
      <c r="C371" t="s">
        <v>130</v>
      </c>
      <c r="D371" t="s">
        <v>131</v>
      </c>
      <c r="E371" s="2">
        <v>4</v>
      </c>
      <c r="F371" t="s">
        <v>147</v>
      </c>
      <c r="G371" s="2">
        <v>744</v>
      </c>
      <c r="H371" s="2">
        <v>0</v>
      </c>
      <c r="I371">
        <v>0.9375</v>
      </c>
    </row>
    <row r="372" spans="1:9" x14ac:dyDescent="0.25">
      <c r="A372">
        <v>2000060164</v>
      </c>
      <c r="B372" t="s">
        <v>296</v>
      </c>
      <c r="C372" t="s">
        <v>137</v>
      </c>
      <c r="D372" t="s">
        <v>138</v>
      </c>
      <c r="E372" s="2">
        <v>5</v>
      </c>
      <c r="F372" t="s">
        <v>147</v>
      </c>
      <c r="G372">
        <v>0</v>
      </c>
      <c r="H372">
        <v>0</v>
      </c>
      <c r="I372">
        <v>0.94</v>
      </c>
    </row>
    <row r="373" spans="1:9" x14ac:dyDescent="0.25">
      <c r="A373">
        <v>2000070139</v>
      </c>
      <c r="B373" t="s">
        <v>297</v>
      </c>
      <c r="C373" t="s">
        <v>199</v>
      </c>
      <c r="D373" t="s">
        <v>200</v>
      </c>
      <c r="E373" s="2">
        <v>2000</v>
      </c>
      <c r="F373" t="s">
        <v>36</v>
      </c>
      <c r="G373">
        <v>0</v>
      </c>
      <c r="H373">
        <v>1</v>
      </c>
      <c r="I373">
        <v>0.46466000000000002</v>
      </c>
    </row>
    <row r="374" spans="1:9" x14ac:dyDescent="0.25">
      <c r="A374">
        <v>2000070139</v>
      </c>
      <c r="B374" t="s">
        <v>297</v>
      </c>
      <c r="C374" t="s">
        <v>130</v>
      </c>
      <c r="D374" t="s">
        <v>131</v>
      </c>
      <c r="E374" s="2">
        <v>26979</v>
      </c>
      <c r="F374" t="s">
        <v>36</v>
      </c>
      <c r="G374">
        <v>13</v>
      </c>
      <c r="H374">
        <v>200</v>
      </c>
      <c r="I374">
        <v>0.46466000000000002</v>
      </c>
    </row>
    <row r="375" spans="1:9" x14ac:dyDescent="0.25">
      <c r="A375">
        <v>2000070139</v>
      </c>
      <c r="B375" t="s">
        <v>297</v>
      </c>
      <c r="C375" t="s">
        <v>137</v>
      </c>
      <c r="D375" t="s">
        <v>138</v>
      </c>
      <c r="E375" s="2">
        <v>0</v>
      </c>
      <c r="F375" t="s">
        <v>36</v>
      </c>
      <c r="G375" s="2">
        <v>0</v>
      </c>
      <c r="H375" s="2">
        <v>12</v>
      </c>
      <c r="I375">
        <v>0.48624299999999998</v>
      </c>
    </row>
    <row r="376" spans="1:9" x14ac:dyDescent="0.25">
      <c r="A376">
        <v>2000070139</v>
      </c>
      <c r="B376" t="s">
        <v>297</v>
      </c>
      <c r="C376" t="s">
        <v>151</v>
      </c>
      <c r="D376" t="s">
        <v>152</v>
      </c>
      <c r="E376" s="2">
        <v>3000</v>
      </c>
      <c r="F376" t="s">
        <v>36</v>
      </c>
      <c r="G376">
        <v>0</v>
      </c>
      <c r="H376">
        <v>0</v>
      </c>
      <c r="I376">
        <v>0.53117700000000001</v>
      </c>
    </row>
    <row r="377" spans="1:9" x14ac:dyDescent="0.25">
      <c r="A377">
        <v>2000070139</v>
      </c>
      <c r="B377" t="s">
        <v>297</v>
      </c>
      <c r="C377" t="s">
        <v>139</v>
      </c>
      <c r="D377" t="s">
        <v>140</v>
      </c>
      <c r="E377" s="2">
        <v>0</v>
      </c>
      <c r="F377" t="s">
        <v>36</v>
      </c>
      <c r="G377">
        <v>200</v>
      </c>
      <c r="H377">
        <v>0</v>
      </c>
      <c r="I377">
        <v>0.54742500000000005</v>
      </c>
    </row>
    <row r="378" spans="1:9" x14ac:dyDescent="0.25">
      <c r="A378">
        <v>2000070139</v>
      </c>
      <c r="B378" t="s">
        <v>297</v>
      </c>
      <c r="C378" t="s">
        <v>144</v>
      </c>
      <c r="D378" t="s">
        <v>145</v>
      </c>
      <c r="E378" s="2">
        <v>1000</v>
      </c>
      <c r="F378" t="s">
        <v>36</v>
      </c>
      <c r="G378" s="2">
        <v>0</v>
      </c>
      <c r="H378">
        <v>0</v>
      </c>
      <c r="I378">
        <v>0.46466000000000002</v>
      </c>
    </row>
    <row r="379" spans="1:9" x14ac:dyDescent="0.25">
      <c r="A379">
        <v>2000070140</v>
      </c>
      <c r="B379" t="s">
        <v>298</v>
      </c>
      <c r="C379" t="s">
        <v>130</v>
      </c>
      <c r="D379" t="s">
        <v>131</v>
      </c>
      <c r="E379" s="2">
        <v>12971</v>
      </c>
      <c r="F379" t="s">
        <v>36</v>
      </c>
      <c r="G379" s="2">
        <v>10</v>
      </c>
      <c r="H379" s="2">
        <v>0</v>
      </c>
      <c r="I379">
        <v>0.54742999999999997</v>
      </c>
    </row>
    <row r="380" spans="1:9" x14ac:dyDescent="0.25">
      <c r="A380">
        <v>2000070141</v>
      </c>
      <c r="B380" t="s">
        <v>299</v>
      </c>
      <c r="C380" t="s">
        <v>130</v>
      </c>
      <c r="D380" t="s">
        <v>131</v>
      </c>
      <c r="E380" s="2">
        <v>21958</v>
      </c>
      <c r="F380" t="s">
        <v>36</v>
      </c>
      <c r="G380">
        <v>12</v>
      </c>
      <c r="H380">
        <v>0</v>
      </c>
      <c r="I380">
        <v>0.48354900000000001</v>
      </c>
    </row>
    <row r="381" spans="1:9" x14ac:dyDescent="0.25">
      <c r="A381">
        <v>2000070141</v>
      </c>
      <c r="B381" t="s">
        <v>299</v>
      </c>
      <c r="C381" t="s">
        <v>137</v>
      </c>
      <c r="D381" t="s">
        <v>138</v>
      </c>
      <c r="E381" s="2">
        <v>0</v>
      </c>
      <c r="F381" t="s">
        <v>36</v>
      </c>
      <c r="G381">
        <v>0</v>
      </c>
      <c r="H381">
        <v>12</v>
      </c>
      <c r="I381">
        <v>0.4975</v>
      </c>
    </row>
    <row r="382" spans="1:9" x14ac:dyDescent="0.25">
      <c r="A382">
        <v>2000070142</v>
      </c>
      <c r="B382" t="s">
        <v>300</v>
      </c>
      <c r="C382" t="s">
        <v>130</v>
      </c>
      <c r="D382" t="s">
        <v>131</v>
      </c>
      <c r="E382" s="2">
        <v>14817</v>
      </c>
      <c r="F382" t="s">
        <v>36</v>
      </c>
      <c r="G382" s="2">
        <v>0</v>
      </c>
      <c r="H382">
        <v>0</v>
      </c>
      <c r="I382">
        <v>0.46254899999999999</v>
      </c>
    </row>
    <row r="383" spans="1:9" x14ac:dyDescent="0.25">
      <c r="A383">
        <v>2000070143</v>
      </c>
      <c r="B383" t="s">
        <v>301</v>
      </c>
      <c r="C383" t="s">
        <v>126</v>
      </c>
      <c r="D383" t="s">
        <v>127</v>
      </c>
      <c r="E383" s="2">
        <v>420</v>
      </c>
      <c r="F383" t="s">
        <v>36</v>
      </c>
      <c r="G383">
        <v>0</v>
      </c>
      <c r="H383">
        <v>0</v>
      </c>
      <c r="I383">
        <v>0.33271400000000001</v>
      </c>
    </row>
    <row r="384" spans="1:9" x14ac:dyDescent="0.25">
      <c r="A384">
        <v>2000070145</v>
      </c>
      <c r="B384" t="s">
        <v>302</v>
      </c>
      <c r="C384" t="s">
        <v>157</v>
      </c>
      <c r="D384" t="s">
        <v>158</v>
      </c>
      <c r="E384" s="2">
        <v>18</v>
      </c>
      <c r="F384" t="s">
        <v>36</v>
      </c>
      <c r="G384">
        <v>0</v>
      </c>
      <c r="H384">
        <v>0</v>
      </c>
      <c r="I384">
        <v>0.312222</v>
      </c>
    </row>
    <row r="385" spans="1:9" x14ac:dyDescent="0.25">
      <c r="A385">
        <v>2000070160</v>
      </c>
      <c r="B385" t="s">
        <v>303</v>
      </c>
      <c r="C385" t="s">
        <v>126</v>
      </c>
      <c r="D385" t="s">
        <v>127</v>
      </c>
      <c r="E385" s="2">
        <v>51</v>
      </c>
      <c r="F385" t="s">
        <v>36</v>
      </c>
      <c r="G385">
        <v>0</v>
      </c>
      <c r="H385" s="2">
        <v>0</v>
      </c>
      <c r="I385">
        <v>0.397451</v>
      </c>
    </row>
    <row r="386" spans="1:9" x14ac:dyDescent="0.25">
      <c r="A386">
        <v>2000070168</v>
      </c>
      <c r="B386" t="s">
        <v>304</v>
      </c>
      <c r="C386" t="s">
        <v>130</v>
      </c>
      <c r="D386" t="s">
        <v>131</v>
      </c>
      <c r="E386" s="2">
        <v>7</v>
      </c>
      <c r="F386" t="s">
        <v>36</v>
      </c>
      <c r="G386" s="2">
        <v>1360</v>
      </c>
      <c r="H386">
        <v>0</v>
      </c>
      <c r="I386">
        <v>0.38</v>
      </c>
    </row>
    <row r="387" spans="1:9" x14ac:dyDescent="0.25">
      <c r="A387">
        <v>2000070168</v>
      </c>
      <c r="B387" t="s">
        <v>304</v>
      </c>
      <c r="C387" t="s">
        <v>137</v>
      </c>
      <c r="D387" t="s">
        <v>138</v>
      </c>
      <c r="E387" s="2">
        <v>0</v>
      </c>
      <c r="F387" t="s">
        <v>36</v>
      </c>
      <c r="G387">
        <v>0</v>
      </c>
      <c r="H387">
        <v>60</v>
      </c>
      <c r="I387">
        <v>0.40500000000000003</v>
      </c>
    </row>
    <row r="388" spans="1:9" x14ac:dyDescent="0.25">
      <c r="A388">
        <v>2000070169</v>
      </c>
      <c r="B388" t="s">
        <v>305</v>
      </c>
      <c r="C388" t="s">
        <v>130</v>
      </c>
      <c r="D388" t="s">
        <v>131</v>
      </c>
      <c r="E388" s="2">
        <v>6292</v>
      </c>
      <c r="F388" t="s">
        <v>36</v>
      </c>
      <c r="G388" s="2">
        <v>0</v>
      </c>
      <c r="H388">
        <v>0</v>
      </c>
      <c r="I388">
        <v>0.40444999999999998</v>
      </c>
    </row>
    <row r="389" spans="1:9" x14ac:dyDescent="0.25">
      <c r="A389">
        <v>2000070170</v>
      </c>
      <c r="B389" t="s">
        <v>306</v>
      </c>
      <c r="C389" t="s">
        <v>307</v>
      </c>
      <c r="D389" t="s">
        <v>308</v>
      </c>
      <c r="E389" s="2">
        <v>1440</v>
      </c>
      <c r="F389" t="s">
        <v>36</v>
      </c>
      <c r="G389">
        <v>0</v>
      </c>
      <c r="H389">
        <v>0</v>
      </c>
      <c r="I389">
        <v>0.40444400000000003</v>
      </c>
    </row>
    <row r="390" spans="1:9" x14ac:dyDescent="0.25">
      <c r="A390">
        <v>2000070170</v>
      </c>
      <c r="B390" t="s">
        <v>306</v>
      </c>
      <c r="C390" t="s">
        <v>130</v>
      </c>
      <c r="D390" t="s">
        <v>131</v>
      </c>
      <c r="E390" s="2">
        <v>541</v>
      </c>
      <c r="F390" t="s">
        <v>36</v>
      </c>
      <c r="G390">
        <v>0</v>
      </c>
      <c r="H390">
        <v>0</v>
      </c>
      <c r="I390">
        <v>0.40447300000000003</v>
      </c>
    </row>
    <row r="391" spans="1:9" x14ac:dyDescent="0.25">
      <c r="A391">
        <v>2000070171</v>
      </c>
      <c r="B391" t="s">
        <v>309</v>
      </c>
      <c r="C391" t="s">
        <v>130</v>
      </c>
      <c r="D391" t="s">
        <v>131</v>
      </c>
      <c r="E391" s="2">
        <v>26</v>
      </c>
      <c r="F391" t="s">
        <v>36</v>
      </c>
      <c r="G391" s="2">
        <v>0</v>
      </c>
      <c r="H391">
        <v>0</v>
      </c>
      <c r="I391">
        <v>0.404615</v>
      </c>
    </row>
    <row r="392" spans="1:9" x14ac:dyDescent="0.25">
      <c r="A392">
        <v>2000070172</v>
      </c>
      <c r="B392" t="s">
        <v>310</v>
      </c>
      <c r="C392" t="s">
        <v>130</v>
      </c>
      <c r="D392" t="s">
        <v>131</v>
      </c>
      <c r="E392" s="2">
        <v>736</v>
      </c>
      <c r="F392" t="s">
        <v>230</v>
      </c>
      <c r="G392">
        <v>0</v>
      </c>
      <c r="H392">
        <v>11</v>
      </c>
      <c r="I392">
        <v>2.0294699999999999</v>
      </c>
    </row>
    <row r="393" spans="1:9" x14ac:dyDescent="0.25">
      <c r="A393">
        <v>2000070172</v>
      </c>
      <c r="B393" t="s">
        <v>310</v>
      </c>
      <c r="C393" t="s">
        <v>126</v>
      </c>
      <c r="D393" t="s">
        <v>127</v>
      </c>
      <c r="E393" s="2">
        <v>11</v>
      </c>
      <c r="F393" t="s">
        <v>230</v>
      </c>
      <c r="G393">
        <v>0</v>
      </c>
      <c r="H393">
        <v>0</v>
      </c>
      <c r="I393">
        <v>2.0290910000000002</v>
      </c>
    </row>
    <row r="394" spans="1:9" x14ac:dyDescent="0.25">
      <c r="A394">
        <v>2000070172</v>
      </c>
      <c r="B394" t="s">
        <v>310</v>
      </c>
      <c r="C394" t="s">
        <v>139</v>
      </c>
      <c r="D394" t="s">
        <v>140</v>
      </c>
      <c r="E394" s="2">
        <v>11</v>
      </c>
      <c r="F394" t="s">
        <v>230</v>
      </c>
      <c r="G394">
        <v>11</v>
      </c>
      <c r="H394" s="2">
        <v>0</v>
      </c>
      <c r="I394">
        <v>2.0290910000000002</v>
      </c>
    </row>
    <row r="395" spans="1:9" x14ac:dyDescent="0.25">
      <c r="A395">
        <v>2000070173</v>
      </c>
      <c r="B395" t="s">
        <v>311</v>
      </c>
      <c r="C395" t="s">
        <v>130</v>
      </c>
      <c r="D395" t="s">
        <v>131</v>
      </c>
      <c r="E395" s="2">
        <v>37</v>
      </c>
      <c r="F395" t="s">
        <v>230</v>
      </c>
      <c r="G395">
        <v>0</v>
      </c>
      <c r="H395" s="2">
        <v>0</v>
      </c>
      <c r="I395">
        <v>2.0210810000000001</v>
      </c>
    </row>
    <row r="396" spans="1:9" x14ac:dyDescent="0.25">
      <c r="A396">
        <v>2000070174</v>
      </c>
      <c r="B396" t="s">
        <v>312</v>
      </c>
      <c r="C396" t="s">
        <v>130</v>
      </c>
      <c r="D396" t="s">
        <v>131</v>
      </c>
      <c r="E396" s="2">
        <v>3880</v>
      </c>
      <c r="F396" t="s">
        <v>230</v>
      </c>
      <c r="G396">
        <v>0</v>
      </c>
      <c r="H396">
        <v>0</v>
      </c>
      <c r="I396">
        <v>2.108196</v>
      </c>
    </row>
    <row r="397" spans="1:9" x14ac:dyDescent="0.25">
      <c r="A397">
        <v>2000070174</v>
      </c>
      <c r="B397" t="s">
        <v>312</v>
      </c>
      <c r="C397" t="s">
        <v>258</v>
      </c>
      <c r="D397" t="s">
        <v>259</v>
      </c>
      <c r="E397" s="2">
        <v>0</v>
      </c>
      <c r="F397" t="s">
        <v>230</v>
      </c>
      <c r="G397">
        <v>0</v>
      </c>
      <c r="H397" s="2">
        <v>60</v>
      </c>
      <c r="I397">
        <v>0</v>
      </c>
    </row>
    <row r="398" spans="1:9" x14ac:dyDescent="0.25">
      <c r="A398">
        <v>2000070174</v>
      </c>
      <c r="B398" t="s">
        <v>312</v>
      </c>
      <c r="C398" t="s">
        <v>137</v>
      </c>
      <c r="D398" t="s">
        <v>138</v>
      </c>
      <c r="E398" s="2">
        <v>456</v>
      </c>
      <c r="F398" t="s">
        <v>230</v>
      </c>
      <c r="G398">
        <v>0</v>
      </c>
      <c r="H398">
        <v>0</v>
      </c>
      <c r="I398">
        <v>2.108158</v>
      </c>
    </row>
    <row r="399" spans="1:9" x14ac:dyDescent="0.25">
      <c r="A399">
        <v>2000070175</v>
      </c>
      <c r="B399" t="s">
        <v>313</v>
      </c>
      <c r="C399" t="s">
        <v>130</v>
      </c>
      <c r="D399" t="s">
        <v>131</v>
      </c>
      <c r="E399" s="2">
        <v>65</v>
      </c>
      <c r="F399" t="s">
        <v>230</v>
      </c>
      <c r="G399">
        <v>1</v>
      </c>
      <c r="H399" s="2">
        <v>0</v>
      </c>
      <c r="I399">
        <v>3.1619999999999999</v>
      </c>
    </row>
    <row r="400" spans="1:9" x14ac:dyDescent="0.25">
      <c r="A400">
        <v>2000070175</v>
      </c>
      <c r="B400" t="s">
        <v>313</v>
      </c>
      <c r="C400" t="s">
        <v>126</v>
      </c>
      <c r="D400" t="s">
        <v>127</v>
      </c>
      <c r="E400" s="2">
        <v>1</v>
      </c>
      <c r="F400" t="s">
        <v>230</v>
      </c>
      <c r="G400">
        <v>0</v>
      </c>
      <c r="H400">
        <v>0</v>
      </c>
      <c r="I400">
        <v>3.16</v>
      </c>
    </row>
    <row r="401" spans="1:9" x14ac:dyDescent="0.25">
      <c r="A401">
        <v>2000070175</v>
      </c>
      <c r="B401" t="s">
        <v>313</v>
      </c>
      <c r="C401" t="s">
        <v>137</v>
      </c>
      <c r="D401" t="s">
        <v>138</v>
      </c>
      <c r="E401" s="2">
        <v>0</v>
      </c>
      <c r="F401" t="s">
        <v>230</v>
      </c>
      <c r="G401">
        <v>0</v>
      </c>
      <c r="H401">
        <v>1</v>
      </c>
      <c r="I401">
        <v>3.1609090000000002</v>
      </c>
    </row>
    <row r="402" spans="1:9" x14ac:dyDescent="0.25">
      <c r="A402">
        <v>2000070176</v>
      </c>
      <c r="B402" t="s">
        <v>314</v>
      </c>
      <c r="C402" t="s">
        <v>130</v>
      </c>
      <c r="D402" t="s">
        <v>131</v>
      </c>
      <c r="E402" s="2">
        <v>23</v>
      </c>
      <c r="F402" t="s">
        <v>230</v>
      </c>
      <c r="G402">
        <v>176</v>
      </c>
      <c r="H402">
        <v>20</v>
      </c>
      <c r="I402">
        <v>3.1847829999999999</v>
      </c>
    </row>
    <row r="403" spans="1:9" x14ac:dyDescent="0.25">
      <c r="A403">
        <v>2000070176</v>
      </c>
      <c r="B403" t="s">
        <v>314</v>
      </c>
      <c r="C403" t="s">
        <v>142</v>
      </c>
      <c r="D403" t="s">
        <v>143</v>
      </c>
      <c r="E403" s="2">
        <v>0</v>
      </c>
      <c r="F403" t="s">
        <v>230</v>
      </c>
      <c r="G403">
        <v>20</v>
      </c>
      <c r="H403" s="2">
        <v>0</v>
      </c>
      <c r="I403">
        <v>3.1844000000000001</v>
      </c>
    </row>
    <row r="404" spans="1:9" x14ac:dyDescent="0.25">
      <c r="A404">
        <v>2000070176</v>
      </c>
      <c r="B404" t="s">
        <v>314</v>
      </c>
      <c r="C404" t="s">
        <v>137</v>
      </c>
      <c r="D404" t="s">
        <v>138</v>
      </c>
      <c r="E404" s="2">
        <v>5</v>
      </c>
      <c r="F404" t="s">
        <v>230</v>
      </c>
      <c r="G404" s="2">
        <v>0</v>
      </c>
      <c r="H404" s="2">
        <v>0</v>
      </c>
      <c r="I404">
        <v>3.18</v>
      </c>
    </row>
    <row r="405" spans="1:9" x14ac:dyDescent="0.25">
      <c r="A405">
        <v>2000070177</v>
      </c>
      <c r="B405" t="s">
        <v>315</v>
      </c>
      <c r="C405" t="s">
        <v>130</v>
      </c>
      <c r="D405" t="s">
        <v>131</v>
      </c>
      <c r="E405" s="2">
        <v>108</v>
      </c>
      <c r="F405" t="s">
        <v>230</v>
      </c>
      <c r="G405">
        <v>887</v>
      </c>
      <c r="H405" s="2">
        <v>4837</v>
      </c>
      <c r="I405">
        <v>2.52</v>
      </c>
    </row>
    <row r="406" spans="1:9" x14ac:dyDescent="0.25">
      <c r="A406">
        <v>2000070177</v>
      </c>
      <c r="B406" t="s">
        <v>315</v>
      </c>
      <c r="C406" t="s">
        <v>137</v>
      </c>
      <c r="D406" t="s">
        <v>138</v>
      </c>
      <c r="E406" s="2">
        <v>5</v>
      </c>
      <c r="F406" t="s">
        <v>230</v>
      </c>
      <c r="G406" s="2">
        <v>0</v>
      </c>
      <c r="H406">
        <v>0</v>
      </c>
      <c r="I406">
        <v>2.52</v>
      </c>
    </row>
    <row r="407" spans="1:9" x14ac:dyDescent="0.25">
      <c r="A407">
        <v>2000070177</v>
      </c>
      <c r="B407" t="s">
        <v>315</v>
      </c>
      <c r="C407" t="s">
        <v>151</v>
      </c>
      <c r="D407" t="s">
        <v>152</v>
      </c>
      <c r="E407" s="2">
        <v>0</v>
      </c>
      <c r="F407" t="s">
        <v>230</v>
      </c>
      <c r="G407" s="2">
        <v>4836</v>
      </c>
      <c r="H407">
        <v>0</v>
      </c>
      <c r="I407">
        <v>2.5198580000000002</v>
      </c>
    </row>
    <row r="408" spans="1:9" x14ac:dyDescent="0.25">
      <c r="A408">
        <v>2000070177</v>
      </c>
      <c r="B408" t="s">
        <v>315</v>
      </c>
      <c r="C408" t="s">
        <v>139</v>
      </c>
      <c r="D408" t="s">
        <v>140</v>
      </c>
      <c r="E408" s="2">
        <v>0</v>
      </c>
      <c r="F408" t="s">
        <v>230</v>
      </c>
      <c r="G408">
        <v>1</v>
      </c>
      <c r="H408">
        <v>0</v>
      </c>
      <c r="I408">
        <v>0</v>
      </c>
    </row>
    <row r="409" spans="1:9" x14ac:dyDescent="0.25">
      <c r="A409">
        <v>2000070178</v>
      </c>
      <c r="B409" t="s">
        <v>316</v>
      </c>
      <c r="C409" t="s">
        <v>130</v>
      </c>
      <c r="D409" t="s">
        <v>131</v>
      </c>
      <c r="E409" s="2">
        <v>3</v>
      </c>
      <c r="F409" t="s">
        <v>230</v>
      </c>
      <c r="G409" s="2">
        <v>517</v>
      </c>
      <c r="H409" s="2">
        <v>97</v>
      </c>
      <c r="I409">
        <v>2.8433329999999999</v>
      </c>
    </row>
    <row r="410" spans="1:9" x14ac:dyDescent="0.25">
      <c r="A410">
        <v>2000070178</v>
      </c>
      <c r="B410" t="s">
        <v>316</v>
      </c>
      <c r="C410" t="s">
        <v>137</v>
      </c>
      <c r="D410" t="s">
        <v>138</v>
      </c>
      <c r="E410" s="2">
        <v>4</v>
      </c>
      <c r="F410" t="s">
        <v>230</v>
      </c>
      <c r="G410">
        <v>0</v>
      </c>
      <c r="H410">
        <v>25</v>
      </c>
      <c r="I410">
        <v>2.8424999999999998</v>
      </c>
    </row>
    <row r="411" spans="1:9" x14ac:dyDescent="0.25">
      <c r="A411">
        <v>2000070178</v>
      </c>
      <c r="B411" t="s">
        <v>316</v>
      </c>
      <c r="C411" t="s">
        <v>151</v>
      </c>
      <c r="D411" t="s">
        <v>152</v>
      </c>
      <c r="E411" s="2">
        <v>0</v>
      </c>
      <c r="F411" t="s">
        <v>230</v>
      </c>
      <c r="G411">
        <v>96</v>
      </c>
      <c r="H411">
        <v>0</v>
      </c>
      <c r="I411">
        <v>2.8424999999999998</v>
      </c>
    </row>
    <row r="412" spans="1:9" x14ac:dyDescent="0.25">
      <c r="A412">
        <v>2000070178</v>
      </c>
      <c r="B412" t="s">
        <v>316</v>
      </c>
      <c r="C412" t="s">
        <v>139</v>
      </c>
      <c r="D412" t="s">
        <v>140</v>
      </c>
      <c r="E412" s="2">
        <v>0</v>
      </c>
      <c r="F412" t="s">
        <v>230</v>
      </c>
      <c r="G412" s="2">
        <v>1</v>
      </c>
      <c r="H412" s="2">
        <v>0</v>
      </c>
      <c r="I412">
        <v>2.8425690000000001</v>
      </c>
    </row>
    <row r="413" spans="1:9" x14ac:dyDescent="0.25">
      <c r="A413">
        <v>2000070179</v>
      </c>
      <c r="B413" t="s">
        <v>317</v>
      </c>
      <c r="C413" t="s">
        <v>130</v>
      </c>
      <c r="D413" t="s">
        <v>131</v>
      </c>
      <c r="E413" s="2">
        <v>0</v>
      </c>
      <c r="F413" t="s">
        <v>230</v>
      </c>
      <c r="G413">
        <v>530</v>
      </c>
      <c r="H413">
        <v>1</v>
      </c>
      <c r="I413">
        <v>2.68</v>
      </c>
    </row>
    <row r="414" spans="1:9" x14ac:dyDescent="0.25">
      <c r="A414">
        <v>2000070179</v>
      </c>
      <c r="B414" t="s">
        <v>317</v>
      </c>
      <c r="C414" t="s">
        <v>167</v>
      </c>
      <c r="D414" t="s">
        <v>168</v>
      </c>
      <c r="E414" s="2">
        <v>320</v>
      </c>
      <c r="F414" t="s">
        <v>230</v>
      </c>
      <c r="G414">
        <v>0</v>
      </c>
      <c r="H414">
        <v>340</v>
      </c>
      <c r="I414">
        <v>2.683875</v>
      </c>
    </row>
    <row r="415" spans="1:9" x14ac:dyDescent="0.25">
      <c r="A415">
        <v>2000070179</v>
      </c>
      <c r="B415" t="s">
        <v>317</v>
      </c>
      <c r="C415" t="s">
        <v>258</v>
      </c>
      <c r="D415" t="s">
        <v>259</v>
      </c>
      <c r="E415" s="2">
        <v>192</v>
      </c>
      <c r="F415" t="s">
        <v>230</v>
      </c>
      <c r="G415">
        <v>0</v>
      </c>
      <c r="H415" s="2">
        <v>0</v>
      </c>
      <c r="I415">
        <v>2.7127080000000001</v>
      </c>
    </row>
    <row r="416" spans="1:9" x14ac:dyDescent="0.25">
      <c r="A416">
        <v>2000070179</v>
      </c>
      <c r="B416" t="s">
        <v>317</v>
      </c>
      <c r="C416" t="s">
        <v>137</v>
      </c>
      <c r="D416" t="s">
        <v>138</v>
      </c>
      <c r="E416" s="2">
        <v>3</v>
      </c>
      <c r="F416" t="s">
        <v>230</v>
      </c>
      <c r="G416">
        <v>0</v>
      </c>
      <c r="H416">
        <v>103</v>
      </c>
      <c r="I416">
        <v>2.6833330000000002</v>
      </c>
    </row>
    <row r="417" spans="1:9" x14ac:dyDescent="0.25">
      <c r="A417">
        <v>2000070179</v>
      </c>
      <c r="B417" t="s">
        <v>317</v>
      </c>
      <c r="C417" t="s">
        <v>151</v>
      </c>
      <c r="D417" t="s">
        <v>152</v>
      </c>
      <c r="E417" s="2">
        <v>2212</v>
      </c>
      <c r="F417" t="s">
        <v>230</v>
      </c>
      <c r="G417">
        <v>0</v>
      </c>
      <c r="H417">
        <v>0</v>
      </c>
      <c r="I417">
        <v>2.6978979999999999</v>
      </c>
    </row>
    <row r="418" spans="1:9" x14ac:dyDescent="0.25">
      <c r="A418">
        <v>2000070179</v>
      </c>
      <c r="B418" t="s">
        <v>317</v>
      </c>
      <c r="C418" t="s">
        <v>139</v>
      </c>
      <c r="D418" t="s">
        <v>140</v>
      </c>
      <c r="E418" s="2">
        <v>0</v>
      </c>
      <c r="F418" t="s">
        <v>230</v>
      </c>
      <c r="G418">
        <v>1</v>
      </c>
      <c r="H418">
        <v>0</v>
      </c>
      <c r="I418">
        <v>2.712682</v>
      </c>
    </row>
    <row r="419" spans="1:9" x14ac:dyDescent="0.25">
      <c r="A419">
        <v>2000080570</v>
      </c>
      <c r="B419" t="s">
        <v>318</v>
      </c>
      <c r="C419" t="s">
        <v>126</v>
      </c>
      <c r="D419" t="s">
        <v>127</v>
      </c>
      <c r="E419" s="2">
        <v>2400</v>
      </c>
      <c r="F419" t="s">
        <v>36</v>
      </c>
      <c r="G419" s="2">
        <v>0</v>
      </c>
      <c r="H419">
        <v>0</v>
      </c>
      <c r="I419">
        <v>0.470833</v>
      </c>
    </row>
    <row r="420" spans="1:9" x14ac:dyDescent="0.25">
      <c r="A420">
        <v>2000080572</v>
      </c>
      <c r="B420" t="s">
        <v>319</v>
      </c>
      <c r="C420" t="s">
        <v>126</v>
      </c>
      <c r="D420" t="s">
        <v>127</v>
      </c>
      <c r="E420" s="2">
        <v>31</v>
      </c>
      <c r="F420" t="s">
        <v>230</v>
      </c>
      <c r="G420">
        <v>0</v>
      </c>
      <c r="H420" s="2">
        <v>0</v>
      </c>
      <c r="I420">
        <v>3.0564520000000002</v>
      </c>
    </row>
    <row r="421" spans="1:9" x14ac:dyDescent="0.25">
      <c r="A421">
        <v>2000080573</v>
      </c>
      <c r="B421" t="s">
        <v>320</v>
      </c>
      <c r="C421" t="s">
        <v>307</v>
      </c>
      <c r="D421" t="s">
        <v>308</v>
      </c>
      <c r="E421" s="2">
        <v>2825</v>
      </c>
      <c r="F421" t="s">
        <v>36</v>
      </c>
      <c r="G421" s="2">
        <v>0</v>
      </c>
      <c r="H421">
        <v>0</v>
      </c>
      <c r="I421">
        <v>1.7862020000000001</v>
      </c>
    </row>
    <row r="422" spans="1:9" x14ac:dyDescent="0.25">
      <c r="A422">
        <v>2000080573</v>
      </c>
      <c r="B422" t="s">
        <v>320</v>
      </c>
      <c r="C422" t="s">
        <v>130</v>
      </c>
      <c r="D422" t="s">
        <v>131</v>
      </c>
      <c r="E422" s="2">
        <v>70</v>
      </c>
      <c r="F422" t="s">
        <v>36</v>
      </c>
      <c r="G422" s="2">
        <v>289</v>
      </c>
      <c r="H422" s="2">
        <v>7557</v>
      </c>
      <c r="I422">
        <v>1.78</v>
      </c>
    </row>
    <row r="423" spans="1:9" x14ac:dyDescent="0.25">
      <c r="A423">
        <v>2000080573</v>
      </c>
      <c r="B423" t="s">
        <v>320</v>
      </c>
      <c r="C423" t="s">
        <v>137</v>
      </c>
      <c r="D423" t="s">
        <v>138</v>
      </c>
      <c r="E423" s="2">
        <v>0</v>
      </c>
      <c r="F423" t="s">
        <v>36</v>
      </c>
      <c r="G423" s="2">
        <v>0</v>
      </c>
      <c r="H423" s="2">
        <v>25</v>
      </c>
      <c r="I423">
        <v>1.786667</v>
      </c>
    </row>
    <row r="424" spans="1:9" x14ac:dyDescent="0.25">
      <c r="A424">
        <v>2000080573</v>
      </c>
      <c r="B424" t="s">
        <v>320</v>
      </c>
      <c r="C424" t="s">
        <v>139</v>
      </c>
      <c r="D424" t="s">
        <v>140</v>
      </c>
      <c r="E424" s="2">
        <v>7</v>
      </c>
      <c r="F424" t="s">
        <v>36</v>
      </c>
      <c r="G424" s="2">
        <v>7557</v>
      </c>
      <c r="H424">
        <v>0</v>
      </c>
      <c r="I424">
        <v>1.785714</v>
      </c>
    </row>
    <row r="425" spans="1:9" x14ac:dyDescent="0.25">
      <c r="A425">
        <v>2000080575</v>
      </c>
      <c r="B425" t="s">
        <v>321</v>
      </c>
      <c r="C425" t="s">
        <v>130</v>
      </c>
      <c r="D425" t="s">
        <v>131</v>
      </c>
      <c r="E425" s="2">
        <v>3</v>
      </c>
      <c r="F425" t="s">
        <v>36</v>
      </c>
      <c r="G425">
        <v>0</v>
      </c>
      <c r="H425" s="2">
        <v>0</v>
      </c>
      <c r="I425">
        <v>4.8033330000000003</v>
      </c>
    </row>
    <row r="426" spans="1:9" x14ac:dyDescent="0.25">
      <c r="A426">
        <v>2000080575</v>
      </c>
      <c r="B426" t="s">
        <v>321</v>
      </c>
      <c r="C426" t="s">
        <v>126</v>
      </c>
      <c r="D426" t="s">
        <v>127</v>
      </c>
      <c r="E426" s="2">
        <v>3</v>
      </c>
      <c r="F426" t="s">
        <v>36</v>
      </c>
      <c r="G426">
        <v>0</v>
      </c>
      <c r="H426">
        <v>0</v>
      </c>
      <c r="I426">
        <v>4.8033330000000003</v>
      </c>
    </row>
    <row r="427" spans="1:9" x14ac:dyDescent="0.25">
      <c r="A427">
        <v>2000080576</v>
      </c>
      <c r="B427" t="s">
        <v>322</v>
      </c>
      <c r="C427" t="s">
        <v>130</v>
      </c>
      <c r="D427" t="s">
        <v>131</v>
      </c>
      <c r="E427" s="2">
        <v>6558</v>
      </c>
      <c r="F427" t="s">
        <v>230</v>
      </c>
      <c r="G427">
        <v>7</v>
      </c>
      <c r="H427">
        <v>0</v>
      </c>
      <c r="I427">
        <v>4.6912200000000004</v>
      </c>
    </row>
    <row r="428" spans="1:9" x14ac:dyDescent="0.25">
      <c r="A428">
        <v>2000080576</v>
      </c>
      <c r="B428" t="s">
        <v>322</v>
      </c>
      <c r="C428" t="s">
        <v>137</v>
      </c>
      <c r="D428" t="s">
        <v>138</v>
      </c>
      <c r="E428" s="2">
        <v>18</v>
      </c>
      <c r="F428" t="s">
        <v>230</v>
      </c>
      <c r="G428">
        <v>0</v>
      </c>
      <c r="H428">
        <v>1</v>
      </c>
      <c r="I428">
        <v>4.6911110000000003</v>
      </c>
    </row>
    <row r="429" spans="1:9" x14ac:dyDescent="0.25">
      <c r="A429">
        <v>2000080577</v>
      </c>
      <c r="B429" t="s">
        <v>323</v>
      </c>
      <c r="C429" t="s">
        <v>130</v>
      </c>
      <c r="D429" t="s">
        <v>131</v>
      </c>
      <c r="E429" s="2">
        <v>1203</v>
      </c>
      <c r="F429" t="s">
        <v>36</v>
      </c>
      <c r="G429" s="2">
        <v>1236</v>
      </c>
      <c r="H429">
        <v>0</v>
      </c>
      <c r="I429">
        <v>3.7536079999999998</v>
      </c>
    </row>
    <row r="430" spans="1:9" x14ac:dyDescent="0.25">
      <c r="A430">
        <v>2000080577</v>
      </c>
      <c r="B430" t="s">
        <v>323</v>
      </c>
      <c r="C430" t="s">
        <v>258</v>
      </c>
      <c r="D430" t="s">
        <v>259</v>
      </c>
      <c r="E430" s="2">
        <v>2</v>
      </c>
      <c r="F430" t="s">
        <v>36</v>
      </c>
      <c r="G430" s="2">
        <v>0</v>
      </c>
      <c r="H430">
        <v>0</v>
      </c>
      <c r="I430">
        <v>3.68</v>
      </c>
    </row>
    <row r="431" spans="1:9" x14ac:dyDescent="0.25">
      <c r="A431">
        <v>2000080577</v>
      </c>
      <c r="B431" t="s">
        <v>323</v>
      </c>
      <c r="C431" t="s">
        <v>137</v>
      </c>
      <c r="D431" t="s">
        <v>138</v>
      </c>
      <c r="E431" s="2">
        <v>4</v>
      </c>
      <c r="F431" t="s">
        <v>36</v>
      </c>
      <c r="G431" s="2">
        <v>0</v>
      </c>
      <c r="H431">
        <v>0</v>
      </c>
      <c r="I431">
        <v>3.7524999999999999</v>
      </c>
    </row>
    <row r="432" spans="1:9" x14ac:dyDescent="0.25">
      <c r="A432">
        <v>2000080577</v>
      </c>
      <c r="B432" t="s">
        <v>323</v>
      </c>
      <c r="C432" t="s">
        <v>151</v>
      </c>
      <c r="D432" t="s">
        <v>152</v>
      </c>
      <c r="E432" s="2">
        <v>648</v>
      </c>
      <c r="F432" t="s">
        <v>36</v>
      </c>
      <c r="G432">
        <v>0</v>
      </c>
      <c r="H432">
        <v>0</v>
      </c>
      <c r="I432">
        <v>3.677546</v>
      </c>
    </row>
    <row r="433" spans="1:9" x14ac:dyDescent="0.25">
      <c r="A433">
        <v>2000080578</v>
      </c>
      <c r="B433" t="s">
        <v>324</v>
      </c>
      <c r="C433" t="s">
        <v>130</v>
      </c>
      <c r="D433" t="s">
        <v>131</v>
      </c>
      <c r="E433" s="2">
        <v>2899</v>
      </c>
      <c r="F433" t="s">
        <v>230</v>
      </c>
      <c r="G433">
        <v>873</v>
      </c>
      <c r="H433">
        <v>0</v>
      </c>
      <c r="I433">
        <v>7.9551980000000002</v>
      </c>
    </row>
    <row r="434" spans="1:9" x14ac:dyDescent="0.25">
      <c r="A434">
        <v>2000080578</v>
      </c>
      <c r="B434" t="s">
        <v>324</v>
      </c>
      <c r="C434" t="s">
        <v>258</v>
      </c>
      <c r="D434" t="s">
        <v>259</v>
      </c>
      <c r="E434" s="2">
        <v>2</v>
      </c>
      <c r="F434" t="s">
        <v>230</v>
      </c>
      <c r="G434">
        <v>0</v>
      </c>
      <c r="H434" s="2">
        <v>0</v>
      </c>
      <c r="I434">
        <v>7.9550000000000001</v>
      </c>
    </row>
    <row r="435" spans="1:9" x14ac:dyDescent="0.25">
      <c r="A435">
        <v>2000080578</v>
      </c>
      <c r="B435" t="s">
        <v>324</v>
      </c>
      <c r="C435" t="s">
        <v>137</v>
      </c>
      <c r="D435" t="s">
        <v>138</v>
      </c>
      <c r="E435" s="2">
        <v>2</v>
      </c>
      <c r="F435" t="s">
        <v>230</v>
      </c>
      <c r="G435">
        <v>0</v>
      </c>
      <c r="H435">
        <v>0</v>
      </c>
      <c r="I435">
        <v>7.96</v>
      </c>
    </row>
    <row r="436" spans="1:9" x14ac:dyDescent="0.25">
      <c r="A436">
        <v>2000080578</v>
      </c>
      <c r="B436" t="s">
        <v>324</v>
      </c>
      <c r="C436" t="s">
        <v>151</v>
      </c>
      <c r="D436" t="s">
        <v>152</v>
      </c>
      <c r="E436" s="2">
        <v>456</v>
      </c>
      <c r="F436" t="s">
        <v>230</v>
      </c>
      <c r="G436">
        <v>0</v>
      </c>
      <c r="H436">
        <v>0</v>
      </c>
      <c r="I436">
        <v>7.9551749999999997</v>
      </c>
    </row>
    <row r="437" spans="1:9" x14ac:dyDescent="0.25">
      <c r="A437">
        <v>2000080579</v>
      </c>
      <c r="B437" t="s">
        <v>325</v>
      </c>
      <c r="C437" t="s">
        <v>130</v>
      </c>
      <c r="D437" t="s">
        <v>131</v>
      </c>
      <c r="E437" s="2">
        <v>6195</v>
      </c>
      <c r="F437" t="s">
        <v>230</v>
      </c>
      <c r="G437">
        <v>746</v>
      </c>
      <c r="H437">
        <v>0</v>
      </c>
      <c r="I437">
        <v>15.189207</v>
      </c>
    </row>
    <row r="438" spans="1:9" x14ac:dyDescent="0.25">
      <c r="A438">
        <v>2000080579</v>
      </c>
      <c r="B438" t="s">
        <v>325</v>
      </c>
      <c r="C438" t="s">
        <v>258</v>
      </c>
      <c r="D438" t="s">
        <v>259</v>
      </c>
      <c r="E438" s="2">
        <v>2</v>
      </c>
      <c r="F438" t="s">
        <v>230</v>
      </c>
      <c r="G438">
        <v>0</v>
      </c>
      <c r="H438" s="2">
        <v>0</v>
      </c>
      <c r="I438">
        <v>15.105</v>
      </c>
    </row>
    <row r="439" spans="1:9" x14ac:dyDescent="0.25">
      <c r="A439">
        <v>2000080579</v>
      </c>
      <c r="B439" t="s">
        <v>325</v>
      </c>
      <c r="C439" t="s">
        <v>137</v>
      </c>
      <c r="D439" t="s">
        <v>138</v>
      </c>
      <c r="E439" s="2">
        <v>13</v>
      </c>
      <c r="F439" t="s">
        <v>230</v>
      </c>
      <c r="G439">
        <v>0</v>
      </c>
      <c r="H439">
        <v>0</v>
      </c>
      <c r="I439">
        <v>15.187692</v>
      </c>
    </row>
    <row r="440" spans="1:9" x14ac:dyDescent="0.25">
      <c r="A440">
        <v>2000100059</v>
      </c>
      <c r="B440" t="s">
        <v>326</v>
      </c>
      <c r="C440" t="s">
        <v>130</v>
      </c>
      <c r="D440" t="s">
        <v>131</v>
      </c>
      <c r="E440" s="2">
        <v>0</v>
      </c>
      <c r="F440" t="s">
        <v>36</v>
      </c>
      <c r="G440">
        <v>0</v>
      </c>
      <c r="H440">
        <v>9.9995999999999992</v>
      </c>
      <c r="I440">
        <v>0</v>
      </c>
    </row>
    <row r="441" spans="1:9" x14ac:dyDescent="0.25">
      <c r="A441">
        <v>2000100059</v>
      </c>
      <c r="B441" t="s">
        <v>326</v>
      </c>
      <c r="C441" t="s">
        <v>139</v>
      </c>
      <c r="D441" t="s">
        <v>140</v>
      </c>
      <c r="E441" s="2">
        <v>9.9995999999999992</v>
      </c>
      <c r="F441" t="s">
        <v>36</v>
      </c>
      <c r="G441">
        <v>9.9995999999999992</v>
      </c>
      <c r="H441" s="2">
        <v>0</v>
      </c>
      <c r="I441">
        <v>0.38901599999999997</v>
      </c>
    </row>
    <row r="442" spans="1:9" x14ac:dyDescent="0.25">
      <c r="A442">
        <v>2000100061</v>
      </c>
      <c r="B442" t="s">
        <v>327</v>
      </c>
      <c r="C442" t="s">
        <v>130</v>
      </c>
      <c r="D442" t="s">
        <v>131</v>
      </c>
      <c r="E442" s="2">
        <v>46313</v>
      </c>
      <c r="F442" t="s">
        <v>36</v>
      </c>
      <c r="G442">
        <v>48</v>
      </c>
      <c r="H442">
        <v>0</v>
      </c>
      <c r="I442">
        <v>0.25554100000000002</v>
      </c>
    </row>
    <row r="443" spans="1:9" x14ac:dyDescent="0.25">
      <c r="A443">
        <v>2000100061</v>
      </c>
      <c r="B443" t="s">
        <v>327</v>
      </c>
      <c r="C443" t="s">
        <v>126</v>
      </c>
      <c r="D443" t="s">
        <v>127</v>
      </c>
      <c r="E443" s="2">
        <v>144</v>
      </c>
      <c r="F443" t="s">
        <v>36</v>
      </c>
      <c r="G443" s="2">
        <v>0</v>
      </c>
      <c r="H443" s="2">
        <v>0</v>
      </c>
      <c r="I443">
        <v>0.281111</v>
      </c>
    </row>
    <row r="444" spans="1:9" x14ac:dyDescent="0.25">
      <c r="A444">
        <v>2000110024</v>
      </c>
      <c r="B444" t="s">
        <v>328</v>
      </c>
      <c r="C444" t="s">
        <v>329</v>
      </c>
      <c r="D444" t="s">
        <v>330</v>
      </c>
      <c r="E444" s="2">
        <v>8.2799999999999999E-2</v>
      </c>
      <c r="F444" t="s">
        <v>36</v>
      </c>
      <c r="G444" s="2">
        <v>0</v>
      </c>
      <c r="H444">
        <v>0</v>
      </c>
      <c r="I444">
        <v>1.086957</v>
      </c>
    </row>
    <row r="445" spans="1:9" x14ac:dyDescent="0.25">
      <c r="A445">
        <v>2000110055</v>
      </c>
      <c r="B445" t="s">
        <v>331</v>
      </c>
      <c r="C445" t="s">
        <v>130</v>
      </c>
      <c r="D445" t="s">
        <v>131</v>
      </c>
      <c r="E445" s="2">
        <v>6453</v>
      </c>
      <c r="F445" t="s">
        <v>36</v>
      </c>
      <c r="G445">
        <v>24</v>
      </c>
      <c r="H445">
        <v>0</v>
      </c>
      <c r="I445">
        <v>0.94600300000000004</v>
      </c>
    </row>
    <row r="446" spans="1:9" x14ac:dyDescent="0.25">
      <c r="A446">
        <v>2000110055</v>
      </c>
      <c r="B446" t="s">
        <v>331</v>
      </c>
      <c r="C446" t="s">
        <v>126</v>
      </c>
      <c r="D446" t="s">
        <v>127</v>
      </c>
      <c r="E446" s="2">
        <v>1</v>
      </c>
      <c r="F446" t="s">
        <v>36</v>
      </c>
      <c r="G446">
        <v>0</v>
      </c>
      <c r="H446">
        <v>0</v>
      </c>
      <c r="I446">
        <v>1.06</v>
      </c>
    </row>
    <row r="447" spans="1:9" x14ac:dyDescent="0.25">
      <c r="A447">
        <v>2000110055</v>
      </c>
      <c r="B447" t="s">
        <v>331</v>
      </c>
      <c r="C447" t="s">
        <v>151</v>
      </c>
      <c r="D447" t="s">
        <v>152</v>
      </c>
      <c r="E447" s="2">
        <v>516</v>
      </c>
      <c r="F447" t="s">
        <v>36</v>
      </c>
      <c r="G447" s="2">
        <v>0</v>
      </c>
      <c r="H447">
        <v>0</v>
      </c>
      <c r="I447">
        <v>0.95081400000000005</v>
      </c>
    </row>
    <row r="448" spans="1:9" x14ac:dyDescent="0.25">
      <c r="A448">
        <v>2000110056</v>
      </c>
      <c r="B448" t="s">
        <v>332</v>
      </c>
      <c r="C448" t="s">
        <v>130</v>
      </c>
      <c r="D448" t="s">
        <v>131</v>
      </c>
      <c r="E448" s="2">
        <v>2249</v>
      </c>
      <c r="F448" t="s">
        <v>36</v>
      </c>
      <c r="G448">
        <v>13</v>
      </c>
      <c r="H448" s="2">
        <v>0</v>
      </c>
      <c r="I448">
        <v>0.96548699999999998</v>
      </c>
    </row>
    <row r="449" spans="1:9" x14ac:dyDescent="0.25">
      <c r="A449">
        <v>2000110057</v>
      </c>
      <c r="B449" t="s">
        <v>333</v>
      </c>
      <c r="C449" t="s">
        <v>130</v>
      </c>
      <c r="D449" t="s">
        <v>131</v>
      </c>
      <c r="E449" s="2">
        <v>1256</v>
      </c>
      <c r="F449" t="s">
        <v>36</v>
      </c>
      <c r="G449">
        <v>3</v>
      </c>
      <c r="H449">
        <v>22</v>
      </c>
      <c r="I449">
        <v>1.175311</v>
      </c>
    </row>
    <row r="450" spans="1:9" x14ac:dyDescent="0.25">
      <c r="A450">
        <v>2000110057</v>
      </c>
      <c r="B450" t="s">
        <v>333</v>
      </c>
      <c r="C450" t="s">
        <v>139</v>
      </c>
      <c r="D450" t="s">
        <v>140</v>
      </c>
      <c r="E450" s="2">
        <v>22</v>
      </c>
      <c r="F450" t="s">
        <v>36</v>
      </c>
      <c r="G450">
        <v>22</v>
      </c>
      <c r="H450">
        <v>0</v>
      </c>
      <c r="I450">
        <v>1.1754549999999999</v>
      </c>
    </row>
    <row r="451" spans="1:9" x14ac:dyDescent="0.25">
      <c r="A451">
        <v>2000110058</v>
      </c>
      <c r="B451" t="s">
        <v>334</v>
      </c>
      <c r="C451" t="s">
        <v>130</v>
      </c>
      <c r="D451" t="s">
        <v>131</v>
      </c>
      <c r="E451" s="2">
        <v>883</v>
      </c>
      <c r="F451" t="s">
        <v>36</v>
      </c>
      <c r="G451">
        <v>3</v>
      </c>
      <c r="H451">
        <v>642</v>
      </c>
      <c r="I451">
        <v>1.1752549999999999</v>
      </c>
    </row>
    <row r="452" spans="1:9" x14ac:dyDescent="0.25">
      <c r="A452">
        <v>2000110058</v>
      </c>
      <c r="B452" t="s">
        <v>334</v>
      </c>
      <c r="C452" t="s">
        <v>139</v>
      </c>
      <c r="D452" t="s">
        <v>140</v>
      </c>
      <c r="E452" s="2">
        <v>642</v>
      </c>
      <c r="F452" t="s">
        <v>36</v>
      </c>
      <c r="G452" s="2">
        <v>642</v>
      </c>
      <c r="H452">
        <v>0</v>
      </c>
      <c r="I452">
        <v>1.175265</v>
      </c>
    </row>
    <row r="453" spans="1:9" x14ac:dyDescent="0.25">
      <c r="A453">
        <v>2000110059</v>
      </c>
      <c r="B453" t="s">
        <v>335</v>
      </c>
      <c r="C453" t="s">
        <v>130</v>
      </c>
      <c r="D453" t="s">
        <v>131</v>
      </c>
      <c r="E453" s="2">
        <v>1418</v>
      </c>
      <c r="F453" t="s">
        <v>36</v>
      </c>
      <c r="G453">
        <v>3</v>
      </c>
      <c r="H453">
        <v>14</v>
      </c>
      <c r="I453">
        <v>1.177602</v>
      </c>
    </row>
    <row r="454" spans="1:9" x14ac:dyDescent="0.25">
      <c r="A454">
        <v>2000110059</v>
      </c>
      <c r="B454" t="s">
        <v>335</v>
      </c>
      <c r="C454" t="s">
        <v>126</v>
      </c>
      <c r="D454" t="s">
        <v>127</v>
      </c>
      <c r="E454" s="2">
        <v>8</v>
      </c>
      <c r="F454" t="s">
        <v>36</v>
      </c>
      <c r="G454">
        <v>0</v>
      </c>
      <c r="H454">
        <v>0</v>
      </c>
      <c r="I454">
        <v>1.1775</v>
      </c>
    </row>
    <row r="455" spans="1:9" x14ac:dyDescent="0.25">
      <c r="A455">
        <v>2000110059</v>
      </c>
      <c r="B455" t="s">
        <v>335</v>
      </c>
      <c r="C455" t="s">
        <v>139</v>
      </c>
      <c r="D455" t="s">
        <v>140</v>
      </c>
      <c r="E455" s="2">
        <v>14</v>
      </c>
      <c r="F455" t="s">
        <v>36</v>
      </c>
      <c r="G455">
        <v>14</v>
      </c>
      <c r="H455" s="2">
        <v>0</v>
      </c>
      <c r="I455">
        <v>1.1778569999999999</v>
      </c>
    </row>
    <row r="456" spans="1:9" x14ac:dyDescent="0.25">
      <c r="A456">
        <v>2000110060</v>
      </c>
      <c r="B456" t="s">
        <v>336</v>
      </c>
      <c r="C456" t="s">
        <v>130</v>
      </c>
      <c r="D456" t="s">
        <v>131</v>
      </c>
      <c r="E456" s="2">
        <v>410</v>
      </c>
      <c r="F456" t="s">
        <v>36</v>
      </c>
      <c r="G456" s="2">
        <v>0</v>
      </c>
      <c r="H456">
        <v>0</v>
      </c>
      <c r="I456">
        <v>0.96277999999999997</v>
      </c>
    </row>
    <row r="457" spans="1:9" x14ac:dyDescent="0.25">
      <c r="A457">
        <v>2000110061</v>
      </c>
      <c r="B457" t="s">
        <v>337</v>
      </c>
      <c r="C457" t="s">
        <v>130</v>
      </c>
      <c r="D457" t="s">
        <v>131</v>
      </c>
      <c r="E457" s="2">
        <v>919</v>
      </c>
      <c r="F457" t="s">
        <v>36</v>
      </c>
      <c r="G457">
        <v>0</v>
      </c>
      <c r="H457">
        <v>0</v>
      </c>
      <c r="I457">
        <v>0.96277500000000005</v>
      </c>
    </row>
    <row r="458" spans="1:9" x14ac:dyDescent="0.25">
      <c r="A458">
        <v>2000110062</v>
      </c>
      <c r="B458" t="s">
        <v>338</v>
      </c>
      <c r="C458" t="s">
        <v>130</v>
      </c>
      <c r="D458" t="s">
        <v>131</v>
      </c>
      <c r="E458" s="2">
        <v>3820</v>
      </c>
      <c r="F458" t="s">
        <v>36</v>
      </c>
      <c r="G458">
        <v>0</v>
      </c>
      <c r="H458" s="2">
        <v>0</v>
      </c>
      <c r="I458">
        <v>0.96277699999999999</v>
      </c>
    </row>
    <row r="459" spans="1:9" x14ac:dyDescent="0.25">
      <c r="A459">
        <v>2000120074</v>
      </c>
      <c r="B459" t="s">
        <v>339</v>
      </c>
      <c r="C459" t="s">
        <v>130</v>
      </c>
      <c r="D459" t="s">
        <v>131</v>
      </c>
      <c r="E459" s="2">
        <v>13</v>
      </c>
      <c r="F459" t="s">
        <v>36</v>
      </c>
      <c r="G459">
        <v>6</v>
      </c>
      <c r="H459" s="2">
        <v>3774</v>
      </c>
      <c r="I459">
        <v>0.43692300000000001</v>
      </c>
    </row>
    <row r="460" spans="1:9" x14ac:dyDescent="0.25">
      <c r="A460">
        <v>2000120074</v>
      </c>
      <c r="B460" t="s">
        <v>339</v>
      </c>
      <c r="C460" t="s">
        <v>139</v>
      </c>
      <c r="D460" t="s">
        <v>140</v>
      </c>
      <c r="E460" s="2">
        <v>2586</v>
      </c>
      <c r="F460" t="s">
        <v>36</v>
      </c>
      <c r="G460" s="2">
        <v>3774</v>
      </c>
      <c r="H460" s="2">
        <v>0</v>
      </c>
      <c r="I460">
        <v>0.43699100000000002</v>
      </c>
    </row>
    <row r="461" spans="1:9" x14ac:dyDescent="0.25">
      <c r="A461">
        <v>2000120075</v>
      </c>
      <c r="B461" t="s">
        <v>340</v>
      </c>
      <c r="C461" t="s">
        <v>130</v>
      </c>
      <c r="D461" t="s">
        <v>131</v>
      </c>
      <c r="E461" s="2">
        <v>80</v>
      </c>
      <c r="F461" t="s">
        <v>36</v>
      </c>
      <c r="G461" s="2">
        <v>1112</v>
      </c>
      <c r="H461">
        <v>1</v>
      </c>
      <c r="I461">
        <v>0.4375</v>
      </c>
    </row>
    <row r="462" spans="1:9" x14ac:dyDescent="0.25">
      <c r="A462">
        <v>2000120075</v>
      </c>
      <c r="B462" t="s">
        <v>340</v>
      </c>
      <c r="C462" t="s">
        <v>126</v>
      </c>
      <c r="D462" t="s">
        <v>127</v>
      </c>
      <c r="E462" s="2">
        <v>6</v>
      </c>
      <c r="F462" t="s">
        <v>36</v>
      </c>
      <c r="G462">
        <v>0</v>
      </c>
      <c r="H462">
        <v>0</v>
      </c>
      <c r="I462">
        <v>0.43666700000000003</v>
      </c>
    </row>
    <row r="463" spans="1:9" x14ac:dyDescent="0.25">
      <c r="A463">
        <v>2000120076</v>
      </c>
      <c r="B463" t="s">
        <v>341</v>
      </c>
      <c r="C463" t="s">
        <v>130</v>
      </c>
      <c r="D463" t="s">
        <v>131</v>
      </c>
      <c r="E463" s="2">
        <v>27</v>
      </c>
      <c r="F463" t="s">
        <v>36</v>
      </c>
      <c r="G463" s="2">
        <v>968</v>
      </c>
      <c r="H463" s="2">
        <v>0</v>
      </c>
      <c r="I463">
        <v>0.43740699999999999</v>
      </c>
    </row>
    <row r="464" spans="1:9" x14ac:dyDescent="0.25">
      <c r="A464">
        <v>2000120077</v>
      </c>
      <c r="B464" t="s">
        <v>342</v>
      </c>
      <c r="C464" t="s">
        <v>130</v>
      </c>
      <c r="D464" t="s">
        <v>131</v>
      </c>
      <c r="E464" s="2">
        <v>2628</v>
      </c>
      <c r="F464" t="s">
        <v>36</v>
      </c>
      <c r="G464" s="2">
        <v>1</v>
      </c>
      <c r="H464">
        <v>0</v>
      </c>
      <c r="I464">
        <v>0.29673500000000003</v>
      </c>
    </row>
    <row r="465" spans="1:9" x14ac:dyDescent="0.25">
      <c r="A465">
        <v>2000120077</v>
      </c>
      <c r="B465" t="s">
        <v>342</v>
      </c>
      <c r="C465" t="s">
        <v>151</v>
      </c>
      <c r="D465" t="s">
        <v>152</v>
      </c>
      <c r="E465" s="2">
        <v>8326</v>
      </c>
      <c r="F465" t="s">
        <v>36</v>
      </c>
      <c r="G465">
        <v>0</v>
      </c>
      <c r="H465">
        <v>0</v>
      </c>
      <c r="I465">
        <v>0.296736</v>
      </c>
    </row>
    <row r="466" spans="1:9" x14ac:dyDescent="0.25">
      <c r="A466">
        <v>2000120078</v>
      </c>
      <c r="B466" t="s">
        <v>343</v>
      </c>
      <c r="C466" t="s">
        <v>130</v>
      </c>
      <c r="D466" t="s">
        <v>131</v>
      </c>
      <c r="E466" s="2">
        <v>7</v>
      </c>
      <c r="F466" t="s">
        <v>36</v>
      </c>
      <c r="G466" s="2">
        <v>2436</v>
      </c>
      <c r="H466">
        <v>0</v>
      </c>
      <c r="I466">
        <v>0.29714299999999999</v>
      </c>
    </row>
    <row r="467" spans="1:9" x14ac:dyDescent="0.25">
      <c r="A467">
        <v>2000120078</v>
      </c>
      <c r="B467" t="s">
        <v>343</v>
      </c>
      <c r="C467" t="s">
        <v>151</v>
      </c>
      <c r="D467" t="s">
        <v>152</v>
      </c>
      <c r="E467" s="2">
        <v>4326</v>
      </c>
      <c r="F467" t="s">
        <v>36</v>
      </c>
      <c r="G467">
        <v>0</v>
      </c>
      <c r="H467">
        <v>0</v>
      </c>
      <c r="I467">
        <v>0.29675200000000002</v>
      </c>
    </row>
    <row r="468" spans="1:9" x14ac:dyDescent="0.25">
      <c r="A468">
        <v>2000120079</v>
      </c>
      <c r="B468" t="s">
        <v>344</v>
      </c>
      <c r="C468" t="s">
        <v>130</v>
      </c>
      <c r="D468" t="s">
        <v>131</v>
      </c>
      <c r="E468" s="2">
        <v>11</v>
      </c>
      <c r="F468" t="s">
        <v>36</v>
      </c>
      <c r="G468" s="2">
        <v>4338</v>
      </c>
      <c r="H468">
        <v>0</v>
      </c>
      <c r="I468">
        <v>0.29727300000000001</v>
      </c>
    </row>
    <row r="469" spans="1:9" x14ac:dyDescent="0.25">
      <c r="A469">
        <v>2000120080</v>
      </c>
      <c r="B469" t="s">
        <v>345</v>
      </c>
      <c r="C469" t="s">
        <v>130</v>
      </c>
      <c r="D469" t="s">
        <v>131</v>
      </c>
      <c r="E469" s="2">
        <v>10</v>
      </c>
      <c r="F469" t="s">
        <v>36</v>
      </c>
      <c r="G469" s="2">
        <v>2267</v>
      </c>
      <c r="H469">
        <v>0</v>
      </c>
      <c r="I469">
        <v>0.29699999999999999</v>
      </c>
    </row>
    <row r="470" spans="1:9" x14ac:dyDescent="0.25">
      <c r="A470">
        <v>2000120081</v>
      </c>
      <c r="B470" t="s">
        <v>346</v>
      </c>
      <c r="C470" t="s">
        <v>130</v>
      </c>
      <c r="D470" t="s">
        <v>131</v>
      </c>
      <c r="E470" s="2">
        <v>80</v>
      </c>
      <c r="F470" t="s">
        <v>36</v>
      </c>
      <c r="G470">
        <v>740</v>
      </c>
      <c r="H470">
        <v>0</v>
      </c>
      <c r="I470">
        <v>0.29699999999999999</v>
      </c>
    </row>
    <row r="471" spans="1:9" x14ac:dyDescent="0.25">
      <c r="A471">
        <v>2000130007</v>
      </c>
      <c r="B471" t="s">
        <v>347</v>
      </c>
      <c r="C471" t="s">
        <v>130</v>
      </c>
      <c r="D471" t="s">
        <v>131</v>
      </c>
      <c r="E471" s="2">
        <v>264</v>
      </c>
      <c r="F471" t="s">
        <v>36</v>
      </c>
      <c r="G471" s="2">
        <v>0</v>
      </c>
      <c r="H471">
        <v>0</v>
      </c>
      <c r="I471">
        <v>2.4337879999999998</v>
      </c>
    </row>
    <row r="472" spans="1:9" x14ac:dyDescent="0.25">
      <c r="A472">
        <v>2000130007</v>
      </c>
      <c r="B472" t="s">
        <v>347</v>
      </c>
      <c r="C472" t="s">
        <v>126</v>
      </c>
      <c r="D472" t="s">
        <v>127</v>
      </c>
      <c r="E472" s="2">
        <v>8</v>
      </c>
      <c r="F472" t="s">
        <v>36</v>
      </c>
      <c r="G472" s="2">
        <v>0</v>
      </c>
      <c r="H472">
        <v>0</v>
      </c>
      <c r="I472">
        <v>2.4337499999999999</v>
      </c>
    </row>
    <row r="473" spans="1:9" x14ac:dyDescent="0.25">
      <c r="A473">
        <v>2000130007</v>
      </c>
      <c r="B473" t="s">
        <v>347</v>
      </c>
      <c r="C473" t="s">
        <v>167</v>
      </c>
      <c r="D473" t="s">
        <v>168</v>
      </c>
      <c r="E473" s="2">
        <v>1331</v>
      </c>
      <c r="F473" t="s">
        <v>36</v>
      </c>
      <c r="G473" s="2">
        <v>0</v>
      </c>
      <c r="H473">
        <v>0</v>
      </c>
      <c r="I473">
        <v>2.4337789999999999</v>
      </c>
    </row>
    <row r="474" spans="1:9" x14ac:dyDescent="0.25">
      <c r="A474">
        <v>2000140011</v>
      </c>
      <c r="B474" t="s">
        <v>348</v>
      </c>
      <c r="C474" t="s">
        <v>126</v>
      </c>
      <c r="D474" t="s">
        <v>127</v>
      </c>
      <c r="E474" s="2">
        <v>191</v>
      </c>
      <c r="F474" t="s">
        <v>36</v>
      </c>
      <c r="G474">
        <v>0</v>
      </c>
      <c r="H474">
        <v>0</v>
      </c>
      <c r="I474">
        <v>1.1399999999999999</v>
      </c>
    </row>
    <row r="475" spans="1:9" x14ac:dyDescent="0.25">
      <c r="A475">
        <v>2000140016</v>
      </c>
      <c r="B475" t="s">
        <v>349</v>
      </c>
      <c r="C475" t="s">
        <v>126</v>
      </c>
      <c r="D475" t="s">
        <v>127</v>
      </c>
      <c r="E475" s="2">
        <v>102</v>
      </c>
      <c r="F475" t="s">
        <v>36</v>
      </c>
      <c r="G475" s="2">
        <v>0</v>
      </c>
      <c r="H475" s="2">
        <v>0</v>
      </c>
      <c r="I475">
        <v>14.541078000000001</v>
      </c>
    </row>
    <row r="476" spans="1:9" x14ac:dyDescent="0.25">
      <c r="A476">
        <v>2000140023</v>
      </c>
      <c r="B476" t="s">
        <v>350</v>
      </c>
      <c r="C476" t="s">
        <v>126</v>
      </c>
      <c r="D476" t="s">
        <v>127</v>
      </c>
      <c r="E476" s="2">
        <v>6</v>
      </c>
      <c r="F476" t="s">
        <v>36</v>
      </c>
      <c r="G476">
        <v>0</v>
      </c>
      <c r="H476">
        <v>0</v>
      </c>
      <c r="I476">
        <v>22.901667</v>
      </c>
    </row>
    <row r="477" spans="1:9" x14ac:dyDescent="0.25">
      <c r="A477">
        <v>2000140103</v>
      </c>
      <c r="B477" t="s">
        <v>351</v>
      </c>
      <c r="C477" t="s">
        <v>130</v>
      </c>
      <c r="D477" t="s">
        <v>131</v>
      </c>
      <c r="E477" s="2">
        <v>36</v>
      </c>
      <c r="F477" t="s">
        <v>36</v>
      </c>
      <c r="G477" s="2">
        <v>0</v>
      </c>
      <c r="H477" s="2">
        <v>0</v>
      </c>
      <c r="I477">
        <v>0.24083299999999999</v>
      </c>
    </row>
    <row r="478" spans="1:9" x14ac:dyDescent="0.25">
      <c r="A478">
        <v>2000140104</v>
      </c>
      <c r="B478" t="s">
        <v>352</v>
      </c>
      <c r="C478" t="s">
        <v>130</v>
      </c>
      <c r="D478" t="s">
        <v>131</v>
      </c>
      <c r="E478" s="2">
        <v>15558</v>
      </c>
      <c r="F478" t="s">
        <v>36</v>
      </c>
      <c r="G478">
        <v>391</v>
      </c>
      <c r="H478" s="2">
        <v>85105</v>
      </c>
      <c r="I478">
        <v>3.9410759999999998</v>
      </c>
    </row>
    <row r="479" spans="1:9" x14ac:dyDescent="0.25">
      <c r="A479">
        <v>2000140104</v>
      </c>
      <c r="B479" t="s">
        <v>352</v>
      </c>
      <c r="C479" t="s">
        <v>137</v>
      </c>
      <c r="D479" t="s">
        <v>138</v>
      </c>
      <c r="E479" s="2">
        <v>44</v>
      </c>
      <c r="F479" t="s">
        <v>36</v>
      </c>
      <c r="G479">
        <v>0</v>
      </c>
      <c r="H479">
        <v>0</v>
      </c>
      <c r="I479">
        <v>4.065455</v>
      </c>
    </row>
    <row r="480" spans="1:9" x14ac:dyDescent="0.25">
      <c r="A480">
        <v>2000140104</v>
      </c>
      <c r="B480" t="s">
        <v>352</v>
      </c>
      <c r="C480" t="s">
        <v>151</v>
      </c>
      <c r="D480" t="s">
        <v>152</v>
      </c>
      <c r="E480" s="2">
        <v>7748</v>
      </c>
      <c r="F480" t="s">
        <v>36</v>
      </c>
      <c r="G480">
        <v>0</v>
      </c>
      <c r="H480">
        <v>91</v>
      </c>
      <c r="I480">
        <v>3.9590200000000002</v>
      </c>
    </row>
    <row r="481" spans="1:9" x14ac:dyDescent="0.25">
      <c r="A481">
        <v>2000140104</v>
      </c>
      <c r="B481" t="s">
        <v>352</v>
      </c>
      <c r="C481" t="s">
        <v>139</v>
      </c>
      <c r="D481" t="s">
        <v>140</v>
      </c>
      <c r="E481" s="2">
        <v>50295</v>
      </c>
      <c r="F481" t="s">
        <v>36</v>
      </c>
      <c r="G481" s="2">
        <v>85105</v>
      </c>
      <c r="H481">
        <v>0</v>
      </c>
      <c r="I481">
        <v>4.0000200000000001</v>
      </c>
    </row>
    <row r="482" spans="1:9" x14ac:dyDescent="0.25">
      <c r="A482">
        <v>2000140105</v>
      </c>
      <c r="B482" t="s">
        <v>353</v>
      </c>
      <c r="C482" t="s">
        <v>126</v>
      </c>
      <c r="D482" t="s">
        <v>127</v>
      </c>
      <c r="E482" s="2">
        <v>118</v>
      </c>
      <c r="F482" t="s">
        <v>36</v>
      </c>
      <c r="G482">
        <v>0</v>
      </c>
      <c r="H482">
        <v>0</v>
      </c>
      <c r="I482">
        <v>2.7105929999999998</v>
      </c>
    </row>
    <row r="483" spans="1:9" x14ac:dyDescent="0.25">
      <c r="A483">
        <v>2000140106</v>
      </c>
      <c r="B483" t="s">
        <v>354</v>
      </c>
      <c r="C483" t="s">
        <v>130</v>
      </c>
      <c r="D483" t="s">
        <v>131</v>
      </c>
      <c r="E483" s="2">
        <v>0</v>
      </c>
      <c r="F483" t="s">
        <v>36</v>
      </c>
      <c r="G483" s="2">
        <v>44482</v>
      </c>
      <c r="H483" s="2">
        <v>38000</v>
      </c>
      <c r="I483">
        <v>0.115552</v>
      </c>
    </row>
    <row r="484" spans="1:9" x14ac:dyDescent="0.25">
      <c r="A484">
        <v>2000140106</v>
      </c>
      <c r="B484" t="s">
        <v>354</v>
      </c>
      <c r="C484" t="s">
        <v>126</v>
      </c>
      <c r="D484" t="s">
        <v>127</v>
      </c>
      <c r="E484" s="2">
        <v>80911</v>
      </c>
      <c r="F484" t="s">
        <v>36</v>
      </c>
      <c r="G484">
        <v>0</v>
      </c>
      <c r="H484">
        <v>0</v>
      </c>
      <c r="I484">
        <v>0.128468</v>
      </c>
    </row>
    <row r="485" spans="1:9" x14ac:dyDescent="0.25">
      <c r="A485">
        <v>2000140106</v>
      </c>
      <c r="B485" t="s">
        <v>354</v>
      </c>
      <c r="C485" t="s">
        <v>142</v>
      </c>
      <c r="D485" t="s">
        <v>143</v>
      </c>
      <c r="E485" s="2">
        <v>1020</v>
      </c>
      <c r="F485" t="s">
        <v>36</v>
      </c>
      <c r="G485">
        <v>0</v>
      </c>
      <c r="H485" s="2">
        <v>2698</v>
      </c>
      <c r="I485">
        <v>0.115559</v>
      </c>
    </row>
    <row r="486" spans="1:9" x14ac:dyDescent="0.25">
      <c r="A486">
        <v>2000140106</v>
      </c>
      <c r="B486" t="s">
        <v>354</v>
      </c>
      <c r="C486" t="s">
        <v>137</v>
      </c>
      <c r="D486" t="s">
        <v>138</v>
      </c>
      <c r="E486" s="2">
        <v>433</v>
      </c>
      <c r="F486" t="s">
        <v>36</v>
      </c>
      <c r="G486" s="2">
        <v>0</v>
      </c>
      <c r="H486">
        <v>0</v>
      </c>
      <c r="I486">
        <v>0.12715899999999999</v>
      </c>
    </row>
    <row r="487" spans="1:9" x14ac:dyDescent="0.25">
      <c r="A487">
        <v>2000140106</v>
      </c>
      <c r="B487" t="s">
        <v>354</v>
      </c>
      <c r="C487" t="s">
        <v>151</v>
      </c>
      <c r="D487" t="s">
        <v>152</v>
      </c>
      <c r="E487" s="2">
        <v>0</v>
      </c>
      <c r="F487" t="s">
        <v>36</v>
      </c>
      <c r="G487" s="2">
        <v>38000</v>
      </c>
      <c r="H487">
        <v>0</v>
      </c>
      <c r="I487">
        <v>0.115552</v>
      </c>
    </row>
    <row r="488" spans="1:9" x14ac:dyDescent="0.25">
      <c r="A488">
        <v>2000140106</v>
      </c>
      <c r="B488" t="s">
        <v>354</v>
      </c>
      <c r="C488" t="s">
        <v>139</v>
      </c>
      <c r="D488" t="s">
        <v>140</v>
      </c>
      <c r="E488" s="2">
        <v>41</v>
      </c>
      <c r="F488" t="s">
        <v>36</v>
      </c>
      <c r="G488" s="2">
        <v>0</v>
      </c>
      <c r="H488">
        <v>0</v>
      </c>
      <c r="I488">
        <v>0.11561</v>
      </c>
    </row>
    <row r="489" spans="1:9" x14ac:dyDescent="0.25">
      <c r="A489">
        <v>2000140112</v>
      </c>
      <c r="B489" t="s">
        <v>355</v>
      </c>
      <c r="C489" t="s">
        <v>130</v>
      </c>
      <c r="D489" t="s">
        <v>131</v>
      </c>
      <c r="E489" s="2">
        <v>488180</v>
      </c>
      <c r="F489" t="s">
        <v>36</v>
      </c>
      <c r="G489" s="2">
        <v>33408</v>
      </c>
      <c r="H489">
        <v>0</v>
      </c>
      <c r="I489">
        <v>0.103591</v>
      </c>
    </row>
    <row r="490" spans="1:9" x14ac:dyDescent="0.25">
      <c r="A490">
        <v>2000140112</v>
      </c>
      <c r="B490" t="s">
        <v>355</v>
      </c>
      <c r="C490" t="s">
        <v>258</v>
      </c>
      <c r="D490" t="s">
        <v>259</v>
      </c>
      <c r="E490" s="2">
        <v>2880</v>
      </c>
      <c r="F490" t="s">
        <v>36</v>
      </c>
      <c r="G490">
        <v>0</v>
      </c>
      <c r="H490">
        <v>0</v>
      </c>
      <c r="I490">
        <v>0.103378</v>
      </c>
    </row>
    <row r="491" spans="1:9" x14ac:dyDescent="0.25">
      <c r="A491">
        <v>2000140112</v>
      </c>
      <c r="B491" t="s">
        <v>355</v>
      </c>
      <c r="C491" t="s">
        <v>137</v>
      </c>
      <c r="D491" t="s">
        <v>138</v>
      </c>
      <c r="E491" s="2">
        <v>44256</v>
      </c>
      <c r="F491" t="s">
        <v>36</v>
      </c>
      <c r="G491">
        <v>0</v>
      </c>
      <c r="H491" s="2">
        <v>33408</v>
      </c>
      <c r="I491">
        <v>0.106129</v>
      </c>
    </row>
    <row r="492" spans="1:9" x14ac:dyDescent="0.25">
      <c r="A492">
        <v>2000140112</v>
      </c>
      <c r="B492" t="s">
        <v>355</v>
      </c>
      <c r="C492" t="s">
        <v>139</v>
      </c>
      <c r="D492" t="s">
        <v>140</v>
      </c>
      <c r="E492" s="2">
        <v>399132</v>
      </c>
      <c r="F492" t="s">
        <v>36</v>
      </c>
      <c r="G492">
        <v>0</v>
      </c>
      <c r="H492" s="2">
        <v>0</v>
      </c>
      <c r="I492">
        <v>0.103072</v>
      </c>
    </row>
    <row r="493" spans="1:9" x14ac:dyDescent="0.25">
      <c r="A493">
        <v>2000140113</v>
      </c>
      <c r="B493" t="s">
        <v>356</v>
      </c>
      <c r="C493" t="s">
        <v>130</v>
      </c>
      <c r="D493" t="s">
        <v>131</v>
      </c>
      <c r="E493" s="2">
        <v>285</v>
      </c>
      <c r="F493" t="s">
        <v>36</v>
      </c>
      <c r="G493" s="2">
        <v>12890</v>
      </c>
      <c r="H493">
        <v>0</v>
      </c>
      <c r="I493">
        <v>0.287719</v>
      </c>
    </row>
    <row r="494" spans="1:9" x14ac:dyDescent="0.25">
      <c r="A494">
        <v>2000140113</v>
      </c>
      <c r="B494" t="s">
        <v>356</v>
      </c>
      <c r="C494" t="s">
        <v>137</v>
      </c>
      <c r="D494" t="s">
        <v>138</v>
      </c>
      <c r="E494" s="2">
        <v>432</v>
      </c>
      <c r="F494" t="s">
        <v>36</v>
      </c>
      <c r="G494">
        <v>0</v>
      </c>
      <c r="H494">
        <v>144</v>
      </c>
      <c r="I494">
        <v>0.29293999999999998</v>
      </c>
    </row>
    <row r="495" spans="1:9" x14ac:dyDescent="0.25">
      <c r="A495">
        <v>2000140113</v>
      </c>
      <c r="B495" t="s">
        <v>356</v>
      </c>
      <c r="C495" t="s">
        <v>151</v>
      </c>
      <c r="D495" t="s">
        <v>152</v>
      </c>
      <c r="E495" s="2">
        <v>23</v>
      </c>
      <c r="F495" t="s">
        <v>36</v>
      </c>
      <c r="G495" s="2">
        <v>0</v>
      </c>
      <c r="H495" s="2">
        <v>12672</v>
      </c>
      <c r="I495">
        <v>0.28782600000000003</v>
      </c>
    </row>
    <row r="496" spans="1:9" x14ac:dyDescent="0.25">
      <c r="A496">
        <v>2000140113</v>
      </c>
      <c r="B496" t="s">
        <v>356</v>
      </c>
      <c r="C496" t="s">
        <v>139</v>
      </c>
      <c r="D496" t="s">
        <v>140</v>
      </c>
      <c r="E496" s="2">
        <v>38736</v>
      </c>
      <c r="F496" t="s">
        <v>36</v>
      </c>
      <c r="G496">
        <v>0</v>
      </c>
      <c r="H496">
        <v>0</v>
      </c>
      <c r="I496">
        <v>0.287684</v>
      </c>
    </row>
    <row r="497" spans="1:9" x14ac:dyDescent="0.25">
      <c r="A497">
        <v>2000140114</v>
      </c>
      <c r="B497" t="s">
        <v>357</v>
      </c>
      <c r="C497" t="s">
        <v>130</v>
      </c>
      <c r="D497" t="s">
        <v>131</v>
      </c>
      <c r="E497" s="2">
        <v>19</v>
      </c>
      <c r="F497" t="s">
        <v>36</v>
      </c>
      <c r="G497" s="2">
        <v>1908</v>
      </c>
      <c r="H497">
        <v>0</v>
      </c>
      <c r="I497">
        <v>0.117368</v>
      </c>
    </row>
    <row r="498" spans="1:9" x14ac:dyDescent="0.25">
      <c r="A498">
        <v>2000140114</v>
      </c>
      <c r="B498" t="s">
        <v>357</v>
      </c>
      <c r="C498" t="s">
        <v>137</v>
      </c>
      <c r="D498" t="s">
        <v>138</v>
      </c>
      <c r="E498" s="2">
        <v>432</v>
      </c>
      <c r="F498" t="s">
        <v>36</v>
      </c>
      <c r="G498" s="2">
        <v>0</v>
      </c>
      <c r="H498">
        <v>0</v>
      </c>
      <c r="I498">
        <v>0.125139</v>
      </c>
    </row>
    <row r="499" spans="1:9" x14ac:dyDescent="0.25">
      <c r="A499">
        <v>2000140114</v>
      </c>
      <c r="B499" t="s">
        <v>357</v>
      </c>
      <c r="C499" t="s">
        <v>139</v>
      </c>
      <c r="D499" t="s">
        <v>140</v>
      </c>
      <c r="E499" s="2">
        <v>46644</v>
      </c>
      <c r="F499" t="s">
        <v>36</v>
      </c>
      <c r="G499" s="2">
        <v>0</v>
      </c>
      <c r="H499" s="2">
        <v>0</v>
      </c>
      <c r="I499">
        <v>0.118204</v>
      </c>
    </row>
    <row r="500" spans="1:9" x14ac:dyDescent="0.25">
      <c r="A500">
        <v>2000140115</v>
      </c>
      <c r="B500" t="s">
        <v>358</v>
      </c>
      <c r="C500" t="s">
        <v>130</v>
      </c>
      <c r="D500" t="s">
        <v>131</v>
      </c>
      <c r="E500" s="2">
        <v>73225</v>
      </c>
      <c r="F500" t="s">
        <v>36</v>
      </c>
      <c r="G500" s="2">
        <v>2628</v>
      </c>
      <c r="H500" s="2">
        <v>88824</v>
      </c>
      <c r="I500">
        <v>0.12195499999999999</v>
      </c>
    </row>
    <row r="501" spans="1:9" x14ac:dyDescent="0.25">
      <c r="A501">
        <v>2000140115</v>
      </c>
      <c r="B501" t="s">
        <v>358</v>
      </c>
      <c r="C501" t="s">
        <v>137</v>
      </c>
      <c r="D501" t="s">
        <v>138</v>
      </c>
      <c r="E501" s="2">
        <v>36</v>
      </c>
      <c r="F501" t="s">
        <v>36</v>
      </c>
      <c r="G501">
        <v>0</v>
      </c>
      <c r="H501">
        <v>0</v>
      </c>
      <c r="I501">
        <v>0.121667</v>
      </c>
    </row>
    <row r="502" spans="1:9" x14ac:dyDescent="0.25">
      <c r="A502">
        <v>2000140115</v>
      </c>
      <c r="B502" t="s">
        <v>358</v>
      </c>
      <c r="C502" t="s">
        <v>139</v>
      </c>
      <c r="D502" t="s">
        <v>140</v>
      </c>
      <c r="E502" s="2">
        <v>213240</v>
      </c>
      <c r="F502" t="s">
        <v>36</v>
      </c>
      <c r="G502" s="2">
        <v>88824</v>
      </c>
      <c r="H502">
        <v>0</v>
      </c>
      <c r="I502">
        <v>0.12526300000000001</v>
      </c>
    </row>
    <row r="503" spans="1:9" x14ac:dyDescent="0.25">
      <c r="A503">
        <v>2000140116</v>
      </c>
      <c r="B503" t="s">
        <v>359</v>
      </c>
      <c r="C503" t="s">
        <v>130</v>
      </c>
      <c r="D503" t="s">
        <v>131</v>
      </c>
      <c r="E503" s="2">
        <v>49485</v>
      </c>
      <c r="F503" t="s">
        <v>36</v>
      </c>
      <c r="G503" s="2">
        <v>1837</v>
      </c>
      <c r="H503" s="2">
        <v>0</v>
      </c>
      <c r="I503">
        <v>0.103724</v>
      </c>
    </row>
    <row r="504" spans="1:9" x14ac:dyDescent="0.25">
      <c r="A504">
        <v>2000140116</v>
      </c>
      <c r="B504" t="s">
        <v>359</v>
      </c>
      <c r="C504" t="s">
        <v>137</v>
      </c>
      <c r="D504" t="s">
        <v>138</v>
      </c>
      <c r="E504" s="2">
        <v>9648</v>
      </c>
      <c r="F504" t="s">
        <v>36</v>
      </c>
      <c r="G504" s="2">
        <v>0</v>
      </c>
      <c r="H504" s="2">
        <v>1824</v>
      </c>
      <c r="I504">
        <v>0.109004</v>
      </c>
    </row>
    <row r="505" spans="1:9" x14ac:dyDescent="0.25">
      <c r="A505">
        <v>2000140116</v>
      </c>
      <c r="B505" t="s">
        <v>359</v>
      </c>
      <c r="C505" t="s">
        <v>139</v>
      </c>
      <c r="D505" t="s">
        <v>140</v>
      </c>
      <c r="E505" s="2">
        <v>308160</v>
      </c>
      <c r="F505" t="s">
        <v>36</v>
      </c>
      <c r="G505">
        <v>0</v>
      </c>
      <c r="H505">
        <v>0</v>
      </c>
      <c r="I505">
        <v>0.103893</v>
      </c>
    </row>
    <row r="506" spans="1:9" x14ac:dyDescent="0.25">
      <c r="A506">
        <v>2000140118</v>
      </c>
      <c r="B506" t="s">
        <v>360</v>
      </c>
      <c r="C506" t="s">
        <v>130</v>
      </c>
      <c r="D506" t="s">
        <v>131</v>
      </c>
      <c r="E506" s="2">
        <v>40</v>
      </c>
      <c r="F506" t="s">
        <v>36</v>
      </c>
      <c r="G506" s="2">
        <v>864</v>
      </c>
      <c r="H506" s="2">
        <v>0</v>
      </c>
      <c r="I506">
        <v>1.27</v>
      </c>
    </row>
    <row r="507" spans="1:9" x14ac:dyDescent="0.25">
      <c r="A507">
        <v>2000140118</v>
      </c>
      <c r="B507" t="s">
        <v>360</v>
      </c>
      <c r="C507" t="s">
        <v>137</v>
      </c>
      <c r="D507" t="s">
        <v>138</v>
      </c>
      <c r="E507" s="2">
        <v>0</v>
      </c>
      <c r="F507" t="s">
        <v>36</v>
      </c>
      <c r="G507" s="2">
        <v>0</v>
      </c>
      <c r="H507">
        <v>288</v>
      </c>
      <c r="I507">
        <v>1.272222</v>
      </c>
    </row>
    <row r="508" spans="1:9" x14ac:dyDescent="0.25">
      <c r="A508">
        <v>2000140119</v>
      </c>
      <c r="B508" t="s">
        <v>361</v>
      </c>
      <c r="C508" t="s">
        <v>130</v>
      </c>
      <c r="D508" t="s">
        <v>131</v>
      </c>
      <c r="E508" s="2">
        <v>145</v>
      </c>
      <c r="F508" t="s">
        <v>36</v>
      </c>
      <c r="G508">
        <v>0</v>
      </c>
      <c r="H508" s="2">
        <v>0</v>
      </c>
      <c r="I508">
        <v>0.95</v>
      </c>
    </row>
    <row r="509" spans="1:9" x14ac:dyDescent="0.25">
      <c r="A509">
        <v>2000140119</v>
      </c>
      <c r="B509" t="s">
        <v>361</v>
      </c>
      <c r="C509" t="s">
        <v>137</v>
      </c>
      <c r="D509" t="s">
        <v>138</v>
      </c>
      <c r="E509" s="2">
        <v>4</v>
      </c>
      <c r="F509" t="s">
        <v>36</v>
      </c>
      <c r="G509" s="2">
        <v>0</v>
      </c>
      <c r="H509" s="2">
        <v>0</v>
      </c>
      <c r="I509">
        <v>0.96</v>
      </c>
    </row>
    <row r="510" spans="1:9" x14ac:dyDescent="0.25">
      <c r="A510">
        <v>2000140120</v>
      </c>
      <c r="B510" t="s">
        <v>362</v>
      </c>
      <c r="C510" t="s">
        <v>130</v>
      </c>
      <c r="D510" t="s">
        <v>131</v>
      </c>
      <c r="E510" s="2">
        <v>192288</v>
      </c>
      <c r="F510" t="s">
        <v>36</v>
      </c>
      <c r="G510" s="2">
        <v>72</v>
      </c>
      <c r="H510" s="2">
        <v>0</v>
      </c>
      <c r="I510">
        <v>0.126996</v>
      </c>
    </row>
    <row r="511" spans="1:9" x14ac:dyDescent="0.25">
      <c r="A511">
        <v>2000140120</v>
      </c>
      <c r="B511" t="s">
        <v>362</v>
      </c>
      <c r="C511" t="s">
        <v>167</v>
      </c>
      <c r="D511" t="s">
        <v>168</v>
      </c>
      <c r="E511" s="2">
        <v>16500</v>
      </c>
      <c r="F511" t="s">
        <v>36</v>
      </c>
      <c r="G511" s="2">
        <v>0</v>
      </c>
      <c r="H511">
        <v>0</v>
      </c>
      <c r="I511">
        <v>0.126996</v>
      </c>
    </row>
    <row r="512" spans="1:9" x14ac:dyDescent="0.25">
      <c r="A512">
        <v>2000140120</v>
      </c>
      <c r="B512" t="s">
        <v>362</v>
      </c>
      <c r="C512" t="s">
        <v>258</v>
      </c>
      <c r="D512" t="s">
        <v>259</v>
      </c>
      <c r="E512" s="2">
        <v>7680</v>
      </c>
      <c r="F512" t="s">
        <v>36</v>
      </c>
      <c r="G512" s="2">
        <v>0</v>
      </c>
      <c r="H512" s="2">
        <v>1152</v>
      </c>
      <c r="I512">
        <v>0.126996</v>
      </c>
    </row>
    <row r="513" spans="1:9" x14ac:dyDescent="0.25">
      <c r="A513">
        <v>2000140120</v>
      </c>
      <c r="B513" t="s">
        <v>362</v>
      </c>
      <c r="C513" t="s">
        <v>137</v>
      </c>
      <c r="D513" t="s">
        <v>138</v>
      </c>
      <c r="E513" s="2">
        <v>10800</v>
      </c>
      <c r="F513" t="s">
        <v>36</v>
      </c>
      <c r="G513">
        <v>0</v>
      </c>
      <c r="H513">
        <v>0</v>
      </c>
      <c r="I513">
        <v>0.126997</v>
      </c>
    </row>
    <row r="514" spans="1:9" x14ac:dyDescent="0.25">
      <c r="A514">
        <v>2000140124</v>
      </c>
      <c r="B514" t="s">
        <v>363</v>
      </c>
      <c r="C514" t="s">
        <v>130</v>
      </c>
      <c r="D514" t="s">
        <v>131</v>
      </c>
      <c r="E514" s="2">
        <v>4434</v>
      </c>
      <c r="F514" t="s">
        <v>36</v>
      </c>
      <c r="G514">
        <v>0</v>
      </c>
      <c r="H514" s="2">
        <v>0</v>
      </c>
      <c r="I514">
        <v>0.25985799999999998</v>
      </c>
    </row>
    <row r="515" spans="1:9" x14ac:dyDescent="0.25">
      <c r="A515">
        <v>2000140125</v>
      </c>
      <c r="B515" t="s">
        <v>364</v>
      </c>
      <c r="C515" t="s">
        <v>130</v>
      </c>
      <c r="D515" t="s">
        <v>131</v>
      </c>
      <c r="E515" s="2">
        <v>3589</v>
      </c>
      <c r="F515" t="s">
        <v>36</v>
      </c>
      <c r="G515">
        <v>0</v>
      </c>
      <c r="H515">
        <v>0</v>
      </c>
      <c r="I515">
        <v>0.25985799999999998</v>
      </c>
    </row>
    <row r="516" spans="1:9" x14ac:dyDescent="0.25">
      <c r="A516">
        <v>2000140126</v>
      </c>
      <c r="B516" t="s">
        <v>365</v>
      </c>
      <c r="C516" t="s">
        <v>130</v>
      </c>
      <c r="D516" t="s">
        <v>131</v>
      </c>
      <c r="E516" s="2">
        <v>2321</v>
      </c>
      <c r="F516" t="s">
        <v>36</v>
      </c>
      <c r="G516">
        <v>0</v>
      </c>
      <c r="H516" s="2">
        <v>0</v>
      </c>
      <c r="I516">
        <v>0.25985799999999998</v>
      </c>
    </row>
    <row r="517" spans="1:9" x14ac:dyDescent="0.25">
      <c r="A517">
        <v>2000140131</v>
      </c>
      <c r="B517" t="s">
        <v>366</v>
      </c>
      <c r="C517" t="s">
        <v>130</v>
      </c>
      <c r="D517" t="s">
        <v>131</v>
      </c>
      <c r="E517" s="2">
        <v>9264</v>
      </c>
      <c r="F517" t="s">
        <v>36</v>
      </c>
      <c r="G517">
        <v>93</v>
      </c>
      <c r="H517">
        <v>0</v>
      </c>
      <c r="I517">
        <v>1.7692829999999999</v>
      </c>
    </row>
    <row r="518" spans="1:9" x14ac:dyDescent="0.25">
      <c r="A518">
        <v>2000140131</v>
      </c>
      <c r="B518" t="s">
        <v>366</v>
      </c>
      <c r="C518" t="s">
        <v>137</v>
      </c>
      <c r="D518" t="s">
        <v>138</v>
      </c>
      <c r="E518" s="2">
        <v>6</v>
      </c>
      <c r="F518" t="s">
        <v>36</v>
      </c>
      <c r="G518" s="2">
        <v>0</v>
      </c>
      <c r="H518">
        <v>6</v>
      </c>
      <c r="I518">
        <v>1.77</v>
      </c>
    </row>
    <row r="519" spans="1:9" x14ac:dyDescent="0.25">
      <c r="A519">
        <v>2000140133</v>
      </c>
      <c r="B519" t="s">
        <v>367</v>
      </c>
      <c r="C519" t="s">
        <v>130</v>
      </c>
      <c r="D519" t="s">
        <v>131</v>
      </c>
      <c r="E519" s="2">
        <v>0</v>
      </c>
      <c r="F519" t="s">
        <v>36</v>
      </c>
      <c r="G519" s="2">
        <v>1032</v>
      </c>
      <c r="H519" s="2">
        <v>209974</v>
      </c>
      <c r="I519">
        <v>2.193333</v>
      </c>
    </row>
    <row r="520" spans="1:9" x14ac:dyDescent="0.25">
      <c r="A520">
        <v>2000140133</v>
      </c>
      <c r="B520" t="s">
        <v>367</v>
      </c>
      <c r="C520" t="s">
        <v>126</v>
      </c>
      <c r="D520" t="s">
        <v>127</v>
      </c>
      <c r="E520" s="2">
        <v>12</v>
      </c>
      <c r="F520" t="s">
        <v>36</v>
      </c>
      <c r="G520">
        <v>0</v>
      </c>
      <c r="H520">
        <v>0</v>
      </c>
      <c r="I520">
        <v>2.3141669999999999</v>
      </c>
    </row>
    <row r="521" spans="1:9" x14ac:dyDescent="0.25">
      <c r="A521">
        <v>2000140133</v>
      </c>
      <c r="B521" t="s">
        <v>367</v>
      </c>
      <c r="C521" t="s">
        <v>142</v>
      </c>
      <c r="D521" t="s">
        <v>143</v>
      </c>
      <c r="E521" s="2">
        <v>1859</v>
      </c>
      <c r="F521" t="s">
        <v>36</v>
      </c>
      <c r="G521">
        <v>0</v>
      </c>
      <c r="H521">
        <v>0</v>
      </c>
      <c r="I521">
        <v>2.2142170000000001</v>
      </c>
    </row>
    <row r="522" spans="1:9" x14ac:dyDescent="0.25">
      <c r="A522">
        <v>2000140133</v>
      </c>
      <c r="B522" t="s">
        <v>367</v>
      </c>
      <c r="C522" t="s">
        <v>137</v>
      </c>
      <c r="D522" t="s">
        <v>138</v>
      </c>
      <c r="E522" s="2">
        <v>44</v>
      </c>
      <c r="F522" t="s">
        <v>36</v>
      </c>
      <c r="G522">
        <v>0</v>
      </c>
      <c r="H522">
        <v>0</v>
      </c>
      <c r="I522">
        <v>2.2731819999999998</v>
      </c>
    </row>
    <row r="523" spans="1:9" x14ac:dyDescent="0.25">
      <c r="A523">
        <v>2000140133</v>
      </c>
      <c r="B523" t="s">
        <v>367</v>
      </c>
      <c r="C523" t="s">
        <v>151</v>
      </c>
      <c r="D523" t="s">
        <v>152</v>
      </c>
      <c r="E523" s="2">
        <v>5318</v>
      </c>
      <c r="F523" t="s">
        <v>36</v>
      </c>
      <c r="G523">
        <v>0</v>
      </c>
      <c r="H523">
        <v>0</v>
      </c>
      <c r="I523">
        <v>2.194645</v>
      </c>
    </row>
    <row r="524" spans="1:9" x14ac:dyDescent="0.25">
      <c r="A524">
        <v>2000140133</v>
      </c>
      <c r="B524" t="s">
        <v>367</v>
      </c>
      <c r="C524" t="s">
        <v>139</v>
      </c>
      <c r="D524" t="s">
        <v>140</v>
      </c>
      <c r="E524" s="2">
        <v>117747</v>
      </c>
      <c r="F524" t="s">
        <v>36</v>
      </c>
      <c r="G524" s="2">
        <v>209974</v>
      </c>
      <c r="H524">
        <v>0</v>
      </c>
      <c r="I524">
        <v>2.2142189999999999</v>
      </c>
    </row>
    <row r="525" spans="1:9" x14ac:dyDescent="0.25">
      <c r="A525" s="1">
        <v>2000140134</v>
      </c>
      <c r="B525" s="1" t="s">
        <v>368</v>
      </c>
      <c r="C525" s="1" t="s">
        <v>130</v>
      </c>
      <c r="D525" s="1" t="s">
        <v>131</v>
      </c>
      <c r="E525" s="3">
        <v>2499</v>
      </c>
      <c r="F525" s="1" t="s">
        <v>36</v>
      </c>
      <c r="G525" s="3">
        <v>3205</v>
      </c>
      <c r="H525" s="3">
        <v>22461</v>
      </c>
      <c r="I525" s="1">
        <v>1.125494</v>
      </c>
    </row>
    <row r="526" spans="1:9" x14ac:dyDescent="0.25">
      <c r="A526">
        <v>2000140134</v>
      </c>
      <c r="B526" t="s">
        <v>368</v>
      </c>
      <c r="C526" t="s">
        <v>258</v>
      </c>
      <c r="D526" t="s">
        <v>259</v>
      </c>
      <c r="E526" s="2">
        <v>384</v>
      </c>
      <c r="F526" t="s">
        <v>36</v>
      </c>
      <c r="G526">
        <v>0</v>
      </c>
      <c r="H526" s="2">
        <v>672</v>
      </c>
      <c r="I526">
        <v>1.152266</v>
      </c>
    </row>
    <row r="527" spans="1:9" x14ac:dyDescent="0.25">
      <c r="A527">
        <v>2000140134</v>
      </c>
      <c r="B527" t="s">
        <v>368</v>
      </c>
      <c r="C527" t="s">
        <v>137</v>
      </c>
      <c r="D527" t="s">
        <v>138</v>
      </c>
      <c r="E527" s="2">
        <v>1296</v>
      </c>
      <c r="F527" t="s">
        <v>36</v>
      </c>
      <c r="G527" s="2">
        <v>0</v>
      </c>
      <c r="H527" s="2">
        <v>3181</v>
      </c>
      <c r="I527">
        <v>1.125494</v>
      </c>
    </row>
    <row r="528" spans="1:9" x14ac:dyDescent="0.25">
      <c r="A528">
        <v>2000140134</v>
      </c>
      <c r="B528" t="s">
        <v>368</v>
      </c>
      <c r="C528" t="s">
        <v>151</v>
      </c>
      <c r="D528" t="s">
        <v>152</v>
      </c>
      <c r="E528" s="2">
        <v>0</v>
      </c>
      <c r="F528" t="s">
        <v>36</v>
      </c>
      <c r="G528" s="2">
        <v>285</v>
      </c>
      <c r="H528">
        <v>0</v>
      </c>
      <c r="I528">
        <v>1.1260330000000001</v>
      </c>
    </row>
    <row r="529" spans="1:9" x14ac:dyDescent="0.25">
      <c r="A529">
        <v>2000140134</v>
      </c>
      <c r="B529" t="s">
        <v>368</v>
      </c>
      <c r="C529" t="s">
        <v>139</v>
      </c>
      <c r="D529" t="s">
        <v>140</v>
      </c>
      <c r="E529" s="2">
        <v>8</v>
      </c>
      <c r="F529" t="s">
        <v>36</v>
      </c>
      <c r="G529" s="2">
        <v>22176</v>
      </c>
      <c r="H529">
        <v>0</v>
      </c>
      <c r="I529">
        <v>1.12625</v>
      </c>
    </row>
    <row r="530" spans="1:9" x14ac:dyDescent="0.25">
      <c r="A530">
        <v>2000140135</v>
      </c>
      <c r="B530" t="s">
        <v>369</v>
      </c>
      <c r="C530" t="s">
        <v>130</v>
      </c>
      <c r="D530" t="s">
        <v>131</v>
      </c>
      <c r="E530" s="2">
        <v>17</v>
      </c>
      <c r="F530" t="s">
        <v>36</v>
      </c>
      <c r="G530">
        <v>222</v>
      </c>
      <c r="H530" s="2">
        <v>28477</v>
      </c>
      <c r="I530">
        <v>4.4811759999999996</v>
      </c>
    </row>
    <row r="531" spans="1:9" x14ac:dyDescent="0.25">
      <c r="A531">
        <v>2000140135</v>
      </c>
      <c r="B531" t="s">
        <v>369</v>
      </c>
      <c r="C531" t="s">
        <v>137</v>
      </c>
      <c r="D531" t="s">
        <v>138</v>
      </c>
      <c r="E531" s="2">
        <v>18</v>
      </c>
      <c r="F531" t="s">
        <v>36</v>
      </c>
      <c r="G531" s="2">
        <v>0</v>
      </c>
      <c r="H531" s="2">
        <v>0</v>
      </c>
      <c r="I531">
        <v>4.5999999999999996</v>
      </c>
    </row>
    <row r="532" spans="1:9" x14ac:dyDescent="0.25">
      <c r="A532">
        <v>2000140135</v>
      </c>
      <c r="B532" t="s">
        <v>369</v>
      </c>
      <c r="C532" t="s">
        <v>139</v>
      </c>
      <c r="D532" t="s">
        <v>140</v>
      </c>
      <c r="E532" s="2">
        <v>27678</v>
      </c>
      <c r="F532" t="s">
        <v>36</v>
      </c>
      <c r="G532" s="2">
        <v>28477</v>
      </c>
      <c r="H532">
        <v>0</v>
      </c>
      <c r="I532">
        <v>4.4810759999999998</v>
      </c>
    </row>
    <row r="533" spans="1:9" x14ac:dyDescent="0.25">
      <c r="A533">
        <v>2000140136</v>
      </c>
      <c r="B533" t="s">
        <v>370</v>
      </c>
      <c r="C533" t="s">
        <v>130</v>
      </c>
      <c r="D533" t="s">
        <v>131</v>
      </c>
      <c r="E533" s="2">
        <v>3098</v>
      </c>
      <c r="F533" t="s">
        <v>36</v>
      </c>
      <c r="G533" s="2">
        <v>78</v>
      </c>
      <c r="H533" s="2">
        <v>0</v>
      </c>
      <c r="I533">
        <v>5.1165719999999997</v>
      </c>
    </row>
    <row r="534" spans="1:9" x14ac:dyDescent="0.25">
      <c r="A534">
        <v>2000140136</v>
      </c>
      <c r="B534" t="s">
        <v>370</v>
      </c>
      <c r="C534" t="s">
        <v>137</v>
      </c>
      <c r="D534" t="s">
        <v>138</v>
      </c>
      <c r="E534" s="2">
        <v>20</v>
      </c>
      <c r="F534" t="s">
        <v>36</v>
      </c>
      <c r="G534" s="2">
        <v>0</v>
      </c>
      <c r="H534">
        <v>0</v>
      </c>
      <c r="I534">
        <v>5.2370000000000001</v>
      </c>
    </row>
    <row r="535" spans="1:9" x14ac:dyDescent="0.25">
      <c r="A535">
        <v>2000140136</v>
      </c>
      <c r="B535" t="s">
        <v>370</v>
      </c>
      <c r="C535" t="s">
        <v>151</v>
      </c>
      <c r="D535" t="s">
        <v>152</v>
      </c>
      <c r="E535" s="2">
        <v>12</v>
      </c>
      <c r="F535" t="s">
        <v>36</v>
      </c>
      <c r="G535">
        <v>0</v>
      </c>
      <c r="H535">
        <v>0</v>
      </c>
      <c r="I535">
        <v>5.1150000000000002</v>
      </c>
    </row>
    <row r="536" spans="1:9" x14ac:dyDescent="0.25">
      <c r="A536">
        <v>2000140137</v>
      </c>
      <c r="B536" t="s">
        <v>371</v>
      </c>
      <c r="C536" t="s">
        <v>130</v>
      </c>
      <c r="D536" t="s">
        <v>131</v>
      </c>
      <c r="E536" s="2">
        <v>9829</v>
      </c>
      <c r="F536" t="s">
        <v>36</v>
      </c>
      <c r="G536" s="2">
        <v>3732</v>
      </c>
      <c r="H536">
        <v>400</v>
      </c>
      <c r="I536">
        <v>0.12670400000000001</v>
      </c>
    </row>
    <row r="537" spans="1:9" x14ac:dyDescent="0.25">
      <c r="A537">
        <v>2000140137</v>
      </c>
      <c r="B537" t="s">
        <v>371</v>
      </c>
      <c r="C537" t="s">
        <v>137</v>
      </c>
      <c r="D537" t="s">
        <v>138</v>
      </c>
      <c r="E537" s="2">
        <v>432</v>
      </c>
      <c r="F537" t="s">
        <v>36</v>
      </c>
      <c r="G537">
        <v>0</v>
      </c>
      <c r="H537">
        <v>84</v>
      </c>
      <c r="I537">
        <v>0.12900500000000001</v>
      </c>
    </row>
    <row r="538" spans="1:9" x14ac:dyDescent="0.25">
      <c r="A538">
        <v>2000140137</v>
      </c>
      <c r="B538" t="s">
        <v>371</v>
      </c>
      <c r="C538" t="s">
        <v>151</v>
      </c>
      <c r="D538" t="s">
        <v>152</v>
      </c>
      <c r="E538" s="2">
        <v>0</v>
      </c>
      <c r="F538" t="s">
        <v>36</v>
      </c>
      <c r="G538" s="2">
        <v>400</v>
      </c>
      <c r="H538" s="2">
        <v>0</v>
      </c>
      <c r="I538">
        <v>0.12687499999999999</v>
      </c>
    </row>
    <row r="539" spans="1:9" x14ac:dyDescent="0.25">
      <c r="A539">
        <v>2000140137</v>
      </c>
      <c r="B539" t="s">
        <v>371</v>
      </c>
      <c r="C539" t="s">
        <v>139</v>
      </c>
      <c r="D539" t="s">
        <v>140</v>
      </c>
      <c r="E539" s="2">
        <v>345296</v>
      </c>
      <c r="F539" t="s">
        <v>36</v>
      </c>
      <c r="G539" s="2">
        <v>0</v>
      </c>
      <c r="H539">
        <v>0</v>
      </c>
      <c r="I539">
        <v>0.12687899999999999</v>
      </c>
    </row>
    <row r="540" spans="1:9" x14ac:dyDescent="0.25">
      <c r="A540">
        <v>2000140138</v>
      </c>
      <c r="B540" t="s">
        <v>372</v>
      </c>
      <c r="C540" t="s">
        <v>130</v>
      </c>
      <c r="D540" t="s">
        <v>131</v>
      </c>
      <c r="E540" s="2">
        <v>172719</v>
      </c>
      <c r="F540" t="s">
        <v>36</v>
      </c>
      <c r="G540" s="2">
        <v>5184</v>
      </c>
      <c r="H540" s="2">
        <v>117504</v>
      </c>
      <c r="I540">
        <v>0.1522</v>
      </c>
    </row>
    <row r="541" spans="1:9" x14ac:dyDescent="0.25">
      <c r="A541">
        <v>2000140138</v>
      </c>
      <c r="B541" t="s">
        <v>372</v>
      </c>
      <c r="C541" t="s">
        <v>137</v>
      </c>
      <c r="D541" t="s">
        <v>138</v>
      </c>
      <c r="E541" s="2">
        <v>108</v>
      </c>
      <c r="F541" t="s">
        <v>36</v>
      </c>
      <c r="G541">
        <v>0</v>
      </c>
      <c r="H541" s="2">
        <v>0</v>
      </c>
      <c r="I541">
        <v>0.15351899999999999</v>
      </c>
    </row>
    <row r="542" spans="1:9" x14ac:dyDescent="0.25">
      <c r="A542">
        <v>2000140138</v>
      </c>
      <c r="B542" t="s">
        <v>372</v>
      </c>
      <c r="C542" t="s">
        <v>139</v>
      </c>
      <c r="D542" t="s">
        <v>140</v>
      </c>
      <c r="E542" s="2">
        <v>172932</v>
      </c>
      <c r="F542" t="s">
        <v>36</v>
      </c>
      <c r="G542" s="2">
        <v>117504</v>
      </c>
      <c r="H542">
        <v>0</v>
      </c>
      <c r="I542">
        <v>0.14990100000000001</v>
      </c>
    </row>
    <row r="543" spans="1:9" x14ac:dyDescent="0.25">
      <c r="A543">
        <v>2000140139</v>
      </c>
      <c r="B543" t="s">
        <v>373</v>
      </c>
      <c r="C543" t="s">
        <v>130</v>
      </c>
      <c r="D543" t="s">
        <v>131</v>
      </c>
      <c r="E543" s="2">
        <v>14773</v>
      </c>
      <c r="F543" t="s">
        <v>36</v>
      </c>
      <c r="G543" s="2">
        <v>72</v>
      </c>
      <c r="H543">
        <v>0</v>
      </c>
      <c r="I543">
        <v>0.14107</v>
      </c>
    </row>
    <row r="544" spans="1:9" x14ac:dyDescent="0.25">
      <c r="A544">
        <v>2000140139</v>
      </c>
      <c r="B544" t="s">
        <v>373</v>
      </c>
      <c r="C544" t="s">
        <v>137</v>
      </c>
      <c r="D544" t="s">
        <v>138</v>
      </c>
      <c r="E544" s="2">
        <v>72</v>
      </c>
      <c r="F544" t="s">
        <v>36</v>
      </c>
      <c r="G544" s="2">
        <v>0</v>
      </c>
      <c r="H544">
        <v>72</v>
      </c>
      <c r="I544">
        <v>0.14541699999999999</v>
      </c>
    </row>
    <row r="545" spans="1:9" x14ac:dyDescent="0.25">
      <c r="A545">
        <v>2000140140</v>
      </c>
      <c r="B545" t="s">
        <v>374</v>
      </c>
      <c r="C545" t="s">
        <v>130</v>
      </c>
      <c r="D545" t="s">
        <v>131</v>
      </c>
      <c r="E545" s="2">
        <v>52350</v>
      </c>
      <c r="F545" t="s">
        <v>36</v>
      </c>
      <c r="G545" s="2">
        <v>12</v>
      </c>
      <c r="H545" s="2">
        <v>0</v>
      </c>
      <c r="I545">
        <v>0.16053500000000001</v>
      </c>
    </row>
    <row r="546" spans="1:9" x14ac:dyDescent="0.25">
      <c r="A546">
        <v>2000140140</v>
      </c>
      <c r="B546" t="s">
        <v>374</v>
      </c>
      <c r="C546" t="s">
        <v>137</v>
      </c>
      <c r="D546" t="s">
        <v>138</v>
      </c>
      <c r="E546" s="2">
        <v>72</v>
      </c>
      <c r="F546" t="s">
        <v>36</v>
      </c>
      <c r="G546">
        <v>0</v>
      </c>
      <c r="H546">
        <v>0</v>
      </c>
      <c r="I546">
        <v>0.160556</v>
      </c>
    </row>
    <row r="547" spans="1:9" x14ac:dyDescent="0.25">
      <c r="A547">
        <v>2000140141</v>
      </c>
      <c r="B547" t="s">
        <v>375</v>
      </c>
      <c r="C547" t="s">
        <v>130</v>
      </c>
      <c r="D547" t="s">
        <v>131</v>
      </c>
      <c r="E547" s="2">
        <v>34071</v>
      </c>
      <c r="F547" t="s">
        <v>36</v>
      </c>
      <c r="G547">
        <v>0</v>
      </c>
      <c r="H547">
        <v>0</v>
      </c>
      <c r="I547">
        <v>0.14452799999999999</v>
      </c>
    </row>
    <row r="548" spans="1:9" x14ac:dyDescent="0.25">
      <c r="A548">
        <v>2000140141</v>
      </c>
      <c r="B548" t="s">
        <v>375</v>
      </c>
      <c r="C548" t="s">
        <v>137</v>
      </c>
      <c r="D548" t="s">
        <v>138</v>
      </c>
      <c r="E548" s="2">
        <v>72</v>
      </c>
      <c r="F548" t="s">
        <v>36</v>
      </c>
      <c r="G548">
        <v>0</v>
      </c>
      <c r="H548">
        <v>0</v>
      </c>
      <c r="I548">
        <v>0.14722199999999999</v>
      </c>
    </row>
    <row r="549" spans="1:9" x14ac:dyDescent="0.25">
      <c r="A549" s="1">
        <v>2000140142</v>
      </c>
      <c r="B549" s="1" t="s">
        <v>376</v>
      </c>
      <c r="C549" s="1" t="s">
        <v>130</v>
      </c>
      <c r="D549" s="1" t="s">
        <v>131</v>
      </c>
      <c r="E549" s="3">
        <v>15822</v>
      </c>
      <c r="F549" s="1" t="s">
        <v>36</v>
      </c>
      <c r="G549" s="3">
        <v>1824</v>
      </c>
      <c r="H549" s="1">
        <v>0</v>
      </c>
      <c r="I549" s="1">
        <v>0.15357899999999999</v>
      </c>
    </row>
    <row r="550" spans="1:9" x14ac:dyDescent="0.25">
      <c r="A550">
        <v>2000140142</v>
      </c>
      <c r="B550" t="s">
        <v>376</v>
      </c>
      <c r="C550" t="s">
        <v>137</v>
      </c>
      <c r="D550" t="s">
        <v>138</v>
      </c>
      <c r="E550" s="2">
        <v>72</v>
      </c>
      <c r="F550" t="s">
        <v>36</v>
      </c>
      <c r="G550">
        <v>0</v>
      </c>
      <c r="H550">
        <v>84</v>
      </c>
      <c r="I550">
        <v>0.155417</v>
      </c>
    </row>
    <row r="551" spans="1:9" x14ac:dyDescent="0.25">
      <c r="A551">
        <v>2000140142</v>
      </c>
      <c r="B551" t="s">
        <v>376</v>
      </c>
      <c r="C551" t="s">
        <v>151</v>
      </c>
      <c r="D551" t="s">
        <v>152</v>
      </c>
      <c r="E551" s="2">
        <v>0</v>
      </c>
      <c r="F551" t="s">
        <v>36</v>
      </c>
      <c r="G551" s="2">
        <v>0</v>
      </c>
      <c r="H551" s="2">
        <v>1728</v>
      </c>
      <c r="I551">
        <v>0.153582</v>
      </c>
    </row>
    <row r="552" spans="1:9" x14ac:dyDescent="0.25">
      <c r="A552">
        <v>2000140142</v>
      </c>
      <c r="B552" t="s">
        <v>376</v>
      </c>
      <c r="C552" t="s">
        <v>139</v>
      </c>
      <c r="D552" t="s">
        <v>140</v>
      </c>
      <c r="E552" s="2">
        <v>4116</v>
      </c>
      <c r="F552" t="s">
        <v>36</v>
      </c>
      <c r="G552">
        <v>0</v>
      </c>
      <c r="H552">
        <v>0</v>
      </c>
      <c r="I552">
        <v>0.15357599999999999</v>
      </c>
    </row>
    <row r="553" spans="1:9" x14ac:dyDescent="0.25">
      <c r="A553">
        <v>2000140143</v>
      </c>
      <c r="B553" t="s">
        <v>377</v>
      </c>
      <c r="C553" t="s">
        <v>130</v>
      </c>
      <c r="D553" t="s">
        <v>131</v>
      </c>
      <c r="E553" s="2">
        <v>16403</v>
      </c>
      <c r="F553" t="s">
        <v>36</v>
      </c>
      <c r="G553">
        <v>0</v>
      </c>
      <c r="H553">
        <v>0</v>
      </c>
      <c r="I553">
        <v>0.158884</v>
      </c>
    </row>
    <row r="554" spans="1:9" x14ac:dyDescent="0.25">
      <c r="A554">
        <v>2000140143</v>
      </c>
      <c r="B554" t="s">
        <v>377</v>
      </c>
      <c r="C554" t="s">
        <v>137</v>
      </c>
      <c r="D554" t="s">
        <v>138</v>
      </c>
      <c r="E554" s="2">
        <v>72</v>
      </c>
      <c r="F554" t="s">
        <v>36</v>
      </c>
      <c r="G554">
        <v>0</v>
      </c>
      <c r="H554">
        <v>0</v>
      </c>
      <c r="I554">
        <v>0.158889</v>
      </c>
    </row>
    <row r="555" spans="1:9" x14ac:dyDescent="0.25">
      <c r="A555">
        <v>2000140144</v>
      </c>
      <c r="B555" t="s">
        <v>378</v>
      </c>
      <c r="C555" t="s">
        <v>130</v>
      </c>
      <c r="D555" t="s">
        <v>131</v>
      </c>
      <c r="E555" s="2">
        <v>16384</v>
      </c>
      <c r="F555" t="s">
        <v>36</v>
      </c>
      <c r="G555" s="2">
        <v>84</v>
      </c>
      <c r="H555" s="2">
        <v>0</v>
      </c>
      <c r="I555">
        <v>0.16975999999999999</v>
      </c>
    </row>
    <row r="556" spans="1:9" x14ac:dyDescent="0.25">
      <c r="A556">
        <v>2000140144</v>
      </c>
      <c r="B556" t="s">
        <v>378</v>
      </c>
      <c r="C556" t="s">
        <v>137</v>
      </c>
      <c r="D556" t="s">
        <v>138</v>
      </c>
      <c r="E556" s="2">
        <v>72</v>
      </c>
      <c r="F556" t="s">
        <v>36</v>
      </c>
      <c r="G556">
        <v>0</v>
      </c>
      <c r="H556">
        <v>72</v>
      </c>
      <c r="I556">
        <v>0.17152800000000001</v>
      </c>
    </row>
    <row r="557" spans="1:9" x14ac:dyDescent="0.25">
      <c r="A557">
        <v>2000140144</v>
      </c>
      <c r="B557" t="s">
        <v>378</v>
      </c>
      <c r="C557" t="s">
        <v>139</v>
      </c>
      <c r="D557" t="s">
        <v>140</v>
      </c>
      <c r="E557" s="2">
        <v>3636</v>
      </c>
      <c r="F557" t="s">
        <v>36</v>
      </c>
      <c r="G557">
        <v>0</v>
      </c>
      <c r="H557">
        <v>0</v>
      </c>
      <c r="I557">
        <v>0.169761</v>
      </c>
    </row>
    <row r="558" spans="1:9" x14ac:dyDescent="0.25">
      <c r="A558">
        <v>2000140145</v>
      </c>
      <c r="B558" t="s">
        <v>379</v>
      </c>
      <c r="C558" t="s">
        <v>130</v>
      </c>
      <c r="D558" t="s">
        <v>131</v>
      </c>
      <c r="E558" s="2">
        <v>17901</v>
      </c>
      <c r="F558" t="s">
        <v>36</v>
      </c>
      <c r="G558" s="2">
        <v>0</v>
      </c>
      <c r="H558">
        <v>0</v>
      </c>
      <c r="I558">
        <v>0.16100200000000001</v>
      </c>
    </row>
    <row r="559" spans="1:9" x14ac:dyDescent="0.25">
      <c r="A559">
        <v>2000140145</v>
      </c>
      <c r="B559" t="s">
        <v>379</v>
      </c>
      <c r="C559" t="s">
        <v>137</v>
      </c>
      <c r="D559" t="s">
        <v>138</v>
      </c>
      <c r="E559" s="2">
        <v>72</v>
      </c>
      <c r="F559" t="s">
        <v>36</v>
      </c>
      <c r="G559" s="2">
        <v>0</v>
      </c>
      <c r="H559">
        <v>0</v>
      </c>
      <c r="I559">
        <v>0.160972</v>
      </c>
    </row>
    <row r="560" spans="1:9" x14ac:dyDescent="0.25">
      <c r="A560">
        <v>2000140146</v>
      </c>
      <c r="B560" t="s">
        <v>380</v>
      </c>
      <c r="C560" t="s">
        <v>130</v>
      </c>
      <c r="D560" t="s">
        <v>131</v>
      </c>
      <c r="E560" s="2">
        <v>27114</v>
      </c>
      <c r="F560" t="s">
        <v>36</v>
      </c>
      <c r="G560">
        <v>12</v>
      </c>
      <c r="H560" s="2">
        <v>8172</v>
      </c>
      <c r="I560">
        <v>0.176902</v>
      </c>
    </row>
    <row r="561" spans="1:9" x14ac:dyDescent="0.25">
      <c r="A561">
        <v>2000140146</v>
      </c>
      <c r="B561" t="s">
        <v>380</v>
      </c>
      <c r="C561" t="s">
        <v>137</v>
      </c>
      <c r="D561" t="s">
        <v>138</v>
      </c>
      <c r="E561" s="2">
        <v>72</v>
      </c>
      <c r="F561" t="s">
        <v>36</v>
      </c>
      <c r="G561" s="2">
        <v>0</v>
      </c>
      <c r="H561">
        <v>0</v>
      </c>
      <c r="I561">
        <v>0.17972199999999999</v>
      </c>
    </row>
    <row r="562" spans="1:9" x14ac:dyDescent="0.25">
      <c r="A562">
        <v>2000140146</v>
      </c>
      <c r="B562" t="s">
        <v>380</v>
      </c>
      <c r="C562" t="s">
        <v>139</v>
      </c>
      <c r="D562" t="s">
        <v>140</v>
      </c>
      <c r="E562" s="2">
        <v>0</v>
      </c>
      <c r="F562" t="s">
        <v>36</v>
      </c>
      <c r="G562" s="2">
        <v>8172</v>
      </c>
      <c r="H562">
        <v>0</v>
      </c>
      <c r="I562">
        <v>0.176901</v>
      </c>
    </row>
    <row r="563" spans="1:9" x14ac:dyDescent="0.25">
      <c r="A563">
        <v>2000140147</v>
      </c>
      <c r="B563" t="s">
        <v>381</v>
      </c>
      <c r="C563" t="s">
        <v>130</v>
      </c>
      <c r="D563" t="s">
        <v>131</v>
      </c>
      <c r="E563" s="2">
        <v>29</v>
      </c>
      <c r="F563" t="s">
        <v>36</v>
      </c>
      <c r="G563">
        <v>864</v>
      </c>
      <c r="H563">
        <v>0</v>
      </c>
      <c r="I563">
        <v>0.165517</v>
      </c>
    </row>
    <row r="564" spans="1:9" x14ac:dyDescent="0.25">
      <c r="A564">
        <v>2000140147</v>
      </c>
      <c r="B564" t="s">
        <v>381</v>
      </c>
      <c r="C564" t="s">
        <v>137</v>
      </c>
      <c r="D564" t="s">
        <v>138</v>
      </c>
      <c r="E564" s="2">
        <v>72</v>
      </c>
      <c r="F564" t="s">
        <v>36</v>
      </c>
      <c r="G564">
        <v>0</v>
      </c>
      <c r="H564">
        <v>0</v>
      </c>
      <c r="I564">
        <v>0.16527800000000001</v>
      </c>
    </row>
    <row r="565" spans="1:9" x14ac:dyDescent="0.25">
      <c r="A565">
        <v>2000140147</v>
      </c>
      <c r="B565" t="s">
        <v>381</v>
      </c>
      <c r="C565" t="s">
        <v>139</v>
      </c>
      <c r="D565" t="s">
        <v>140</v>
      </c>
      <c r="E565" s="2">
        <v>34848</v>
      </c>
      <c r="F565" t="s">
        <v>36</v>
      </c>
      <c r="G565" s="2">
        <v>0</v>
      </c>
      <c r="H565">
        <v>0</v>
      </c>
      <c r="I565">
        <v>0.15953600000000001</v>
      </c>
    </row>
    <row r="566" spans="1:9" x14ac:dyDescent="0.25">
      <c r="A566" s="1">
        <v>2000140148</v>
      </c>
      <c r="B566" s="1" t="s">
        <v>382</v>
      </c>
      <c r="C566" s="1" t="s">
        <v>130</v>
      </c>
      <c r="D566" s="1" t="s">
        <v>131</v>
      </c>
      <c r="E566" s="3">
        <v>21808</v>
      </c>
      <c r="F566" s="1" t="s">
        <v>36</v>
      </c>
      <c r="G566" s="3">
        <v>1728</v>
      </c>
      <c r="H566" s="3">
        <v>7104</v>
      </c>
      <c r="I566" s="1">
        <v>0.18889700000000001</v>
      </c>
    </row>
    <row r="567" spans="1:9" x14ac:dyDescent="0.25">
      <c r="A567">
        <v>2000140148</v>
      </c>
      <c r="B567" t="s">
        <v>382</v>
      </c>
      <c r="C567" t="s">
        <v>137</v>
      </c>
      <c r="D567" t="s">
        <v>138</v>
      </c>
      <c r="E567" s="2">
        <v>72</v>
      </c>
      <c r="F567" t="s">
        <v>36</v>
      </c>
      <c r="G567" s="2">
        <v>0</v>
      </c>
      <c r="H567" s="2">
        <v>0</v>
      </c>
      <c r="I567">
        <v>0.191806</v>
      </c>
    </row>
    <row r="568" spans="1:9" x14ac:dyDescent="0.25">
      <c r="A568">
        <v>2000140148</v>
      </c>
      <c r="B568" t="s">
        <v>382</v>
      </c>
      <c r="C568" t="s">
        <v>151</v>
      </c>
      <c r="D568" t="s">
        <v>152</v>
      </c>
      <c r="E568" s="2">
        <v>0</v>
      </c>
      <c r="F568" t="s">
        <v>36</v>
      </c>
      <c r="G568">
        <v>0</v>
      </c>
      <c r="H568" s="2">
        <v>1728</v>
      </c>
      <c r="I568">
        <v>0.18889500000000001</v>
      </c>
    </row>
    <row r="569" spans="1:9" x14ac:dyDescent="0.25">
      <c r="A569">
        <v>2000140148</v>
      </c>
      <c r="B569" t="s">
        <v>382</v>
      </c>
      <c r="C569" t="s">
        <v>139</v>
      </c>
      <c r="D569" t="s">
        <v>140</v>
      </c>
      <c r="E569" s="2">
        <v>0</v>
      </c>
      <c r="F569" t="s">
        <v>36</v>
      </c>
      <c r="G569" s="2">
        <v>7104</v>
      </c>
      <c r="H569" s="2">
        <v>0</v>
      </c>
      <c r="I569">
        <v>0.18889600000000001</v>
      </c>
    </row>
    <row r="570" spans="1:9" x14ac:dyDescent="0.25">
      <c r="A570">
        <v>2000140149</v>
      </c>
      <c r="B570" t="s">
        <v>383</v>
      </c>
      <c r="C570" t="s">
        <v>130</v>
      </c>
      <c r="D570" t="s">
        <v>131</v>
      </c>
      <c r="E570" s="2">
        <v>14400</v>
      </c>
      <c r="F570" t="s">
        <v>36</v>
      </c>
      <c r="G570" s="2">
        <v>0</v>
      </c>
      <c r="H570" s="2">
        <v>0</v>
      </c>
      <c r="I570">
        <v>0.16300600000000001</v>
      </c>
    </row>
    <row r="571" spans="1:9" x14ac:dyDescent="0.25">
      <c r="A571">
        <v>2000140149</v>
      </c>
      <c r="B571" t="s">
        <v>383</v>
      </c>
      <c r="C571" t="s">
        <v>137</v>
      </c>
      <c r="D571" t="s">
        <v>138</v>
      </c>
      <c r="E571" s="2">
        <v>72</v>
      </c>
      <c r="F571" t="s">
        <v>36</v>
      </c>
      <c r="G571" s="2">
        <v>0</v>
      </c>
      <c r="H571">
        <v>0</v>
      </c>
      <c r="I571">
        <v>0.16305600000000001</v>
      </c>
    </row>
    <row r="572" spans="1:9" x14ac:dyDescent="0.25">
      <c r="A572">
        <v>2000140150</v>
      </c>
      <c r="B572" t="s">
        <v>384</v>
      </c>
      <c r="C572" t="s">
        <v>130</v>
      </c>
      <c r="D572" t="s">
        <v>131</v>
      </c>
      <c r="E572" s="2">
        <v>25</v>
      </c>
      <c r="F572" t="s">
        <v>36</v>
      </c>
      <c r="G572" s="2">
        <v>876</v>
      </c>
      <c r="H572">
        <v>0</v>
      </c>
      <c r="I572">
        <v>0.21</v>
      </c>
    </row>
    <row r="573" spans="1:9" x14ac:dyDescent="0.25">
      <c r="A573">
        <v>2000140150</v>
      </c>
      <c r="B573" t="s">
        <v>384</v>
      </c>
      <c r="C573" t="s">
        <v>137</v>
      </c>
      <c r="D573" t="s">
        <v>138</v>
      </c>
      <c r="E573" s="2">
        <v>72</v>
      </c>
      <c r="F573" t="s">
        <v>36</v>
      </c>
      <c r="G573">
        <v>0</v>
      </c>
      <c r="H573">
        <v>12</v>
      </c>
      <c r="I573">
        <v>0.19722200000000001</v>
      </c>
    </row>
    <row r="574" spans="1:9" x14ac:dyDescent="0.25">
      <c r="A574">
        <v>2000140150</v>
      </c>
      <c r="B574" t="s">
        <v>384</v>
      </c>
      <c r="C574" t="s">
        <v>139</v>
      </c>
      <c r="D574" t="s">
        <v>140</v>
      </c>
      <c r="E574" s="2">
        <v>5220</v>
      </c>
      <c r="F574" t="s">
        <v>36</v>
      </c>
      <c r="G574">
        <v>0</v>
      </c>
      <c r="H574">
        <v>0</v>
      </c>
      <c r="I574">
        <v>0.19517599999999999</v>
      </c>
    </row>
    <row r="575" spans="1:9" x14ac:dyDescent="0.25">
      <c r="A575">
        <v>2000140151</v>
      </c>
      <c r="B575" t="s">
        <v>385</v>
      </c>
      <c r="C575" t="s">
        <v>130</v>
      </c>
      <c r="D575" t="s">
        <v>131</v>
      </c>
      <c r="E575" s="2">
        <v>12477</v>
      </c>
      <c r="F575" t="s">
        <v>36</v>
      </c>
      <c r="G575" s="2">
        <v>0</v>
      </c>
      <c r="H575">
        <v>0</v>
      </c>
      <c r="I575">
        <v>0.165521</v>
      </c>
    </row>
    <row r="576" spans="1:9" x14ac:dyDescent="0.25">
      <c r="A576">
        <v>2000140151</v>
      </c>
      <c r="B576" t="s">
        <v>385</v>
      </c>
      <c r="C576" t="s">
        <v>137</v>
      </c>
      <c r="D576" t="s">
        <v>138</v>
      </c>
      <c r="E576" s="2">
        <v>72</v>
      </c>
      <c r="F576" t="s">
        <v>36</v>
      </c>
      <c r="G576" s="2">
        <v>0</v>
      </c>
      <c r="H576">
        <v>0</v>
      </c>
      <c r="I576">
        <v>0.16555600000000001</v>
      </c>
    </row>
    <row r="577" spans="1:9" x14ac:dyDescent="0.25">
      <c r="A577">
        <v>2000140152</v>
      </c>
      <c r="B577" t="s">
        <v>386</v>
      </c>
      <c r="C577" t="s">
        <v>130</v>
      </c>
      <c r="D577" t="s">
        <v>131</v>
      </c>
      <c r="E577" s="2">
        <v>84</v>
      </c>
      <c r="F577" t="s">
        <v>36</v>
      </c>
      <c r="G577" s="2">
        <v>0</v>
      </c>
      <c r="H577">
        <v>0</v>
      </c>
      <c r="I577">
        <v>0.21618999999999999</v>
      </c>
    </row>
    <row r="578" spans="1:9" x14ac:dyDescent="0.25">
      <c r="A578" s="1">
        <v>2000140152</v>
      </c>
      <c r="B578" s="1" t="s">
        <v>386</v>
      </c>
      <c r="C578" s="1" t="s">
        <v>137</v>
      </c>
      <c r="D578" s="1" t="s">
        <v>138</v>
      </c>
      <c r="E578" s="3">
        <v>72</v>
      </c>
      <c r="F578" s="1" t="s">
        <v>36</v>
      </c>
      <c r="G578" s="1">
        <v>0</v>
      </c>
      <c r="H578" s="1">
        <v>0</v>
      </c>
      <c r="I578" s="1">
        <v>0.21625</v>
      </c>
    </row>
    <row r="579" spans="1:9" x14ac:dyDescent="0.25">
      <c r="A579">
        <v>2000140152</v>
      </c>
      <c r="B579" t="s">
        <v>386</v>
      </c>
      <c r="C579" t="s">
        <v>139</v>
      </c>
      <c r="D579" t="s">
        <v>140</v>
      </c>
      <c r="E579" s="2">
        <v>36972</v>
      </c>
      <c r="F579" t="s">
        <v>36</v>
      </c>
      <c r="G579">
        <v>0</v>
      </c>
      <c r="H579">
        <v>0</v>
      </c>
      <c r="I579">
        <v>0.20218700000000001</v>
      </c>
    </row>
    <row r="580" spans="1:9" x14ac:dyDescent="0.25">
      <c r="A580">
        <v>2000140153</v>
      </c>
      <c r="B580" t="s">
        <v>387</v>
      </c>
      <c r="C580" t="s">
        <v>130</v>
      </c>
      <c r="D580" t="s">
        <v>131</v>
      </c>
      <c r="E580" s="2">
        <v>23395</v>
      </c>
      <c r="F580" t="s">
        <v>36</v>
      </c>
      <c r="G580" s="2">
        <v>0</v>
      </c>
      <c r="H580">
        <v>0</v>
      </c>
      <c r="I580">
        <v>0.16774900000000001</v>
      </c>
    </row>
    <row r="581" spans="1:9" x14ac:dyDescent="0.25">
      <c r="A581">
        <v>2000140153</v>
      </c>
      <c r="B581" t="s">
        <v>387</v>
      </c>
      <c r="C581" t="s">
        <v>137</v>
      </c>
      <c r="D581" t="s">
        <v>138</v>
      </c>
      <c r="E581" s="2">
        <v>72</v>
      </c>
      <c r="F581" t="s">
        <v>36</v>
      </c>
      <c r="G581" s="2">
        <v>0</v>
      </c>
      <c r="H581">
        <v>0</v>
      </c>
      <c r="I581">
        <v>0.16777800000000001</v>
      </c>
    </row>
    <row r="582" spans="1:9" x14ac:dyDescent="0.25">
      <c r="A582">
        <v>2000140154</v>
      </c>
      <c r="B582" t="s">
        <v>388</v>
      </c>
      <c r="C582" t="s">
        <v>137</v>
      </c>
      <c r="D582" t="s">
        <v>138</v>
      </c>
      <c r="E582" s="2">
        <v>72</v>
      </c>
      <c r="F582" t="s">
        <v>36</v>
      </c>
      <c r="G582">
        <v>0</v>
      </c>
      <c r="H582">
        <v>0</v>
      </c>
      <c r="I582">
        <v>0.14708299999999999</v>
      </c>
    </row>
    <row r="583" spans="1:9" x14ac:dyDescent="0.25">
      <c r="A583" s="1">
        <v>2000140154</v>
      </c>
      <c r="B583" s="1" t="s">
        <v>388</v>
      </c>
      <c r="C583" s="1" t="s">
        <v>139</v>
      </c>
      <c r="D583" s="1" t="s">
        <v>140</v>
      </c>
      <c r="E583" s="3">
        <v>27672</v>
      </c>
      <c r="F583" s="1" t="s">
        <v>36</v>
      </c>
      <c r="G583" s="1">
        <v>0</v>
      </c>
      <c r="H583" s="1">
        <v>0</v>
      </c>
      <c r="I583" s="1">
        <v>0.146343</v>
      </c>
    </row>
    <row r="584" spans="1:9" x14ac:dyDescent="0.25">
      <c r="A584">
        <v>2000140155</v>
      </c>
      <c r="B584" t="s">
        <v>389</v>
      </c>
      <c r="C584" t="s">
        <v>130</v>
      </c>
      <c r="D584" t="s">
        <v>131</v>
      </c>
      <c r="E584" s="2">
        <v>30021</v>
      </c>
      <c r="F584" t="s">
        <v>36</v>
      </c>
      <c r="G584">
        <v>0</v>
      </c>
      <c r="H584">
        <v>0</v>
      </c>
      <c r="I584">
        <v>0.14907899999999999</v>
      </c>
    </row>
    <row r="585" spans="1:9" x14ac:dyDescent="0.25">
      <c r="A585">
        <v>2000140155</v>
      </c>
      <c r="B585" t="s">
        <v>389</v>
      </c>
      <c r="C585" t="s">
        <v>137</v>
      </c>
      <c r="D585" t="s">
        <v>138</v>
      </c>
      <c r="E585" s="2">
        <v>72</v>
      </c>
      <c r="F585" t="s">
        <v>36</v>
      </c>
      <c r="G585">
        <v>0</v>
      </c>
      <c r="H585">
        <v>0</v>
      </c>
      <c r="I585">
        <v>0.14902799999999999</v>
      </c>
    </row>
    <row r="586" spans="1:9" x14ac:dyDescent="0.25">
      <c r="A586">
        <v>2000140156</v>
      </c>
      <c r="B586" t="s">
        <v>390</v>
      </c>
      <c r="C586" t="s">
        <v>130</v>
      </c>
      <c r="D586" t="s">
        <v>131</v>
      </c>
      <c r="E586" s="2">
        <v>26991</v>
      </c>
      <c r="F586" t="s">
        <v>36</v>
      </c>
      <c r="G586">
        <v>12</v>
      </c>
      <c r="H586">
        <v>0</v>
      </c>
      <c r="I586">
        <v>0.139048</v>
      </c>
    </row>
    <row r="587" spans="1:9" x14ac:dyDescent="0.25">
      <c r="A587">
        <v>2000140156</v>
      </c>
      <c r="B587" t="s">
        <v>390</v>
      </c>
      <c r="C587" t="s">
        <v>137</v>
      </c>
      <c r="D587" t="s">
        <v>138</v>
      </c>
      <c r="E587" s="2">
        <v>72</v>
      </c>
      <c r="F587" t="s">
        <v>36</v>
      </c>
      <c r="G587">
        <v>0</v>
      </c>
      <c r="H587">
        <v>0</v>
      </c>
      <c r="I587">
        <v>0.14236099999999999</v>
      </c>
    </row>
    <row r="588" spans="1:9" x14ac:dyDescent="0.25">
      <c r="A588" s="1">
        <v>2000140157</v>
      </c>
      <c r="B588" s="1" t="s">
        <v>391</v>
      </c>
      <c r="C588" s="1" t="s">
        <v>130</v>
      </c>
      <c r="D588" s="1" t="s">
        <v>131</v>
      </c>
      <c r="E588" s="3">
        <v>4368</v>
      </c>
      <c r="F588" s="1" t="s">
        <v>36</v>
      </c>
      <c r="G588" s="3">
        <v>22476</v>
      </c>
      <c r="H588" s="1">
        <v>0</v>
      </c>
      <c r="I588" s="1">
        <v>0.14397399999999999</v>
      </c>
    </row>
    <row r="589" spans="1:9" x14ac:dyDescent="0.25">
      <c r="A589" s="1">
        <v>2000140157</v>
      </c>
      <c r="B589" s="1" t="s">
        <v>391</v>
      </c>
      <c r="C589" s="1" t="s">
        <v>137</v>
      </c>
      <c r="D589" s="1" t="s">
        <v>138</v>
      </c>
      <c r="E589" s="3">
        <v>72</v>
      </c>
      <c r="F589" s="1" t="s">
        <v>36</v>
      </c>
      <c r="G589" s="1">
        <v>0</v>
      </c>
      <c r="H589" s="1">
        <v>0</v>
      </c>
      <c r="I589" s="1">
        <v>0.14736099999999999</v>
      </c>
    </row>
    <row r="590" spans="1:9" x14ac:dyDescent="0.25">
      <c r="A590">
        <v>2000140157</v>
      </c>
      <c r="B590" t="s">
        <v>391</v>
      </c>
      <c r="C590" t="s">
        <v>151</v>
      </c>
      <c r="D590" t="s">
        <v>152</v>
      </c>
      <c r="E590" s="2">
        <v>0</v>
      </c>
      <c r="F590" t="s">
        <v>36</v>
      </c>
      <c r="G590">
        <v>0</v>
      </c>
      <c r="H590" s="2">
        <v>22464</v>
      </c>
      <c r="I590">
        <v>0.143979</v>
      </c>
    </row>
    <row r="591" spans="1:9" x14ac:dyDescent="0.25">
      <c r="A591">
        <v>2000140157</v>
      </c>
      <c r="B591" t="s">
        <v>391</v>
      </c>
      <c r="C591" t="s">
        <v>139</v>
      </c>
      <c r="D591" t="s">
        <v>140</v>
      </c>
      <c r="E591" s="2">
        <v>139008</v>
      </c>
      <c r="F591" t="s">
        <v>36</v>
      </c>
      <c r="G591">
        <v>0</v>
      </c>
      <c r="H591">
        <v>0</v>
      </c>
      <c r="I591">
        <v>0.143979</v>
      </c>
    </row>
    <row r="592" spans="1:9" x14ac:dyDescent="0.25">
      <c r="A592">
        <v>2000140158</v>
      </c>
      <c r="B592" t="s">
        <v>392</v>
      </c>
      <c r="C592" t="s">
        <v>130</v>
      </c>
      <c r="D592" t="s">
        <v>131</v>
      </c>
      <c r="E592" s="2">
        <v>112</v>
      </c>
      <c r="F592" t="s">
        <v>36</v>
      </c>
      <c r="G592">
        <v>58</v>
      </c>
      <c r="H592">
        <v>0</v>
      </c>
      <c r="I592">
        <v>4.777946</v>
      </c>
    </row>
    <row r="593" spans="1:9" x14ac:dyDescent="0.25">
      <c r="A593" s="1">
        <v>2000140158</v>
      </c>
      <c r="B593" s="1" t="s">
        <v>392</v>
      </c>
      <c r="C593" s="1" t="s">
        <v>137</v>
      </c>
      <c r="D593" s="1" t="s">
        <v>138</v>
      </c>
      <c r="E593" s="3">
        <v>12</v>
      </c>
      <c r="F593" s="1" t="s">
        <v>36</v>
      </c>
      <c r="G593" s="1">
        <v>0</v>
      </c>
      <c r="H593" s="1">
        <v>0</v>
      </c>
      <c r="I593" s="1">
        <v>4.9908330000000003</v>
      </c>
    </row>
    <row r="594" spans="1:9" x14ac:dyDescent="0.25">
      <c r="A594">
        <v>2000140158</v>
      </c>
      <c r="B594" t="s">
        <v>392</v>
      </c>
      <c r="C594" t="s">
        <v>139</v>
      </c>
      <c r="D594" t="s">
        <v>140</v>
      </c>
      <c r="E594" s="2">
        <v>241</v>
      </c>
      <c r="F594" t="s">
        <v>36</v>
      </c>
      <c r="G594" s="2">
        <v>0</v>
      </c>
      <c r="H594">
        <v>0</v>
      </c>
      <c r="I594">
        <v>4.7726559999999996</v>
      </c>
    </row>
    <row r="595" spans="1:9" x14ac:dyDescent="0.25">
      <c r="A595">
        <v>2000140159</v>
      </c>
      <c r="B595" t="s">
        <v>393</v>
      </c>
      <c r="C595" t="s">
        <v>130</v>
      </c>
      <c r="D595" t="s">
        <v>131</v>
      </c>
      <c r="E595" s="2">
        <v>2</v>
      </c>
      <c r="F595" t="s">
        <v>36</v>
      </c>
      <c r="G595" s="2">
        <v>1253</v>
      </c>
      <c r="H595">
        <v>0</v>
      </c>
      <c r="I595">
        <v>2.5649999999999999</v>
      </c>
    </row>
    <row r="596" spans="1:9" x14ac:dyDescent="0.25">
      <c r="A596">
        <v>2000140159</v>
      </c>
      <c r="B596" t="s">
        <v>393</v>
      </c>
      <c r="C596" t="s">
        <v>137</v>
      </c>
      <c r="D596" t="s">
        <v>138</v>
      </c>
      <c r="E596" s="2">
        <v>16</v>
      </c>
      <c r="F596" t="s">
        <v>36</v>
      </c>
      <c r="G596">
        <v>0</v>
      </c>
      <c r="H596">
        <v>11</v>
      </c>
      <c r="I596">
        <v>2.6062500000000002</v>
      </c>
    </row>
    <row r="597" spans="1:9" x14ac:dyDescent="0.25">
      <c r="A597" s="1">
        <v>2000140159</v>
      </c>
      <c r="B597" s="1" t="s">
        <v>393</v>
      </c>
      <c r="C597" s="1" t="s">
        <v>139</v>
      </c>
      <c r="D597" s="1" t="s">
        <v>140</v>
      </c>
      <c r="E597" s="3">
        <v>361</v>
      </c>
      <c r="F597" s="1" t="s">
        <v>36</v>
      </c>
      <c r="G597" s="1">
        <v>0</v>
      </c>
      <c r="H597" s="1">
        <v>0</v>
      </c>
      <c r="I597" s="1">
        <v>2.6583929999999998</v>
      </c>
    </row>
    <row r="598" spans="1:9" x14ac:dyDescent="0.25">
      <c r="A598">
        <v>2000140160</v>
      </c>
      <c r="B598" t="s">
        <v>394</v>
      </c>
      <c r="C598" t="s">
        <v>130</v>
      </c>
      <c r="D598" t="s">
        <v>131</v>
      </c>
      <c r="E598" s="2">
        <v>43675</v>
      </c>
      <c r="F598" t="s">
        <v>36</v>
      </c>
      <c r="G598" s="2">
        <v>5328</v>
      </c>
      <c r="H598">
        <v>12</v>
      </c>
      <c r="I598">
        <v>0.174285</v>
      </c>
    </row>
    <row r="599" spans="1:9" x14ac:dyDescent="0.25">
      <c r="A599">
        <v>2000140160</v>
      </c>
      <c r="B599" t="s">
        <v>394</v>
      </c>
      <c r="C599" t="s">
        <v>137</v>
      </c>
      <c r="D599" t="s">
        <v>138</v>
      </c>
      <c r="E599" s="2">
        <v>432</v>
      </c>
      <c r="F599" t="s">
        <v>36</v>
      </c>
      <c r="G599">
        <v>0</v>
      </c>
      <c r="H599">
        <v>144</v>
      </c>
      <c r="I599">
        <v>0.17787</v>
      </c>
    </row>
    <row r="600" spans="1:9" x14ac:dyDescent="0.25">
      <c r="A600">
        <v>2000140160</v>
      </c>
      <c r="B600" t="s">
        <v>394</v>
      </c>
      <c r="C600" t="s">
        <v>151</v>
      </c>
      <c r="D600" t="s">
        <v>152</v>
      </c>
      <c r="E600" s="2">
        <v>0</v>
      </c>
      <c r="F600" t="s">
        <v>36</v>
      </c>
      <c r="G600">
        <v>0</v>
      </c>
      <c r="H600" s="2">
        <v>5184</v>
      </c>
      <c r="I600">
        <v>0.17361099999999999</v>
      </c>
    </row>
    <row r="601" spans="1:9" x14ac:dyDescent="0.25">
      <c r="A601">
        <v>2000140160</v>
      </c>
      <c r="B601" t="s">
        <v>394</v>
      </c>
      <c r="C601" t="s">
        <v>139</v>
      </c>
      <c r="D601" t="s">
        <v>140</v>
      </c>
      <c r="E601" s="2">
        <v>52332</v>
      </c>
      <c r="F601" t="s">
        <v>36</v>
      </c>
      <c r="G601">
        <v>12</v>
      </c>
      <c r="H601">
        <v>0</v>
      </c>
      <c r="I601">
        <v>0.17428199999999999</v>
      </c>
    </row>
    <row r="602" spans="1:9" x14ac:dyDescent="0.25">
      <c r="A602">
        <v>2000140161</v>
      </c>
      <c r="B602" t="s">
        <v>395</v>
      </c>
      <c r="C602" t="s">
        <v>130</v>
      </c>
      <c r="D602" t="s">
        <v>131</v>
      </c>
      <c r="E602" s="2">
        <v>86307</v>
      </c>
      <c r="F602" t="s">
        <v>36</v>
      </c>
      <c r="G602" s="2">
        <v>12144</v>
      </c>
      <c r="H602" s="2">
        <v>34190</v>
      </c>
      <c r="I602">
        <v>0.19542799999999999</v>
      </c>
    </row>
    <row r="603" spans="1:9" x14ac:dyDescent="0.25">
      <c r="A603" s="1">
        <v>2000140161</v>
      </c>
      <c r="B603" s="1" t="s">
        <v>395</v>
      </c>
      <c r="C603" s="1" t="s">
        <v>137</v>
      </c>
      <c r="D603" s="1" t="s">
        <v>138</v>
      </c>
      <c r="E603" s="3">
        <v>432</v>
      </c>
      <c r="F603" s="1" t="s">
        <v>36</v>
      </c>
      <c r="G603" s="1">
        <v>0</v>
      </c>
      <c r="H603" s="1">
        <v>48</v>
      </c>
      <c r="I603" s="1">
        <v>0.19807900000000001</v>
      </c>
    </row>
    <row r="604" spans="1:9" x14ac:dyDescent="0.25">
      <c r="A604">
        <v>2000140161</v>
      </c>
      <c r="B604" t="s">
        <v>395</v>
      </c>
      <c r="C604" t="s">
        <v>151</v>
      </c>
      <c r="D604" t="s">
        <v>152</v>
      </c>
      <c r="E604" s="2">
        <v>0</v>
      </c>
      <c r="F604" t="s">
        <v>36</v>
      </c>
      <c r="G604">
        <v>0</v>
      </c>
      <c r="H604" s="2">
        <v>12096</v>
      </c>
      <c r="I604">
        <v>0.201322</v>
      </c>
    </row>
    <row r="605" spans="1:9" x14ac:dyDescent="0.25">
      <c r="A605">
        <v>2000140161</v>
      </c>
      <c r="B605" t="s">
        <v>395</v>
      </c>
      <c r="C605" t="s">
        <v>139</v>
      </c>
      <c r="D605" t="s">
        <v>140</v>
      </c>
      <c r="E605" s="2">
        <v>0</v>
      </c>
      <c r="F605" t="s">
        <v>36</v>
      </c>
      <c r="G605" s="2">
        <v>34190</v>
      </c>
      <c r="H605">
        <v>0</v>
      </c>
      <c r="I605">
        <v>0.201322</v>
      </c>
    </row>
    <row r="606" spans="1:9" x14ac:dyDescent="0.25">
      <c r="A606" s="1">
        <v>2000140162</v>
      </c>
      <c r="B606" s="1" t="s">
        <v>396</v>
      </c>
      <c r="C606" s="1" t="s">
        <v>130</v>
      </c>
      <c r="D606" s="1" t="s">
        <v>131</v>
      </c>
      <c r="E606" s="3">
        <v>8</v>
      </c>
      <c r="F606" s="1" t="s">
        <v>36</v>
      </c>
      <c r="G606" s="1">
        <v>720</v>
      </c>
      <c r="H606" s="3">
        <v>1451520</v>
      </c>
      <c r="I606" s="1">
        <v>0.13500000000000001</v>
      </c>
    </row>
    <row r="607" spans="1:9" x14ac:dyDescent="0.25">
      <c r="A607">
        <v>2000140162</v>
      </c>
      <c r="B607" t="s">
        <v>396</v>
      </c>
      <c r="C607" t="s">
        <v>142</v>
      </c>
      <c r="D607" t="s">
        <v>143</v>
      </c>
      <c r="E607" s="2">
        <v>1000</v>
      </c>
      <c r="F607" t="s">
        <v>36</v>
      </c>
      <c r="G607">
        <v>0</v>
      </c>
      <c r="H607">
        <v>0</v>
      </c>
      <c r="I607">
        <v>0.13541</v>
      </c>
    </row>
    <row r="608" spans="1:9" x14ac:dyDescent="0.25">
      <c r="A608">
        <v>2000140162</v>
      </c>
      <c r="B608" t="s">
        <v>396</v>
      </c>
      <c r="C608" t="s">
        <v>137</v>
      </c>
      <c r="D608" t="s">
        <v>138</v>
      </c>
      <c r="E608" s="2">
        <v>492</v>
      </c>
      <c r="F608" t="s">
        <v>36</v>
      </c>
      <c r="G608">
        <v>0</v>
      </c>
      <c r="H608">
        <v>0</v>
      </c>
      <c r="I608">
        <v>0.13652400000000001</v>
      </c>
    </row>
    <row r="609" spans="1:9" x14ac:dyDescent="0.25">
      <c r="A609">
        <v>2000140162</v>
      </c>
      <c r="B609" t="s">
        <v>396</v>
      </c>
      <c r="C609" t="s">
        <v>139</v>
      </c>
      <c r="D609" t="s">
        <v>140</v>
      </c>
      <c r="E609" s="2">
        <v>784944</v>
      </c>
      <c r="F609" t="s">
        <v>36</v>
      </c>
      <c r="G609" s="2">
        <v>1451520</v>
      </c>
      <c r="H609">
        <v>0</v>
      </c>
      <c r="I609">
        <v>0.135409</v>
      </c>
    </row>
    <row r="610" spans="1:9" x14ac:dyDescent="0.25">
      <c r="A610">
        <v>2000140163</v>
      </c>
      <c r="B610" t="s">
        <v>397</v>
      </c>
      <c r="C610" t="s">
        <v>130</v>
      </c>
      <c r="D610" t="s">
        <v>131</v>
      </c>
      <c r="E610" s="2">
        <v>17729</v>
      </c>
      <c r="F610" t="s">
        <v>36</v>
      </c>
      <c r="G610" s="2">
        <v>0</v>
      </c>
      <c r="H610" s="2">
        <v>27384</v>
      </c>
      <c r="I610">
        <v>0.107748</v>
      </c>
    </row>
    <row r="611" spans="1:9" x14ac:dyDescent="0.25">
      <c r="A611">
        <v>2000140163</v>
      </c>
      <c r="B611" t="s">
        <v>397</v>
      </c>
      <c r="C611" t="s">
        <v>142</v>
      </c>
      <c r="D611" t="s">
        <v>143</v>
      </c>
      <c r="E611" s="2">
        <v>3718</v>
      </c>
      <c r="F611" t="s">
        <v>36</v>
      </c>
      <c r="G611">
        <v>0</v>
      </c>
      <c r="H611">
        <v>0</v>
      </c>
      <c r="I611">
        <v>0.107749</v>
      </c>
    </row>
    <row r="612" spans="1:9" x14ac:dyDescent="0.25">
      <c r="A612" s="1">
        <v>2000140163</v>
      </c>
      <c r="B612" s="1" t="s">
        <v>397</v>
      </c>
      <c r="C612" s="1" t="s">
        <v>137</v>
      </c>
      <c r="D612" s="1" t="s">
        <v>138</v>
      </c>
      <c r="E612" s="3">
        <v>1</v>
      </c>
      <c r="F612" s="1" t="s">
        <v>36</v>
      </c>
      <c r="G612" s="1">
        <v>0</v>
      </c>
      <c r="H612" s="1">
        <v>0</v>
      </c>
      <c r="I612" s="1">
        <v>0.11</v>
      </c>
    </row>
    <row r="613" spans="1:9" x14ac:dyDescent="0.25">
      <c r="A613">
        <v>2000140163</v>
      </c>
      <c r="B613" t="s">
        <v>397</v>
      </c>
      <c r="C613" t="s">
        <v>139</v>
      </c>
      <c r="D613" t="s">
        <v>140</v>
      </c>
      <c r="E613" s="2">
        <v>27384</v>
      </c>
      <c r="F613" t="s">
        <v>36</v>
      </c>
      <c r="G613" s="2">
        <v>27384</v>
      </c>
      <c r="H613">
        <v>0</v>
      </c>
      <c r="I613">
        <v>0.114033</v>
      </c>
    </row>
    <row r="614" spans="1:9" x14ac:dyDescent="0.25">
      <c r="A614">
        <v>2000140164</v>
      </c>
      <c r="B614" t="s">
        <v>398</v>
      </c>
      <c r="C614" t="s">
        <v>130</v>
      </c>
      <c r="D614" t="s">
        <v>131</v>
      </c>
      <c r="E614" s="2">
        <v>22</v>
      </c>
      <c r="F614" t="s">
        <v>36</v>
      </c>
      <c r="G614" s="2">
        <v>2030</v>
      </c>
      <c r="H614" s="2">
        <v>2458</v>
      </c>
      <c r="I614">
        <v>0.106818</v>
      </c>
    </row>
    <row r="615" spans="1:9" x14ac:dyDescent="0.25">
      <c r="A615" s="1">
        <v>2000140164</v>
      </c>
      <c r="B615" s="1" t="s">
        <v>398</v>
      </c>
      <c r="C615" s="1" t="s">
        <v>137</v>
      </c>
      <c r="D615" s="1" t="s">
        <v>138</v>
      </c>
      <c r="E615" s="3">
        <v>432</v>
      </c>
      <c r="F615" s="1" t="s">
        <v>36</v>
      </c>
      <c r="G615" s="1">
        <v>0</v>
      </c>
      <c r="H615" s="1">
        <v>0</v>
      </c>
      <c r="I615" s="1">
        <v>0.10976900000000001</v>
      </c>
    </row>
    <row r="616" spans="1:9" x14ac:dyDescent="0.25">
      <c r="A616">
        <v>2000140164</v>
      </c>
      <c r="B616" t="s">
        <v>398</v>
      </c>
      <c r="C616" t="s">
        <v>151</v>
      </c>
      <c r="D616" t="s">
        <v>152</v>
      </c>
      <c r="E616" s="2">
        <v>0</v>
      </c>
      <c r="F616" t="s">
        <v>36</v>
      </c>
      <c r="G616" s="2">
        <v>2458</v>
      </c>
      <c r="H616" s="2">
        <v>0</v>
      </c>
      <c r="I616">
        <v>0.10697</v>
      </c>
    </row>
    <row r="617" spans="1:9" x14ac:dyDescent="0.25">
      <c r="A617">
        <v>2000140164</v>
      </c>
      <c r="B617" t="s">
        <v>398</v>
      </c>
      <c r="C617" t="s">
        <v>139</v>
      </c>
      <c r="D617" t="s">
        <v>140</v>
      </c>
      <c r="E617" s="2">
        <v>102078</v>
      </c>
      <c r="F617" t="s">
        <v>36</v>
      </c>
      <c r="G617">
        <v>0</v>
      </c>
      <c r="H617">
        <v>0</v>
      </c>
      <c r="I617">
        <v>0.10697</v>
      </c>
    </row>
    <row r="618" spans="1:9" x14ac:dyDescent="0.25">
      <c r="A618" s="1">
        <v>2000140165</v>
      </c>
      <c r="B618" s="1" t="s">
        <v>399</v>
      </c>
      <c r="C618" s="1" t="s">
        <v>130</v>
      </c>
      <c r="D618" s="1" t="s">
        <v>131</v>
      </c>
      <c r="E618" s="3">
        <v>98</v>
      </c>
      <c r="F618" s="1" t="s">
        <v>36</v>
      </c>
      <c r="G618" s="1">
        <v>0</v>
      </c>
      <c r="H618" s="1">
        <v>0</v>
      </c>
      <c r="I618" s="1">
        <v>2.2874490000000001</v>
      </c>
    </row>
    <row r="619" spans="1:9" x14ac:dyDescent="0.25">
      <c r="A619">
        <v>2000140166</v>
      </c>
      <c r="B619" t="s">
        <v>400</v>
      </c>
      <c r="C619" t="s">
        <v>130</v>
      </c>
      <c r="D619" t="s">
        <v>131</v>
      </c>
      <c r="E619" s="2">
        <v>38</v>
      </c>
      <c r="F619" t="s">
        <v>36</v>
      </c>
      <c r="G619" s="2">
        <v>15</v>
      </c>
      <c r="H619">
        <v>0</v>
      </c>
      <c r="I619">
        <v>1.9350000000000001</v>
      </c>
    </row>
    <row r="620" spans="1:9" x14ac:dyDescent="0.25">
      <c r="A620">
        <v>2000140166</v>
      </c>
      <c r="B620" t="s">
        <v>400</v>
      </c>
      <c r="C620" t="s">
        <v>137</v>
      </c>
      <c r="D620" t="s">
        <v>138</v>
      </c>
      <c r="E620" s="2">
        <v>6</v>
      </c>
      <c r="F620" t="s">
        <v>36</v>
      </c>
      <c r="G620">
        <v>0</v>
      </c>
      <c r="H620">
        <v>0</v>
      </c>
      <c r="I620">
        <v>1.9350000000000001</v>
      </c>
    </row>
    <row r="621" spans="1:9" x14ac:dyDescent="0.25">
      <c r="A621">
        <v>2000140166</v>
      </c>
      <c r="B621" t="s">
        <v>400</v>
      </c>
      <c r="C621" t="s">
        <v>139</v>
      </c>
      <c r="D621" t="s">
        <v>140</v>
      </c>
      <c r="E621" s="2">
        <v>6387</v>
      </c>
      <c r="F621" t="s">
        <v>36</v>
      </c>
      <c r="G621">
        <v>0</v>
      </c>
      <c r="H621">
        <v>0</v>
      </c>
      <c r="I621">
        <v>1.920833</v>
      </c>
    </row>
    <row r="622" spans="1:9" x14ac:dyDescent="0.25">
      <c r="A622">
        <v>2000140167</v>
      </c>
      <c r="B622" t="s">
        <v>401</v>
      </c>
      <c r="C622" t="s">
        <v>130</v>
      </c>
      <c r="D622" t="s">
        <v>131</v>
      </c>
      <c r="E622" s="2">
        <v>5</v>
      </c>
      <c r="F622" t="s">
        <v>36</v>
      </c>
      <c r="G622" s="2">
        <v>4248</v>
      </c>
      <c r="H622" s="2">
        <v>16649</v>
      </c>
      <c r="I622">
        <v>1.8120000000000001</v>
      </c>
    </row>
    <row r="623" spans="1:9" x14ac:dyDescent="0.25">
      <c r="A623">
        <v>2000140167</v>
      </c>
      <c r="B623" t="s">
        <v>401</v>
      </c>
      <c r="C623" t="s">
        <v>258</v>
      </c>
      <c r="D623" t="s">
        <v>259</v>
      </c>
      <c r="E623" s="2">
        <v>84</v>
      </c>
      <c r="F623" t="s">
        <v>36</v>
      </c>
      <c r="G623">
        <v>0</v>
      </c>
      <c r="H623">
        <v>0</v>
      </c>
      <c r="I623">
        <v>1.8109519999999999</v>
      </c>
    </row>
    <row r="624" spans="1:9" x14ac:dyDescent="0.25">
      <c r="A624">
        <v>2000140167</v>
      </c>
      <c r="B624" t="s">
        <v>401</v>
      </c>
      <c r="C624" t="s">
        <v>137</v>
      </c>
      <c r="D624" t="s">
        <v>138</v>
      </c>
      <c r="E624" s="2">
        <v>624</v>
      </c>
      <c r="F624" t="s">
        <v>36</v>
      </c>
      <c r="G624">
        <v>0</v>
      </c>
      <c r="H624">
        <v>216</v>
      </c>
      <c r="I624">
        <v>1.810994</v>
      </c>
    </row>
    <row r="625" spans="1:9" x14ac:dyDescent="0.25">
      <c r="A625">
        <v>2000140167</v>
      </c>
      <c r="B625" t="s">
        <v>401</v>
      </c>
      <c r="C625" t="s">
        <v>151</v>
      </c>
      <c r="D625" t="s">
        <v>152</v>
      </c>
      <c r="E625" s="2">
        <v>0</v>
      </c>
      <c r="F625" t="s">
        <v>36</v>
      </c>
      <c r="G625">
        <v>0</v>
      </c>
      <c r="H625" s="2">
        <v>3168</v>
      </c>
      <c r="I625">
        <v>1.8109900000000001</v>
      </c>
    </row>
    <row r="626" spans="1:9" x14ac:dyDescent="0.25">
      <c r="A626">
        <v>2000140167</v>
      </c>
      <c r="B626" t="s">
        <v>401</v>
      </c>
      <c r="C626" t="s">
        <v>139</v>
      </c>
      <c r="D626" t="s">
        <v>140</v>
      </c>
      <c r="E626" s="2">
        <v>5351</v>
      </c>
      <c r="F626" t="s">
        <v>36</v>
      </c>
      <c r="G626" s="2">
        <v>17513</v>
      </c>
      <c r="H626">
        <v>864</v>
      </c>
      <c r="I626">
        <v>1.810989</v>
      </c>
    </row>
    <row r="627" spans="1:9" x14ac:dyDescent="0.25">
      <c r="A627">
        <v>2000140168</v>
      </c>
      <c r="B627" t="s">
        <v>402</v>
      </c>
      <c r="C627" t="s">
        <v>130</v>
      </c>
      <c r="D627" t="s">
        <v>131</v>
      </c>
      <c r="E627" s="2">
        <v>10875</v>
      </c>
      <c r="F627" t="s">
        <v>36</v>
      </c>
      <c r="G627" s="2">
        <v>1</v>
      </c>
      <c r="H627">
        <v>0</v>
      </c>
      <c r="I627">
        <v>6.6858310000000003</v>
      </c>
    </row>
    <row r="628" spans="1:9" x14ac:dyDescent="0.25">
      <c r="A628">
        <v>2000140168</v>
      </c>
      <c r="B628" t="s">
        <v>402</v>
      </c>
      <c r="C628" t="s">
        <v>137</v>
      </c>
      <c r="D628" t="s">
        <v>138</v>
      </c>
      <c r="E628" s="2">
        <v>10</v>
      </c>
      <c r="F628" t="s">
        <v>36</v>
      </c>
      <c r="G628">
        <v>0</v>
      </c>
      <c r="H628">
        <v>1</v>
      </c>
      <c r="I628">
        <v>6.6879999999999997</v>
      </c>
    </row>
    <row r="629" spans="1:9" x14ac:dyDescent="0.25">
      <c r="A629" s="1">
        <v>2000140169</v>
      </c>
      <c r="B629" s="1" t="s">
        <v>403</v>
      </c>
      <c r="C629" s="1" t="s">
        <v>130</v>
      </c>
      <c r="D629" s="1" t="s">
        <v>131</v>
      </c>
      <c r="E629" s="3">
        <v>75409</v>
      </c>
      <c r="F629" s="1" t="s">
        <v>36</v>
      </c>
      <c r="G629" s="1">
        <v>360</v>
      </c>
      <c r="H629" s="1">
        <v>0</v>
      </c>
      <c r="I629" s="1">
        <v>2.2590910000000002</v>
      </c>
    </row>
    <row r="630" spans="1:9" x14ac:dyDescent="0.25">
      <c r="A630">
        <v>2000140169</v>
      </c>
      <c r="B630" t="s">
        <v>403</v>
      </c>
      <c r="C630" t="s">
        <v>137</v>
      </c>
      <c r="D630" t="s">
        <v>138</v>
      </c>
      <c r="E630" s="2">
        <v>36</v>
      </c>
      <c r="F630" t="s">
        <v>36</v>
      </c>
      <c r="G630">
        <v>0</v>
      </c>
      <c r="H630">
        <v>60</v>
      </c>
      <c r="I630">
        <v>2.2977780000000001</v>
      </c>
    </row>
    <row r="631" spans="1:9" x14ac:dyDescent="0.25">
      <c r="A631">
        <v>2000140169</v>
      </c>
      <c r="B631" t="s">
        <v>403</v>
      </c>
      <c r="C631" t="s">
        <v>151</v>
      </c>
      <c r="D631" t="s">
        <v>152</v>
      </c>
      <c r="E631" s="2">
        <v>3824</v>
      </c>
      <c r="F631" t="s">
        <v>36</v>
      </c>
      <c r="G631">
        <v>0</v>
      </c>
      <c r="H631">
        <v>0</v>
      </c>
      <c r="I631">
        <v>2.2572700000000001</v>
      </c>
    </row>
    <row r="632" spans="1:9" x14ac:dyDescent="0.25">
      <c r="A632" s="1">
        <v>2000140169</v>
      </c>
      <c r="B632" s="1" t="s">
        <v>403</v>
      </c>
      <c r="C632" s="1" t="s">
        <v>139</v>
      </c>
      <c r="D632" s="1" t="s">
        <v>140</v>
      </c>
      <c r="E632" s="3">
        <v>40571</v>
      </c>
      <c r="F632" s="1" t="s">
        <v>36</v>
      </c>
      <c r="G632" s="1">
        <v>0</v>
      </c>
      <c r="H632" s="1">
        <v>0</v>
      </c>
      <c r="I632" s="1">
        <v>2.2717420000000002</v>
      </c>
    </row>
    <row r="633" spans="1:9" x14ac:dyDescent="0.25">
      <c r="A633" s="1">
        <v>2000140170</v>
      </c>
      <c r="B633" s="1" t="s">
        <v>404</v>
      </c>
      <c r="C633" s="1" t="s">
        <v>130</v>
      </c>
      <c r="D633" s="1" t="s">
        <v>131</v>
      </c>
      <c r="E633" s="3">
        <v>3</v>
      </c>
      <c r="F633" s="1" t="s">
        <v>36</v>
      </c>
      <c r="G633" s="3">
        <v>4057</v>
      </c>
      <c r="H633" s="1">
        <v>0</v>
      </c>
      <c r="I633" s="1">
        <v>2.5133329999999998</v>
      </c>
    </row>
    <row r="634" spans="1:9" x14ac:dyDescent="0.25">
      <c r="A634">
        <v>2000140170</v>
      </c>
      <c r="B634" t="s">
        <v>404</v>
      </c>
      <c r="C634" t="s">
        <v>137</v>
      </c>
      <c r="D634" t="s">
        <v>138</v>
      </c>
      <c r="E634" s="2">
        <v>36</v>
      </c>
      <c r="F634" t="s">
        <v>36</v>
      </c>
      <c r="G634" s="2">
        <v>0</v>
      </c>
      <c r="H634">
        <v>1</v>
      </c>
      <c r="I634">
        <v>2.5719439999999998</v>
      </c>
    </row>
    <row r="635" spans="1:9" x14ac:dyDescent="0.25">
      <c r="A635">
        <v>2000140170</v>
      </c>
      <c r="B635" t="s">
        <v>404</v>
      </c>
      <c r="C635" t="s">
        <v>151</v>
      </c>
      <c r="D635" t="s">
        <v>152</v>
      </c>
      <c r="E635" s="2">
        <v>0</v>
      </c>
      <c r="F635" t="s">
        <v>36</v>
      </c>
      <c r="G635">
        <v>0</v>
      </c>
      <c r="H635" s="2">
        <v>3888</v>
      </c>
      <c r="I635">
        <v>2.5167860000000002</v>
      </c>
    </row>
    <row r="636" spans="1:9" x14ac:dyDescent="0.25">
      <c r="A636" s="1">
        <v>2000140170</v>
      </c>
      <c r="B636" s="1" t="s">
        <v>404</v>
      </c>
      <c r="C636" s="1" t="s">
        <v>139</v>
      </c>
      <c r="D636" s="1" t="s">
        <v>140</v>
      </c>
      <c r="E636" s="3">
        <v>40045</v>
      </c>
      <c r="F636" s="1" t="s">
        <v>36</v>
      </c>
      <c r="G636" s="1">
        <v>0</v>
      </c>
      <c r="H636" s="1">
        <v>0</v>
      </c>
      <c r="I636" s="1">
        <v>2.516416</v>
      </c>
    </row>
    <row r="637" spans="1:9" x14ac:dyDescent="0.25">
      <c r="A637">
        <v>2000140171</v>
      </c>
      <c r="B637" t="s">
        <v>405</v>
      </c>
      <c r="C637" t="s">
        <v>130</v>
      </c>
      <c r="D637" t="s">
        <v>131</v>
      </c>
      <c r="E637" s="2">
        <v>22</v>
      </c>
      <c r="F637" t="s">
        <v>36</v>
      </c>
      <c r="G637">
        <v>18</v>
      </c>
      <c r="H637">
        <v>0</v>
      </c>
      <c r="I637">
        <v>3.71</v>
      </c>
    </row>
    <row r="638" spans="1:9" x14ac:dyDescent="0.25">
      <c r="A638">
        <v>2000140171</v>
      </c>
      <c r="B638" t="s">
        <v>405</v>
      </c>
      <c r="C638" t="s">
        <v>137</v>
      </c>
      <c r="D638" t="s">
        <v>138</v>
      </c>
      <c r="E638" s="2">
        <v>39</v>
      </c>
      <c r="F638" t="s">
        <v>36</v>
      </c>
      <c r="G638">
        <v>0</v>
      </c>
      <c r="H638">
        <v>0</v>
      </c>
      <c r="I638">
        <v>3.8064100000000001</v>
      </c>
    </row>
    <row r="639" spans="1:9" x14ac:dyDescent="0.25">
      <c r="A639">
        <v>2000140171</v>
      </c>
      <c r="B639" t="s">
        <v>405</v>
      </c>
      <c r="C639" t="s">
        <v>151</v>
      </c>
      <c r="D639" t="s">
        <v>152</v>
      </c>
      <c r="E639" s="2">
        <v>709</v>
      </c>
      <c r="F639" t="s">
        <v>36</v>
      </c>
      <c r="G639">
        <v>0</v>
      </c>
      <c r="H639">
        <v>0</v>
      </c>
      <c r="I639">
        <v>3.7095910000000001</v>
      </c>
    </row>
    <row r="640" spans="1:9" x14ac:dyDescent="0.25">
      <c r="A640">
        <v>2000140171</v>
      </c>
      <c r="B640" t="s">
        <v>405</v>
      </c>
      <c r="C640" t="s">
        <v>139</v>
      </c>
      <c r="D640" t="s">
        <v>140</v>
      </c>
      <c r="E640" s="2">
        <v>25576</v>
      </c>
      <c r="F640" t="s">
        <v>36</v>
      </c>
      <c r="G640">
        <v>0</v>
      </c>
      <c r="H640" s="2">
        <v>0</v>
      </c>
      <c r="I640">
        <v>3.7095829999999999</v>
      </c>
    </row>
    <row r="641" spans="1:9" x14ac:dyDescent="0.25">
      <c r="A641" s="1">
        <v>2000140172</v>
      </c>
      <c r="B641" s="1" t="s">
        <v>406</v>
      </c>
      <c r="C641" s="1" t="s">
        <v>130</v>
      </c>
      <c r="D641" s="1" t="s">
        <v>131</v>
      </c>
      <c r="E641" s="3">
        <v>16</v>
      </c>
      <c r="F641" s="1" t="s">
        <v>36</v>
      </c>
      <c r="G641" s="1">
        <v>410</v>
      </c>
      <c r="H641" s="1">
        <v>288</v>
      </c>
      <c r="I641" s="1">
        <v>1.7050000000000001</v>
      </c>
    </row>
    <row r="642" spans="1:9" x14ac:dyDescent="0.25">
      <c r="A642">
        <v>2000140172</v>
      </c>
      <c r="B642" t="s">
        <v>406</v>
      </c>
      <c r="C642" t="s">
        <v>167</v>
      </c>
      <c r="D642" t="s">
        <v>168</v>
      </c>
      <c r="E642" s="2">
        <v>0</v>
      </c>
      <c r="F642" t="s">
        <v>36</v>
      </c>
      <c r="G642">
        <v>0</v>
      </c>
      <c r="H642">
        <v>36</v>
      </c>
      <c r="I642">
        <v>0</v>
      </c>
    </row>
    <row r="643" spans="1:9" x14ac:dyDescent="0.25">
      <c r="A643">
        <v>2000140172</v>
      </c>
      <c r="B643" t="s">
        <v>406</v>
      </c>
      <c r="C643" t="s">
        <v>137</v>
      </c>
      <c r="D643" t="s">
        <v>138</v>
      </c>
      <c r="E643" s="2">
        <v>0</v>
      </c>
      <c r="F643" t="s">
        <v>36</v>
      </c>
      <c r="G643">
        <v>0</v>
      </c>
      <c r="H643">
        <v>85</v>
      </c>
      <c r="I643">
        <v>1.7025710000000001</v>
      </c>
    </row>
    <row r="644" spans="1:9" x14ac:dyDescent="0.25">
      <c r="A644">
        <v>2000140172</v>
      </c>
      <c r="B644" t="s">
        <v>406</v>
      </c>
      <c r="C644" t="s">
        <v>139</v>
      </c>
      <c r="D644" t="s">
        <v>140</v>
      </c>
      <c r="E644" s="2">
        <v>0</v>
      </c>
      <c r="F644" t="s">
        <v>36</v>
      </c>
      <c r="G644">
        <v>288</v>
      </c>
      <c r="H644">
        <v>0</v>
      </c>
      <c r="I644">
        <v>0</v>
      </c>
    </row>
    <row r="645" spans="1:9" x14ac:dyDescent="0.25">
      <c r="A645">
        <v>2000140188</v>
      </c>
      <c r="B645" t="s">
        <v>407</v>
      </c>
      <c r="C645" t="s">
        <v>307</v>
      </c>
      <c r="D645" t="s">
        <v>308</v>
      </c>
      <c r="E645" s="2">
        <v>1000</v>
      </c>
      <c r="F645" t="s">
        <v>36</v>
      </c>
      <c r="G645">
        <v>0</v>
      </c>
      <c r="H645">
        <v>0</v>
      </c>
      <c r="I645">
        <v>7.0720799999999997</v>
      </c>
    </row>
    <row r="646" spans="1:9" x14ac:dyDescent="0.25">
      <c r="A646" s="1">
        <v>2000140188</v>
      </c>
      <c r="B646" s="1" t="s">
        <v>407</v>
      </c>
      <c r="C646" s="1" t="s">
        <v>130</v>
      </c>
      <c r="D646" s="1" t="s">
        <v>131</v>
      </c>
      <c r="E646" s="3">
        <v>18</v>
      </c>
      <c r="F646" s="1" t="s">
        <v>36</v>
      </c>
      <c r="G646" s="3">
        <v>4533</v>
      </c>
      <c r="H646" s="3">
        <v>3732</v>
      </c>
      <c r="I646" s="1">
        <v>7.07</v>
      </c>
    </row>
    <row r="647" spans="1:9" x14ac:dyDescent="0.25">
      <c r="A647" s="1">
        <v>2000140188</v>
      </c>
      <c r="B647" s="1" t="s">
        <v>407</v>
      </c>
      <c r="C647" s="1" t="s">
        <v>167</v>
      </c>
      <c r="D647" s="1" t="s">
        <v>168</v>
      </c>
      <c r="E647" s="3">
        <v>0</v>
      </c>
      <c r="F647" s="1" t="s">
        <v>36</v>
      </c>
      <c r="G647" s="1">
        <v>0</v>
      </c>
      <c r="H647" s="1">
        <v>36</v>
      </c>
      <c r="I647" s="1">
        <v>0</v>
      </c>
    </row>
    <row r="648" spans="1:9" x14ac:dyDescent="0.25">
      <c r="A648" s="1">
        <v>2000140188</v>
      </c>
      <c r="B648" s="1" t="s">
        <v>407</v>
      </c>
      <c r="C648" s="1" t="s">
        <v>137</v>
      </c>
      <c r="D648" s="1" t="s">
        <v>138</v>
      </c>
      <c r="E648" s="3">
        <v>1</v>
      </c>
      <c r="F648" s="1" t="s">
        <v>36</v>
      </c>
      <c r="G648" s="1">
        <v>0</v>
      </c>
      <c r="H648" s="1">
        <v>10</v>
      </c>
      <c r="I648" s="1">
        <v>7.07</v>
      </c>
    </row>
    <row r="649" spans="1:9" x14ac:dyDescent="0.25">
      <c r="A649">
        <v>2000140188</v>
      </c>
      <c r="B649" t="s">
        <v>407</v>
      </c>
      <c r="C649" t="s">
        <v>151</v>
      </c>
      <c r="D649" t="s">
        <v>152</v>
      </c>
      <c r="E649" s="2">
        <v>0</v>
      </c>
      <c r="F649" t="s">
        <v>36</v>
      </c>
      <c r="G649" s="2">
        <v>2732</v>
      </c>
      <c r="H649" s="2">
        <v>1656</v>
      </c>
      <c r="I649">
        <v>7.0720739999999997</v>
      </c>
    </row>
    <row r="650" spans="1:9" x14ac:dyDescent="0.25">
      <c r="A650">
        <v>2000140189</v>
      </c>
      <c r="B650" t="s">
        <v>408</v>
      </c>
      <c r="C650" t="s">
        <v>130</v>
      </c>
      <c r="D650" t="s">
        <v>131</v>
      </c>
      <c r="E650" s="2">
        <v>54</v>
      </c>
      <c r="F650" t="s">
        <v>36</v>
      </c>
      <c r="G650">
        <v>436</v>
      </c>
      <c r="H650">
        <v>0</v>
      </c>
      <c r="I650">
        <v>15.571667</v>
      </c>
    </row>
    <row r="651" spans="1:9" x14ac:dyDescent="0.25">
      <c r="A651" s="1">
        <v>2000140189</v>
      </c>
      <c r="B651" s="1" t="s">
        <v>408</v>
      </c>
      <c r="C651" s="1" t="s">
        <v>258</v>
      </c>
      <c r="D651" s="1" t="s">
        <v>259</v>
      </c>
      <c r="E651" s="3">
        <v>2</v>
      </c>
      <c r="F651" s="1" t="s">
        <v>36</v>
      </c>
      <c r="G651" s="1">
        <v>0</v>
      </c>
      <c r="H651" s="1">
        <v>0</v>
      </c>
      <c r="I651" s="1">
        <v>15.57</v>
      </c>
    </row>
    <row r="652" spans="1:9" x14ac:dyDescent="0.25">
      <c r="A652" s="1">
        <v>2000140189</v>
      </c>
      <c r="B652" s="1" t="s">
        <v>408</v>
      </c>
      <c r="C652" s="1" t="s">
        <v>137</v>
      </c>
      <c r="D652" s="1" t="s">
        <v>138</v>
      </c>
      <c r="E652" s="3">
        <v>38</v>
      </c>
      <c r="F652" s="1" t="s">
        <v>36</v>
      </c>
      <c r="G652" s="1">
        <v>0</v>
      </c>
      <c r="H652" s="1">
        <v>0</v>
      </c>
      <c r="I652" s="1">
        <v>15.571579</v>
      </c>
    </row>
    <row r="653" spans="1:9" x14ac:dyDescent="0.25">
      <c r="A653" s="1">
        <v>2000140189</v>
      </c>
      <c r="B653" s="1" t="s">
        <v>408</v>
      </c>
      <c r="C653" s="1" t="s">
        <v>151</v>
      </c>
      <c r="D653" s="1" t="s">
        <v>152</v>
      </c>
      <c r="E653" s="3">
        <v>48</v>
      </c>
      <c r="F653" s="1" t="s">
        <v>36</v>
      </c>
      <c r="G653" s="1">
        <v>0</v>
      </c>
      <c r="H653" s="1">
        <v>396</v>
      </c>
      <c r="I653" s="1">
        <v>15.571667</v>
      </c>
    </row>
    <row r="654" spans="1:9" x14ac:dyDescent="0.25">
      <c r="A654">
        <v>2000140189</v>
      </c>
      <c r="B654" t="s">
        <v>408</v>
      </c>
      <c r="C654" t="s">
        <v>139</v>
      </c>
      <c r="D654" t="s">
        <v>140</v>
      </c>
      <c r="E654" s="2">
        <v>1186</v>
      </c>
      <c r="F654" t="s">
        <v>36</v>
      </c>
      <c r="G654">
        <v>0</v>
      </c>
      <c r="H654">
        <v>0</v>
      </c>
      <c r="I654">
        <v>15.571619</v>
      </c>
    </row>
    <row r="655" spans="1:9" x14ac:dyDescent="0.25">
      <c r="A655">
        <v>2000140190</v>
      </c>
      <c r="B655" t="s">
        <v>409</v>
      </c>
      <c r="C655" t="s">
        <v>130</v>
      </c>
      <c r="D655" t="s">
        <v>131</v>
      </c>
      <c r="E655" s="2">
        <v>44</v>
      </c>
      <c r="F655" t="s">
        <v>36</v>
      </c>
      <c r="G655">
        <v>330</v>
      </c>
      <c r="H655">
        <v>0</v>
      </c>
      <c r="I655">
        <v>19.905227</v>
      </c>
    </row>
    <row r="656" spans="1:9" x14ac:dyDescent="0.25">
      <c r="A656">
        <v>2000140190</v>
      </c>
      <c r="B656" t="s">
        <v>409</v>
      </c>
      <c r="C656" t="s">
        <v>258</v>
      </c>
      <c r="D656" t="s">
        <v>259</v>
      </c>
      <c r="E656" s="2">
        <v>2</v>
      </c>
      <c r="F656" t="s">
        <v>36</v>
      </c>
      <c r="G656">
        <v>0</v>
      </c>
      <c r="H656">
        <v>0</v>
      </c>
      <c r="I656">
        <v>19.905000000000001</v>
      </c>
    </row>
    <row r="657" spans="1:9" x14ac:dyDescent="0.25">
      <c r="A657" s="1">
        <v>2000140190</v>
      </c>
      <c r="B657" s="1" t="s">
        <v>409</v>
      </c>
      <c r="C657" s="1" t="s">
        <v>137</v>
      </c>
      <c r="D657" s="1" t="s">
        <v>138</v>
      </c>
      <c r="E657" s="3">
        <v>48</v>
      </c>
      <c r="F657" s="1" t="s">
        <v>36</v>
      </c>
      <c r="G657" s="1">
        <v>0</v>
      </c>
      <c r="H657" s="1">
        <v>0</v>
      </c>
      <c r="I657" s="1">
        <v>19.906458000000001</v>
      </c>
    </row>
    <row r="658" spans="1:9" x14ac:dyDescent="0.25">
      <c r="A658">
        <v>2000140190</v>
      </c>
      <c r="B658" t="s">
        <v>409</v>
      </c>
      <c r="C658" t="s">
        <v>151</v>
      </c>
      <c r="D658" t="s">
        <v>152</v>
      </c>
      <c r="E658" s="2">
        <v>1</v>
      </c>
      <c r="F658" t="s">
        <v>36</v>
      </c>
      <c r="G658" s="2">
        <v>0</v>
      </c>
      <c r="H658">
        <v>312</v>
      </c>
      <c r="I658">
        <v>19.91</v>
      </c>
    </row>
    <row r="659" spans="1:9" x14ac:dyDescent="0.25">
      <c r="A659">
        <v>2000140190</v>
      </c>
      <c r="B659" t="s">
        <v>409</v>
      </c>
      <c r="C659" t="s">
        <v>139</v>
      </c>
      <c r="D659" t="s">
        <v>140</v>
      </c>
      <c r="E659" s="2">
        <v>3151</v>
      </c>
      <c r="F659" t="s">
        <v>36</v>
      </c>
      <c r="G659">
        <v>0</v>
      </c>
      <c r="H659">
        <v>0</v>
      </c>
      <c r="I659">
        <v>19.905573</v>
      </c>
    </row>
    <row r="660" spans="1:9" x14ac:dyDescent="0.25">
      <c r="A660">
        <v>2000140191</v>
      </c>
      <c r="B660" t="s">
        <v>410</v>
      </c>
      <c r="C660" t="s">
        <v>130</v>
      </c>
      <c r="D660" t="s">
        <v>131</v>
      </c>
      <c r="E660" s="2">
        <v>0</v>
      </c>
      <c r="F660" t="s">
        <v>36</v>
      </c>
      <c r="G660" s="2">
        <v>3801</v>
      </c>
      <c r="H660">
        <v>72</v>
      </c>
      <c r="I660">
        <v>6.04</v>
      </c>
    </row>
    <row r="661" spans="1:9" x14ac:dyDescent="0.25">
      <c r="A661">
        <v>2000140191</v>
      </c>
      <c r="B661" t="s">
        <v>410</v>
      </c>
      <c r="C661" t="s">
        <v>167</v>
      </c>
      <c r="D661" t="s">
        <v>168</v>
      </c>
      <c r="E661" s="2">
        <v>0</v>
      </c>
      <c r="F661" t="s">
        <v>36</v>
      </c>
      <c r="G661">
        <v>0</v>
      </c>
      <c r="H661">
        <v>36</v>
      </c>
      <c r="I661">
        <v>0</v>
      </c>
    </row>
    <row r="662" spans="1:9" x14ac:dyDescent="0.25">
      <c r="A662" s="1">
        <v>2000140191</v>
      </c>
      <c r="B662" s="1" t="s">
        <v>410</v>
      </c>
      <c r="C662" s="1" t="s">
        <v>137</v>
      </c>
      <c r="D662" s="1" t="s">
        <v>138</v>
      </c>
      <c r="E662" s="1">
        <v>6</v>
      </c>
      <c r="F662" s="1" t="s">
        <v>36</v>
      </c>
      <c r="G662" s="1">
        <v>0</v>
      </c>
      <c r="H662" s="1">
        <v>40</v>
      </c>
      <c r="I662" s="1">
        <v>6.0466670000000002</v>
      </c>
    </row>
    <row r="663" spans="1:9" x14ac:dyDescent="0.25">
      <c r="A663">
        <v>2000140191</v>
      </c>
      <c r="B663" t="s">
        <v>410</v>
      </c>
      <c r="C663" t="s">
        <v>151</v>
      </c>
      <c r="D663" t="s">
        <v>152</v>
      </c>
      <c r="E663" s="2">
        <v>0</v>
      </c>
      <c r="F663" t="s">
        <v>36</v>
      </c>
      <c r="G663">
        <v>0</v>
      </c>
      <c r="H663" s="2">
        <v>1803</v>
      </c>
      <c r="I663">
        <v>6.0462040000000004</v>
      </c>
    </row>
    <row r="664" spans="1:9" x14ac:dyDescent="0.25">
      <c r="A664">
        <v>2000140191</v>
      </c>
      <c r="B664" t="s">
        <v>410</v>
      </c>
      <c r="C664" t="s">
        <v>139</v>
      </c>
      <c r="D664" t="s">
        <v>140</v>
      </c>
      <c r="E664" s="2">
        <v>0</v>
      </c>
      <c r="F664" t="s">
        <v>36</v>
      </c>
      <c r="G664">
        <v>72</v>
      </c>
      <c r="H664">
        <v>0</v>
      </c>
      <c r="I664">
        <v>6.0460000000000003</v>
      </c>
    </row>
    <row r="665" spans="1:9" x14ac:dyDescent="0.25">
      <c r="A665" s="1">
        <v>2000140192</v>
      </c>
      <c r="B665" s="1" t="s">
        <v>411</v>
      </c>
      <c r="C665" s="1" t="s">
        <v>130</v>
      </c>
      <c r="D665" s="1" t="s">
        <v>131</v>
      </c>
      <c r="E665" s="3">
        <v>1943</v>
      </c>
      <c r="F665" s="1" t="s">
        <v>36</v>
      </c>
      <c r="G665" s="3">
        <v>1513</v>
      </c>
      <c r="H665" s="1">
        <v>0</v>
      </c>
      <c r="I665" s="1">
        <v>12.078435000000001</v>
      </c>
    </row>
    <row r="666" spans="1:9" x14ac:dyDescent="0.25">
      <c r="A666">
        <v>2000140192</v>
      </c>
      <c r="B666" t="s">
        <v>411</v>
      </c>
      <c r="C666" t="s">
        <v>137</v>
      </c>
      <c r="D666" t="s">
        <v>138</v>
      </c>
      <c r="E666" s="2">
        <v>15</v>
      </c>
      <c r="F666" t="s">
        <v>36</v>
      </c>
      <c r="G666">
        <v>0</v>
      </c>
      <c r="H666">
        <v>0</v>
      </c>
      <c r="I666">
        <v>12.079333</v>
      </c>
    </row>
    <row r="667" spans="1:9" x14ac:dyDescent="0.25">
      <c r="A667">
        <v>2000140192</v>
      </c>
      <c r="B667" t="s">
        <v>411</v>
      </c>
      <c r="C667" t="s">
        <v>151</v>
      </c>
      <c r="D667" t="s">
        <v>152</v>
      </c>
      <c r="E667" s="2">
        <v>0</v>
      </c>
      <c r="F667" t="s">
        <v>36</v>
      </c>
      <c r="G667">
        <v>0</v>
      </c>
      <c r="H667" s="2">
        <v>1512</v>
      </c>
      <c r="I667">
        <v>12.078472</v>
      </c>
    </row>
    <row r="668" spans="1:9" x14ac:dyDescent="0.25">
      <c r="A668">
        <v>2000140192</v>
      </c>
      <c r="B668" t="s">
        <v>411</v>
      </c>
      <c r="C668" t="s">
        <v>139</v>
      </c>
      <c r="D668" t="s">
        <v>140</v>
      </c>
      <c r="E668" s="2">
        <v>1051</v>
      </c>
      <c r="F668" t="s">
        <v>36</v>
      </c>
      <c r="G668" s="2">
        <v>0</v>
      </c>
      <c r="H668">
        <v>0</v>
      </c>
      <c r="I668">
        <v>12.078468000000001</v>
      </c>
    </row>
    <row r="669" spans="1:9" x14ac:dyDescent="0.25">
      <c r="A669" s="1">
        <v>2000140194</v>
      </c>
      <c r="B669" s="1" t="s">
        <v>412</v>
      </c>
      <c r="C669" s="1" t="s">
        <v>130</v>
      </c>
      <c r="D669" s="1" t="s">
        <v>131</v>
      </c>
      <c r="E669" s="3">
        <v>30639</v>
      </c>
      <c r="F669" s="1" t="s">
        <v>36</v>
      </c>
      <c r="G669" s="1">
        <v>372</v>
      </c>
      <c r="H669" s="1">
        <v>0</v>
      </c>
      <c r="I669" s="1">
        <v>0.385745</v>
      </c>
    </row>
    <row r="670" spans="1:9" x14ac:dyDescent="0.25">
      <c r="A670" s="1">
        <v>2000140194</v>
      </c>
      <c r="B670" s="1" t="s">
        <v>412</v>
      </c>
      <c r="C670" s="1" t="s">
        <v>137</v>
      </c>
      <c r="D670" s="1" t="s">
        <v>138</v>
      </c>
      <c r="E670" s="1">
        <v>36</v>
      </c>
      <c r="F670" s="1" t="s">
        <v>36</v>
      </c>
      <c r="G670" s="1">
        <v>0</v>
      </c>
      <c r="H670" s="1">
        <v>0</v>
      </c>
      <c r="I670" s="1">
        <v>0.38583299999999998</v>
      </c>
    </row>
    <row r="671" spans="1:9" x14ac:dyDescent="0.25">
      <c r="A671">
        <v>2000140194</v>
      </c>
      <c r="B671" t="s">
        <v>412</v>
      </c>
      <c r="C671" t="s">
        <v>139</v>
      </c>
      <c r="D671" t="s">
        <v>140</v>
      </c>
      <c r="E671" s="2">
        <v>42480</v>
      </c>
      <c r="F671" t="s">
        <v>36</v>
      </c>
      <c r="G671">
        <v>0</v>
      </c>
      <c r="H671">
        <v>0</v>
      </c>
      <c r="I671">
        <v>0.384108</v>
      </c>
    </row>
    <row r="672" spans="1:9" x14ac:dyDescent="0.25">
      <c r="A672">
        <v>2000150039</v>
      </c>
      <c r="B672" t="s">
        <v>413</v>
      </c>
      <c r="C672" t="s">
        <v>130</v>
      </c>
      <c r="D672" t="s">
        <v>131</v>
      </c>
      <c r="E672" s="2">
        <v>0</v>
      </c>
      <c r="F672" t="s">
        <v>36</v>
      </c>
      <c r="G672" s="2">
        <v>0</v>
      </c>
      <c r="H672" s="2">
        <v>2304</v>
      </c>
      <c r="I672">
        <v>0</v>
      </c>
    </row>
    <row r="673" spans="1:9" x14ac:dyDescent="0.25">
      <c r="A673">
        <v>2000150039</v>
      </c>
      <c r="B673" t="s">
        <v>413</v>
      </c>
      <c r="C673" t="s">
        <v>126</v>
      </c>
      <c r="D673" t="s">
        <v>127</v>
      </c>
      <c r="E673" s="2">
        <v>226</v>
      </c>
      <c r="F673" t="s">
        <v>36</v>
      </c>
      <c r="G673">
        <v>0</v>
      </c>
      <c r="H673">
        <v>0</v>
      </c>
      <c r="I673">
        <v>0.67960200000000004</v>
      </c>
    </row>
    <row r="674" spans="1:9" x14ac:dyDescent="0.25">
      <c r="A674">
        <v>2000150039</v>
      </c>
      <c r="B674" t="s">
        <v>413</v>
      </c>
      <c r="C674" t="s">
        <v>139</v>
      </c>
      <c r="D674" t="s">
        <v>140</v>
      </c>
      <c r="E674" s="2">
        <v>2304</v>
      </c>
      <c r="F674" t="s">
        <v>36</v>
      </c>
      <c r="G674" s="2">
        <v>2304</v>
      </c>
      <c r="H674">
        <v>0</v>
      </c>
      <c r="I674">
        <v>0.67960900000000002</v>
      </c>
    </row>
    <row r="675" spans="1:9" x14ac:dyDescent="0.25">
      <c r="A675">
        <v>2000150040</v>
      </c>
      <c r="B675" t="s">
        <v>414</v>
      </c>
      <c r="C675" t="s">
        <v>199</v>
      </c>
      <c r="D675" t="s">
        <v>200</v>
      </c>
      <c r="E675" s="2">
        <v>576</v>
      </c>
      <c r="F675" t="s">
        <v>36</v>
      </c>
      <c r="G675">
        <v>0</v>
      </c>
      <c r="H675">
        <v>0</v>
      </c>
      <c r="I675">
        <v>0.197882</v>
      </c>
    </row>
    <row r="676" spans="1:9" x14ac:dyDescent="0.25">
      <c r="A676" s="1">
        <v>2000150040</v>
      </c>
      <c r="B676" s="1" t="s">
        <v>414</v>
      </c>
      <c r="C676" s="1" t="s">
        <v>130</v>
      </c>
      <c r="D676" s="1" t="s">
        <v>131</v>
      </c>
      <c r="E676" s="1">
        <v>0</v>
      </c>
      <c r="F676" s="1" t="s">
        <v>36</v>
      </c>
      <c r="G676" s="1">
        <v>0</v>
      </c>
      <c r="H676" s="3">
        <v>83520</v>
      </c>
      <c r="I676" s="1">
        <v>0.19791700000000001</v>
      </c>
    </row>
    <row r="677" spans="1:9" x14ac:dyDescent="0.25">
      <c r="A677">
        <v>2000150040</v>
      </c>
      <c r="B677" t="s">
        <v>414</v>
      </c>
      <c r="C677" t="s">
        <v>126</v>
      </c>
      <c r="D677" t="s">
        <v>127</v>
      </c>
      <c r="E677" s="2">
        <v>32</v>
      </c>
      <c r="F677" t="s">
        <v>36</v>
      </c>
      <c r="G677">
        <v>0</v>
      </c>
      <c r="H677">
        <v>0</v>
      </c>
      <c r="I677">
        <v>0.22156300000000001</v>
      </c>
    </row>
    <row r="678" spans="1:9" x14ac:dyDescent="0.25">
      <c r="A678" s="1">
        <v>2000150040</v>
      </c>
      <c r="B678" s="1" t="s">
        <v>414</v>
      </c>
      <c r="C678" s="1" t="s">
        <v>137</v>
      </c>
      <c r="D678" s="1" t="s">
        <v>138</v>
      </c>
      <c r="E678" s="1">
        <v>1</v>
      </c>
      <c r="F678" s="1" t="s">
        <v>36</v>
      </c>
      <c r="G678" s="1">
        <v>0</v>
      </c>
      <c r="H678" s="1">
        <v>0</v>
      </c>
      <c r="I678" s="1">
        <v>0.2</v>
      </c>
    </row>
    <row r="679" spans="1:9" x14ac:dyDescent="0.25">
      <c r="A679" s="1">
        <v>2000150040</v>
      </c>
      <c r="B679" s="1" t="s">
        <v>414</v>
      </c>
      <c r="C679" s="1" t="s">
        <v>151</v>
      </c>
      <c r="D679" s="1" t="s">
        <v>152</v>
      </c>
      <c r="E679" s="3">
        <v>3500</v>
      </c>
      <c r="F679" s="1" t="s">
        <v>36</v>
      </c>
      <c r="G679" s="1">
        <v>0</v>
      </c>
      <c r="H679" s="1">
        <v>0</v>
      </c>
      <c r="I679" s="1">
        <v>0.1981</v>
      </c>
    </row>
    <row r="680" spans="1:9" x14ac:dyDescent="0.25">
      <c r="A680">
        <v>2000150040</v>
      </c>
      <c r="B680" t="s">
        <v>414</v>
      </c>
      <c r="C680" t="s">
        <v>139</v>
      </c>
      <c r="D680" t="s">
        <v>140</v>
      </c>
      <c r="E680" s="2">
        <v>51071</v>
      </c>
      <c r="F680" t="s">
        <v>36</v>
      </c>
      <c r="G680" s="2">
        <v>83520</v>
      </c>
      <c r="H680">
        <v>0</v>
      </c>
      <c r="I680">
        <v>0.19789100000000001</v>
      </c>
    </row>
    <row r="681" spans="1:9" x14ac:dyDescent="0.25">
      <c r="A681">
        <v>2000150041</v>
      </c>
      <c r="B681" t="s">
        <v>415</v>
      </c>
      <c r="C681" t="s">
        <v>199</v>
      </c>
      <c r="D681" t="s">
        <v>200</v>
      </c>
      <c r="E681" s="2">
        <v>2000</v>
      </c>
      <c r="F681" t="s">
        <v>36</v>
      </c>
      <c r="G681">
        <v>0</v>
      </c>
      <c r="H681" s="2">
        <v>2000</v>
      </c>
      <c r="I681">
        <v>0.34242</v>
      </c>
    </row>
    <row r="682" spans="1:9" x14ac:dyDescent="0.25">
      <c r="A682">
        <v>2000150041</v>
      </c>
      <c r="B682" t="s">
        <v>415</v>
      </c>
      <c r="C682" t="s">
        <v>130</v>
      </c>
      <c r="D682" t="s">
        <v>131</v>
      </c>
      <c r="E682" s="2">
        <v>18</v>
      </c>
      <c r="F682" t="s">
        <v>36</v>
      </c>
      <c r="G682" s="2">
        <v>2315</v>
      </c>
      <c r="H682" s="2">
        <v>671030</v>
      </c>
      <c r="I682">
        <v>0.34222200000000003</v>
      </c>
    </row>
    <row r="683" spans="1:9" x14ac:dyDescent="0.25">
      <c r="A683" s="1">
        <v>2000150041</v>
      </c>
      <c r="B683" s="1" t="s">
        <v>415</v>
      </c>
      <c r="C683" s="1" t="s">
        <v>126</v>
      </c>
      <c r="D683" s="1" t="s">
        <v>127</v>
      </c>
      <c r="E683" s="1">
        <v>16</v>
      </c>
      <c r="F683" s="1" t="s">
        <v>36</v>
      </c>
      <c r="G683" s="1">
        <v>0</v>
      </c>
      <c r="H683" s="1">
        <v>0</v>
      </c>
      <c r="I683" s="1">
        <v>0.36562499999999998</v>
      </c>
    </row>
    <row r="684" spans="1:9" x14ac:dyDescent="0.25">
      <c r="A684" s="1">
        <v>2000150041</v>
      </c>
      <c r="B684" s="1" t="s">
        <v>415</v>
      </c>
      <c r="C684" s="1" t="s">
        <v>137</v>
      </c>
      <c r="D684" s="1" t="s">
        <v>138</v>
      </c>
      <c r="E684" s="1">
        <v>246</v>
      </c>
      <c r="F684" s="1" t="s">
        <v>36</v>
      </c>
      <c r="G684" s="1">
        <v>0</v>
      </c>
      <c r="H684" s="1">
        <v>1</v>
      </c>
      <c r="I684" s="1">
        <v>0.35877999999999999</v>
      </c>
    </row>
    <row r="685" spans="1:9" x14ac:dyDescent="0.25">
      <c r="A685">
        <v>2000150041</v>
      </c>
      <c r="B685" t="s">
        <v>415</v>
      </c>
      <c r="C685" t="s">
        <v>139</v>
      </c>
      <c r="D685" t="s">
        <v>140</v>
      </c>
      <c r="E685" s="2">
        <v>54974</v>
      </c>
      <c r="F685" t="s">
        <v>36</v>
      </c>
      <c r="G685" s="2">
        <v>671030</v>
      </c>
      <c r="H685">
        <v>0</v>
      </c>
      <c r="I685">
        <v>0.34241700000000003</v>
      </c>
    </row>
    <row r="686" spans="1:9" x14ac:dyDescent="0.25">
      <c r="A686">
        <v>2000150041</v>
      </c>
      <c r="B686" t="s">
        <v>415</v>
      </c>
      <c r="C686" t="s">
        <v>144</v>
      </c>
      <c r="D686" t="s">
        <v>145</v>
      </c>
      <c r="E686" s="2">
        <v>1000</v>
      </c>
      <c r="F686" t="s">
        <v>36</v>
      </c>
      <c r="G686">
        <v>0</v>
      </c>
      <c r="H686">
        <v>0</v>
      </c>
      <c r="I686">
        <v>0.34242</v>
      </c>
    </row>
    <row r="687" spans="1:9" x14ac:dyDescent="0.25">
      <c r="A687">
        <v>2000150042</v>
      </c>
      <c r="B687" t="s">
        <v>416</v>
      </c>
      <c r="C687" t="s">
        <v>130</v>
      </c>
      <c r="D687" t="s">
        <v>131</v>
      </c>
      <c r="E687" s="2">
        <v>35</v>
      </c>
      <c r="F687" t="s">
        <v>147</v>
      </c>
      <c r="G687">
        <v>18</v>
      </c>
      <c r="H687" s="2">
        <v>10096</v>
      </c>
      <c r="I687">
        <v>0.51828600000000002</v>
      </c>
    </row>
    <row r="688" spans="1:9" x14ac:dyDescent="0.25">
      <c r="A688">
        <v>2000150042</v>
      </c>
      <c r="B688" t="s">
        <v>416</v>
      </c>
      <c r="C688" t="s">
        <v>167</v>
      </c>
      <c r="D688" t="s">
        <v>168</v>
      </c>
      <c r="E688" s="2">
        <v>0</v>
      </c>
      <c r="F688" t="s">
        <v>147</v>
      </c>
      <c r="G688" s="2">
        <v>0</v>
      </c>
      <c r="H688">
        <v>2</v>
      </c>
      <c r="I688">
        <v>0</v>
      </c>
    </row>
    <row r="689" spans="1:9" x14ac:dyDescent="0.25">
      <c r="A689">
        <v>2000150042</v>
      </c>
      <c r="B689" t="s">
        <v>416</v>
      </c>
      <c r="C689" t="s">
        <v>137</v>
      </c>
      <c r="D689" t="s">
        <v>138</v>
      </c>
      <c r="E689" s="2">
        <v>1</v>
      </c>
      <c r="F689" t="s">
        <v>147</v>
      </c>
      <c r="G689">
        <v>0</v>
      </c>
      <c r="H689">
        <v>4</v>
      </c>
      <c r="I689">
        <v>0.52</v>
      </c>
    </row>
    <row r="690" spans="1:9" x14ac:dyDescent="0.25">
      <c r="A690">
        <v>2000150042</v>
      </c>
      <c r="B690" t="s">
        <v>416</v>
      </c>
      <c r="C690" t="s">
        <v>151</v>
      </c>
      <c r="D690" t="s">
        <v>152</v>
      </c>
      <c r="E690" s="2">
        <v>0</v>
      </c>
      <c r="F690" t="s">
        <v>147</v>
      </c>
      <c r="G690">
        <v>16</v>
      </c>
      <c r="H690">
        <v>0</v>
      </c>
      <c r="I690">
        <v>0.51834499999999994</v>
      </c>
    </row>
    <row r="691" spans="1:9" x14ac:dyDescent="0.25">
      <c r="A691">
        <v>2000150042</v>
      </c>
      <c r="B691" t="s">
        <v>416</v>
      </c>
      <c r="C691" t="s">
        <v>139</v>
      </c>
      <c r="D691" t="s">
        <v>140</v>
      </c>
      <c r="E691" s="2">
        <v>492</v>
      </c>
      <c r="F691" t="s">
        <v>147</v>
      </c>
      <c r="G691" s="2">
        <v>10080</v>
      </c>
      <c r="H691" s="2">
        <v>0</v>
      </c>
      <c r="I691">
        <v>0.51835399999999998</v>
      </c>
    </row>
    <row r="692" spans="1:9" x14ac:dyDescent="0.25">
      <c r="A692">
        <v>2000160008</v>
      </c>
      <c r="B692" t="s">
        <v>417</v>
      </c>
      <c r="C692" t="s">
        <v>126</v>
      </c>
      <c r="D692" t="s">
        <v>127</v>
      </c>
      <c r="E692" s="2">
        <v>1</v>
      </c>
      <c r="F692" t="s">
        <v>36</v>
      </c>
      <c r="G692">
        <v>0</v>
      </c>
      <c r="H692">
        <v>0</v>
      </c>
      <c r="I692">
        <v>0.08</v>
      </c>
    </row>
    <row r="693" spans="1:9" x14ac:dyDescent="0.25">
      <c r="A693" s="1">
        <v>2000160032</v>
      </c>
      <c r="B693" s="1" t="s">
        <v>418</v>
      </c>
      <c r="C693" s="1" t="s">
        <v>130</v>
      </c>
      <c r="D693" s="1" t="s">
        <v>131</v>
      </c>
      <c r="E693" s="1">
        <v>0</v>
      </c>
      <c r="F693" s="1" t="s">
        <v>36</v>
      </c>
      <c r="G693" s="1">
        <v>0</v>
      </c>
      <c r="H693" s="3">
        <v>5002</v>
      </c>
      <c r="I693" s="1">
        <v>0</v>
      </c>
    </row>
    <row r="694" spans="1:9" x14ac:dyDescent="0.25">
      <c r="A694" s="1">
        <v>2000160032</v>
      </c>
      <c r="B694" s="1" t="s">
        <v>418</v>
      </c>
      <c r="C694" s="1" t="s">
        <v>139</v>
      </c>
      <c r="D694" s="1" t="s">
        <v>140</v>
      </c>
      <c r="E694" s="3">
        <v>5002</v>
      </c>
      <c r="F694" s="1" t="s">
        <v>36</v>
      </c>
      <c r="G694" s="3">
        <v>5002</v>
      </c>
      <c r="H694" s="1">
        <v>0</v>
      </c>
      <c r="I694" s="1">
        <v>0.30485800000000002</v>
      </c>
    </row>
    <row r="695" spans="1:9" x14ac:dyDescent="0.25">
      <c r="A695">
        <v>2000160033</v>
      </c>
      <c r="B695" t="s">
        <v>419</v>
      </c>
      <c r="C695" t="s">
        <v>126</v>
      </c>
      <c r="D695" t="s">
        <v>127</v>
      </c>
      <c r="E695" s="2">
        <v>884</v>
      </c>
      <c r="F695" t="s">
        <v>36</v>
      </c>
      <c r="G695">
        <v>0</v>
      </c>
      <c r="H695">
        <v>0</v>
      </c>
      <c r="I695">
        <v>0.201765</v>
      </c>
    </row>
    <row r="696" spans="1:9" x14ac:dyDescent="0.25">
      <c r="A696" s="1">
        <v>2000160037</v>
      </c>
      <c r="B696" s="1" t="s">
        <v>420</v>
      </c>
      <c r="C696" s="1" t="s">
        <v>126</v>
      </c>
      <c r="D696" s="1" t="s">
        <v>127</v>
      </c>
      <c r="E696" s="1">
        <v>280</v>
      </c>
      <c r="F696" s="1" t="s">
        <v>36</v>
      </c>
      <c r="G696" s="3">
        <v>0</v>
      </c>
      <c r="H696" s="1">
        <v>0</v>
      </c>
      <c r="I696" s="1">
        <v>0.51524999999999999</v>
      </c>
    </row>
    <row r="697" spans="1:9" x14ac:dyDescent="0.25">
      <c r="A697">
        <v>2000160038</v>
      </c>
      <c r="B697" t="s">
        <v>421</v>
      </c>
      <c r="C697" t="s">
        <v>130</v>
      </c>
      <c r="D697" t="s">
        <v>131</v>
      </c>
      <c r="E697" s="2">
        <v>51</v>
      </c>
      <c r="F697" t="s">
        <v>36</v>
      </c>
      <c r="G697" s="2">
        <v>19001</v>
      </c>
      <c r="H697">
        <v>0</v>
      </c>
      <c r="I697">
        <v>0.16078400000000001</v>
      </c>
    </row>
    <row r="698" spans="1:9" x14ac:dyDescent="0.25">
      <c r="A698">
        <v>2000160038</v>
      </c>
      <c r="B698" t="s">
        <v>421</v>
      </c>
      <c r="C698" t="s">
        <v>151</v>
      </c>
      <c r="D698" t="s">
        <v>152</v>
      </c>
      <c r="E698" s="2">
        <v>0</v>
      </c>
      <c r="F698" t="s">
        <v>36</v>
      </c>
      <c r="G698">
        <v>0</v>
      </c>
      <c r="H698" s="2">
        <v>19000</v>
      </c>
      <c r="I698">
        <v>0.16051299999999999</v>
      </c>
    </row>
    <row r="699" spans="1:9" x14ac:dyDescent="0.25">
      <c r="A699" s="1">
        <v>2000160038</v>
      </c>
      <c r="B699" s="1" t="s">
        <v>421</v>
      </c>
      <c r="C699" s="1" t="s">
        <v>139</v>
      </c>
      <c r="D699" s="1" t="s">
        <v>140</v>
      </c>
      <c r="E699" s="3">
        <v>59276</v>
      </c>
      <c r="F699" s="1" t="s">
        <v>36</v>
      </c>
      <c r="G699" s="1">
        <v>0</v>
      </c>
      <c r="H699" s="1">
        <v>0</v>
      </c>
      <c r="I699" s="1">
        <v>0.16051299999999999</v>
      </c>
    </row>
    <row r="700" spans="1:9" x14ac:dyDescent="0.25">
      <c r="A700">
        <v>2000160039</v>
      </c>
      <c r="B700" t="s">
        <v>422</v>
      </c>
      <c r="C700" t="s">
        <v>130</v>
      </c>
      <c r="D700" t="s">
        <v>131</v>
      </c>
      <c r="E700" s="2">
        <v>1</v>
      </c>
      <c r="F700" t="s">
        <v>36</v>
      </c>
      <c r="G700" s="2">
        <v>20500</v>
      </c>
      <c r="H700">
        <v>0</v>
      </c>
      <c r="I700">
        <v>0.26</v>
      </c>
    </row>
    <row r="701" spans="1:9" x14ac:dyDescent="0.25">
      <c r="A701">
        <v>2000160039</v>
      </c>
      <c r="B701" t="s">
        <v>422</v>
      </c>
      <c r="C701" t="s">
        <v>142</v>
      </c>
      <c r="D701" t="s">
        <v>143</v>
      </c>
      <c r="E701" s="2">
        <v>1859</v>
      </c>
      <c r="F701" t="s">
        <v>36</v>
      </c>
      <c r="G701">
        <v>0</v>
      </c>
      <c r="H701">
        <v>0</v>
      </c>
      <c r="I701">
        <v>0.26289400000000002</v>
      </c>
    </row>
    <row r="702" spans="1:9" x14ac:dyDescent="0.25">
      <c r="A702">
        <v>2000160039</v>
      </c>
      <c r="B702" t="s">
        <v>422</v>
      </c>
      <c r="C702" t="s">
        <v>151</v>
      </c>
      <c r="D702" t="s">
        <v>152</v>
      </c>
      <c r="E702" s="2">
        <v>0</v>
      </c>
      <c r="F702" t="s">
        <v>36</v>
      </c>
      <c r="G702">
        <v>0</v>
      </c>
      <c r="H702" s="2">
        <v>20000</v>
      </c>
      <c r="I702">
        <v>0.26289800000000002</v>
      </c>
    </row>
    <row r="703" spans="1:9" x14ac:dyDescent="0.25">
      <c r="A703">
        <v>2000160039</v>
      </c>
      <c r="B703" t="s">
        <v>422</v>
      </c>
      <c r="C703" t="s">
        <v>139</v>
      </c>
      <c r="D703" t="s">
        <v>140</v>
      </c>
      <c r="E703" s="2">
        <v>99460</v>
      </c>
      <c r="F703" t="s">
        <v>36</v>
      </c>
      <c r="G703">
        <v>0</v>
      </c>
      <c r="H703">
        <v>0</v>
      </c>
      <c r="I703">
        <v>0.26289400000000002</v>
      </c>
    </row>
    <row r="704" spans="1:9" x14ac:dyDescent="0.25">
      <c r="A704">
        <v>2000160040</v>
      </c>
      <c r="B704" t="s">
        <v>423</v>
      </c>
      <c r="C704" t="s">
        <v>130</v>
      </c>
      <c r="D704" t="s">
        <v>131</v>
      </c>
      <c r="E704" s="2">
        <v>4004</v>
      </c>
      <c r="F704" t="s">
        <v>230</v>
      </c>
      <c r="G704" s="2">
        <v>7005</v>
      </c>
      <c r="H704" s="2">
        <v>13600</v>
      </c>
      <c r="I704">
        <v>0.79</v>
      </c>
    </row>
    <row r="705" spans="1:9" x14ac:dyDescent="0.25">
      <c r="A705">
        <v>2000160040</v>
      </c>
      <c r="B705" t="s">
        <v>423</v>
      </c>
      <c r="C705" t="s">
        <v>126</v>
      </c>
      <c r="D705" t="s">
        <v>127</v>
      </c>
      <c r="E705" s="2">
        <v>574</v>
      </c>
      <c r="F705" t="s">
        <v>230</v>
      </c>
      <c r="G705">
        <v>0</v>
      </c>
      <c r="H705">
        <v>0</v>
      </c>
      <c r="I705">
        <v>0.82442499999999996</v>
      </c>
    </row>
    <row r="706" spans="1:9" x14ac:dyDescent="0.25">
      <c r="A706" s="1">
        <v>2000160040</v>
      </c>
      <c r="B706" s="1" t="s">
        <v>423</v>
      </c>
      <c r="C706" s="1" t="s">
        <v>137</v>
      </c>
      <c r="D706" s="1" t="s">
        <v>138</v>
      </c>
      <c r="E706" s="1">
        <v>0</v>
      </c>
      <c r="F706" s="1" t="s">
        <v>230</v>
      </c>
      <c r="G706" s="1">
        <v>0</v>
      </c>
      <c r="H706" s="1">
        <v>5</v>
      </c>
      <c r="I706" s="1">
        <v>0.80119399999999996</v>
      </c>
    </row>
    <row r="707" spans="1:9" x14ac:dyDescent="0.25">
      <c r="A707" s="1">
        <v>2000160040</v>
      </c>
      <c r="B707" s="1" t="s">
        <v>423</v>
      </c>
      <c r="C707" s="1" t="s">
        <v>139</v>
      </c>
      <c r="D707" s="1" t="s">
        <v>140</v>
      </c>
      <c r="E707" s="3">
        <v>3784</v>
      </c>
      <c r="F707" s="1" t="s">
        <v>230</v>
      </c>
      <c r="G707" s="3">
        <v>17600</v>
      </c>
      <c r="H707" s="3">
        <v>4000</v>
      </c>
      <c r="I707" s="1">
        <v>0.78924899999999998</v>
      </c>
    </row>
    <row r="708" spans="1:9" x14ac:dyDescent="0.25">
      <c r="A708">
        <v>2000160041</v>
      </c>
      <c r="B708" t="s">
        <v>424</v>
      </c>
      <c r="C708" t="s">
        <v>130</v>
      </c>
      <c r="D708" t="s">
        <v>131</v>
      </c>
      <c r="E708" s="2">
        <v>32</v>
      </c>
      <c r="F708" t="s">
        <v>230</v>
      </c>
      <c r="G708">
        <v>0</v>
      </c>
      <c r="H708" s="2">
        <v>49750</v>
      </c>
      <c r="I708">
        <v>1.3846879999999999</v>
      </c>
    </row>
    <row r="709" spans="1:9" x14ac:dyDescent="0.25">
      <c r="A709">
        <v>2000160041</v>
      </c>
      <c r="B709" t="s">
        <v>424</v>
      </c>
      <c r="C709" t="s">
        <v>126</v>
      </c>
      <c r="D709" t="s">
        <v>127</v>
      </c>
      <c r="E709" s="2">
        <v>14559</v>
      </c>
      <c r="F709" t="s">
        <v>230</v>
      </c>
      <c r="G709">
        <v>0</v>
      </c>
      <c r="H709">
        <v>0</v>
      </c>
      <c r="I709">
        <v>1.4587190000000001</v>
      </c>
    </row>
    <row r="710" spans="1:9" x14ac:dyDescent="0.25">
      <c r="A710" s="1">
        <v>2000160041</v>
      </c>
      <c r="B710" s="1" t="s">
        <v>424</v>
      </c>
      <c r="C710" s="1" t="s">
        <v>137</v>
      </c>
      <c r="D710" s="1" t="s">
        <v>138</v>
      </c>
      <c r="E710" s="1">
        <v>3</v>
      </c>
      <c r="F710" s="1" t="s">
        <v>230</v>
      </c>
      <c r="G710" s="1">
        <v>0</v>
      </c>
      <c r="H710" s="1">
        <v>0</v>
      </c>
      <c r="I710" s="1">
        <v>1.38</v>
      </c>
    </row>
    <row r="711" spans="1:9" x14ac:dyDescent="0.25">
      <c r="A711">
        <v>2000160041</v>
      </c>
      <c r="B711" t="s">
        <v>424</v>
      </c>
      <c r="C711" t="s">
        <v>139</v>
      </c>
      <c r="D711" t="s">
        <v>140</v>
      </c>
      <c r="E711" s="2">
        <v>48177</v>
      </c>
      <c r="F711" t="s">
        <v>230</v>
      </c>
      <c r="G711" s="2">
        <v>49750</v>
      </c>
      <c r="H711">
        <v>0</v>
      </c>
      <c r="I711">
        <v>1.409646</v>
      </c>
    </row>
    <row r="712" spans="1:9" x14ac:dyDescent="0.25">
      <c r="A712" s="1">
        <v>2000160042</v>
      </c>
      <c r="B712" s="1" t="s">
        <v>425</v>
      </c>
      <c r="C712" s="1" t="s">
        <v>130</v>
      </c>
      <c r="D712" s="1" t="s">
        <v>131</v>
      </c>
      <c r="E712" s="1">
        <v>7</v>
      </c>
      <c r="F712" s="1" t="s">
        <v>230</v>
      </c>
      <c r="G712" s="1">
        <v>206</v>
      </c>
      <c r="H712" s="1">
        <v>0</v>
      </c>
      <c r="I712" s="1">
        <v>1.464286</v>
      </c>
    </row>
    <row r="713" spans="1:9" x14ac:dyDescent="0.25">
      <c r="A713">
        <v>2000160042</v>
      </c>
      <c r="B713" t="s">
        <v>425</v>
      </c>
      <c r="C713" t="s">
        <v>137</v>
      </c>
      <c r="D713" t="s">
        <v>138</v>
      </c>
      <c r="E713" s="2">
        <v>0</v>
      </c>
      <c r="F713" t="s">
        <v>230</v>
      </c>
      <c r="G713" s="2">
        <v>0</v>
      </c>
      <c r="H713">
        <v>6</v>
      </c>
      <c r="I713">
        <v>1.4802329999999999</v>
      </c>
    </row>
    <row r="714" spans="1:9" x14ac:dyDescent="0.25">
      <c r="A714" s="1">
        <v>2000160042</v>
      </c>
      <c r="B714" s="1" t="s">
        <v>425</v>
      </c>
      <c r="C714" s="1" t="s">
        <v>151</v>
      </c>
      <c r="D714" s="1" t="s">
        <v>152</v>
      </c>
      <c r="E714" s="1">
        <v>0</v>
      </c>
      <c r="F714" s="1" t="s">
        <v>230</v>
      </c>
      <c r="G714" s="1">
        <v>0</v>
      </c>
      <c r="H714" s="1">
        <v>200</v>
      </c>
      <c r="I714" s="1">
        <v>1.41045</v>
      </c>
    </row>
    <row r="715" spans="1:9" x14ac:dyDescent="0.25">
      <c r="A715" s="1">
        <v>2000160042</v>
      </c>
      <c r="B715" s="1" t="s">
        <v>425</v>
      </c>
      <c r="C715" s="1" t="s">
        <v>139</v>
      </c>
      <c r="D715" s="1" t="s">
        <v>140</v>
      </c>
      <c r="E715" s="3">
        <v>2739</v>
      </c>
      <c r="F715" s="1" t="s">
        <v>230</v>
      </c>
      <c r="G715" s="1">
        <v>0</v>
      </c>
      <c r="H715" s="1">
        <v>0</v>
      </c>
      <c r="I715" s="1">
        <v>1.4104490000000001</v>
      </c>
    </row>
    <row r="716" spans="1:9" x14ac:dyDescent="0.25">
      <c r="A716" s="1">
        <v>2000160044</v>
      </c>
      <c r="B716" s="1" t="s">
        <v>426</v>
      </c>
      <c r="C716" s="1" t="s">
        <v>126</v>
      </c>
      <c r="D716" s="1" t="s">
        <v>127</v>
      </c>
      <c r="E716" s="1">
        <v>33</v>
      </c>
      <c r="F716" s="1" t="s">
        <v>36</v>
      </c>
      <c r="G716" s="1">
        <v>0</v>
      </c>
      <c r="H716" s="1">
        <v>0</v>
      </c>
      <c r="I716" s="1">
        <v>0.76424199999999998</v>
      </c>
    </row>
    <row r="717" spans="1:9" x14ac:dyDescent="0.25">
      <c r="A717" s="1">
        <v>2000160045</v>
      </c>
      <c r="B717" s="1" t="s">
        <v>427</v>
      </c>
      <c r="C717" s="1" t="s">
        <v>126</v>
      </c>
      <c r="D717" s="1" t="s">
        <v>127</v>
      </c>
      <c r="E717" s="1">
        <v>793</v>
      </c>
      <c r="F717" s="1" t="s">
        <v>36</v>
      </c>
      <c r="G717" s="1">
        <v>0</v>
      </c>
      <c r="H717" s="1">
        <v>0</v>
      </c>
      <c r="I717" s="1">
        <v>0.75586399999999998</v>
      </c>
    </row>
    <row r="718" spans="1:9" x14ac:dyDescent="0.25">
      <c r="A718" s="1">
        <v>2000160046</v>
      </c>
      <c r="B718" s="1" t="s">
        <v>428</v>
      </c>
      <c r="C718" s="1" t="s">
        <v>130</v>
      </c>
      <c r="D718" s="1" t="s">
        <v>131</v>
      </c>
      <c r="E718" s="1">
        <v>10</v>
      </c>
      <c r="F718" s="1" t="s">
        <v>36</v>
      </c>
      <c r="G718" s="1">
        <v>0</v>
      </c>
      <c r="H718" s="1">
        <v>0</v>
      </c>
      <c r="I718" s="1">
        <v>1.0680000000000001</v>
      </c>
    </row>
    <row r="719" spans="1:9" x14ac:dyDescent="0.25">
      <c r="A719" s="1">
        <v>2000160047</v>
      </c>
      <c r="B719" s="1" t="s">
        <v>429</v>
      </c>
      <c r="C719" s="1" t="s">
        <v>130</v>
      </c>
      <c r="D719" s="1" t="s">
        <v>131</v>
      </c>
      <c r="E719" s="1">
        <v>127</v>
      </c>
      <c r="F719" s="1" t="s">
        <v>230</v>
      </c>
      <c r="G719" s="1">
        <v>0</v>
      </c>
      <c r="H719" s="1">
        <v>0</v>
      </c>
      <c r="I719" s="1">
        <v>0.73</v>
      </c>
    </row>
    <row r="720" spans="1:9" x14ac:dyDescent="0.25">
      <c r="A720" s="1">
        <v>2000160047</v>
      </c>
      <c r="B720" s="1" t="s">
        <v>429</v>
      </c>
      <c r="C720" s="1" t="s">
        <v>139</v>
      </c>
      <c r="D720" s="1" t="s">
        <v>140</v>
      </c>
      <c r="E720" s="3">
        <v>28568</v>
      </c>
      <c r="F720" s="1" t="s">
        <v>230</v>
      </c>
      <c r="G720" s="1">
        <v>0</v>
      </c>
      <c r="H720" s="1">
        <v>0</v>
      </c>
      <c r="I720" s="1">
        <v>0.62507999999999997</v>
      </c>
    </row>
    <row r="721" spans="1:9" x14ac:dyDescent="0.25">
      <c r="A721">
        <v>2000160048</v>
      </c>
      <c r="B721" t="s">
        <v>430</v>
      </c>
      <c r="C721" t="s">
        <v>130</v>
      </c>
      <c r="D721" t="s">
        <v>131</v>
      </c>
      <c r="E721" s="2">
        <v>31</v>
      </c>
      <c r="F721" t="s">
        <v>230</v>
      </c>
      <c r="G721">
        <v>24</v>
      </c>
      <c r="H721" s="2">
        <v>16372</v>
      </c>
      <c r="I721">
        <v>1.082581</v>
      </c>
    </row>
    <row r="722" spans="1:9" x14ac:dyDescent="0.25">
      <c r="A722">
        <v>2000160048</v>
      </c>
      <c r="B722" t="s">
        <v>430</v>
      </c>
      <c r="C722" t="s">
        <v>139</v>
      </c>
      <c r="D722" t="s">
        <v>140</v>
      </c>
      <c r="E722" s="2">
        <v>29008</v>
      </c>
      <c r="F722" t="s">
        <v>230</v>
      </c>
      <c r="G722" s="2">
        <v>16372</v>
      </c>
      <c r="H722">
        <v>0</v>
      </c>
      <c r="I722">
        <v>0.93271199999999999</v>
      </c>
    </row>
    <row r="723" spans="1:9" x14ac:dyDescent="0.25">
      <c r="A723">
        <v>2000160049</v>
      </c>
      <c r="B723" t="s">
        <v>431</v>
      </c>
      <c r="C723" t="s">
        <v>130</v>
      </c>
      <c r="D723" t="s">
        <v>131</v>
      </c>
      <c r="E723" s="2">
        <v>0.25</v>
      </c>
      <c r="F723" t="s">
        <v>36</v>
      </c>
      <c r="G723" s="2">
        <v>1000</v>
      </c>
      <c r="H723">
        <v>0</v>
      </c>
      <c r="I723">
        <v>0.2</v>
      </c>
    </row>
    <row r="724" spans="1:9" x14ac:dyDescent="0.25">
      <c r="A724">
        <v>2000160049</v>
      </c>
      <c r="B724" t="s">
        <v>431</v>
      </c>
      <c r="C724" t="s">
        <v>137</v>
      </c>
      <c r="D724" t="s">
        <v>138</v>
      </c>
      <c r="E724" s="2">
        <v>3</v>
      </c>
      <c r="F724" t="s">
        <v>36</v>
      </c>
      <c r="G724" s="2">
        <v>0</v>
      </c>
      <c r="H724" s="2">
        <v>0</v>
      </c>
      <c r="I724">
        <v>0.18</v>
      </c>
    </row>
    <row r="725" spans="1:9" x14ac:dyDescent="0.25">
      <c r="A725">
        <v>2000160049</v>
      </c>
      <c r="B725" t="s">
        <v>431</v>
      </c>
      <c r="C725" t="s">
        <v>151</v>
      </c>
      <c r="D725" t="s">
        <v>152</v>
      </c>
      <c r="E725" s="2">
        <v>288</v>
      </c>
      <c r="F725" t="s">
        <v>36</v>
      </c>
      <c r="G725">
        <v>0</v>
      </c>
      <c r="H725" s="2">
        <v>1000</v>
      </c>
      <c r="I725">
        <v>0.18215300000000001</v>
      </c>
    </row>
    <row r="726" spans="1:9" x14ac:dyDescent="0.25">
      <c r="A726">
        <v>2000160049</v>
      </c>
      <c r="B726" t="s">
        <v>431</v>
      </c>
      <c r="C726" t="s">
        <v>139</v>
      </c>
      <c r="D726" t="s">
        <v>140</v>
      </c>
      <c r="E726" s="2">
        <v>11563</v>
      </c>
      <c r="F726" t="s">
        <v>36</v>
      </c>
      <c r="G726" s="2">
        <v>0</v>
      </c>
      <c r="H726">
        <v>0</v>
      </c>
      <c r="I726">
        <v>0.182142</v>
      </c>
    </row>
    <row r="727" spans="1:9" x14ac:dyDescent="0.25">
      <c r="A727">
        <v>2000160050</v>
      </c>
      <c r="B727" t="s">
        <v>432</v>
      </c>
      <c r="C727" t="s">
        <v>130</v>
      </c>
      <c r="D727" t="s">
        <v>131</v>
      </c>
      <c r="E727" s="2">
        <v>322</v>
      </c>
      <c r="F727" t="s">
        <v>36</v>
      </c>
      <c r="G727" s="2">
        <v>0</v>
      </c>
      <c r="H727">
        <v>0</v>
      </c>
      <c r="I727">
        <v>0.30630400000000002</v>
      </c>
    </row>
    <row r="728" spans="1:9" x14ac:dyDescent="0.25">
      <c r="A728">
        <v>2000160050</v>
      </c>
      <c r="B728" t="s">
        <v>432</v>
      </c>
      <c r="C728" t="s">
        <v>137</v>
      </c>
      <c r="D728" t="s">
        <v>138</v>
      </c>
      <c r="E728" s="2">
        <v>3</v>
      </c>
      <c r="F728" t="s">
        <v>36</v>
      </c>
      <c r="G728">
        <v>0</v>
      </c>
      <c r="H728" s="2">
        <v>0</v>
      </c>
      <c r="I728">
        <v>0.31</v>
      </c>
    </row>
    <row r="729" spans="1:9" x14ac:dyDescent="0.25">
      <c r="A729">
        <v>2000160050</v>
      </c>
      <c r="B729" t="s">
        <v>432</v>
      </c>
      <c r="C729" t="s">
        <v>151</v>
      </c>
      <c r="D729" t="s">
        <v>152</v>
      </c>
      <c r="E729" s="2">
        <v>264</v>
      </c>
      <c r="F729" t="s">
        <v>36</v>
      </c>
      <c r="G729">
        <v>0</v>
      </c>
      <c r="H729">
        <v>0</v>
      </c>
      <c r="I729">
        <v>0.30636400000000003</v>
      </c>
    </row>
    <row r="730" spans="1:9" x14ac:dyDescent="0.25">
      <c r="A730">
        <v>2000160051</v>
      </c>
      <c r="B730" t="s">
        <v>433</v>
      </c>
      <c r="C730" t="s">
        <v>130</v>
      </c>
      <c r="D730" t="s">
        <v>131</v>
      </c>
      <c r="E730" s="2">
        <v>3047</v>
      </c>
      <c r="F730" t="s">
        <v>36</v>
      </c>
      <c r="G730">
        <v>0</v>
      </c>
      <c r="H730">
        <v>0</v>
      </c>
      <c r="I730">
        <v>0.52999300000000005</v>
      </c>
    </row>
    <row r="731" spans="1:9" x14ac:dyDescent="0.25">
      <c r="A731">
        <v>2000160051</v>
      </c>
      <c r="B731" t="s">
        <v>433</v>
      </c>
      <c r="C731" t="s">
        <v>137</v>
      </c>
      <c r="D731" t="s">
        <v>138</v>
      </c>
      <c r="E731" s="2">
        <v>3</v>
      </c>
      <c r="F731" t="s">
        <v>36</v>
      </c>
      <c r="G731">
        <v>0</v>
      </c>
      <c r="H731">
        <v>0</v>
      </c>
      <c r="I731">
        <v>0.53</v>
      </c>
    </row>
    <row r="732" spans="1:9" x14ac:dyDescent="0.25">
      <c r="A732">
        <v>2000160052</v>
      </c>
      <c r="B732" t="s">
        <v>434</v>
      </c>
      <c r="C732" t="s">
        <v>130</v>
      </c>
      <c r="D732" t="s">
        <v>131</v>
      </c>
      <c r="E732" s="2">
        <v>0</v>
      </c>
      <c r="F732" t="s">
        <v>36</v>
      </c>
      <c r="G732" s="2">
        <v>2453</v>
      </c>
      <c r="H732" s="2">
        <v>0</v>
      </c>
      <c r="I732">
        <v>0.28999999999999998</v>
      </c>
    </row>
    <row r="733" spans="1:9" x14ac:dyDescent="0.25">
      <c r="A733">
        <v>2000160052</v>
      </c>
      <c r="B733" t="s">
        <v>434</v>
      </c>
      <c r="C733" t="s">
        <v>137</v>
      </c>
      <c r="D733" t="s">
        <v>138</v>
      </c>
      <c r="E733" s="2">
        <v>3</v>
      </c>
      <c r="F733" t="s">
        <v>36</v>
      </c>
      <c r="G733">
        <v>0</v>
      </c>
      <c r="H733">
        <v>0</v>
      </c>
      <c r="I733">
        <v>0.28999999999999998</v>
      </c>
    </row>
    <row r="734" spans="1:9" x14ac:dyDescent="0.25">
      <c r="A734">
        <v>2000160052</v>
      </c>
      <c r="B734" t="s">
        <v>434</v>
      </c>
      <c r="C734" t="s">
        <v>151</v>
      </c>
      <c r="D734" t="s">
        <v>152</v>
      </c>
      <c r="E734" s="2">
        <v>0</v>
      </c>
      <c r="F734" t="s">
        <v>36</v>
      </c>
      <c r="G734" s="2">
        <v>0</v>
      </c>
      <c r="H734">
        <v>800</v>
      </c>
      <c r="I734">
        <v>0.29015999999999997</v>
      </c>
    </row>
    <row r="735" spans="1:9" x14ac:dyDescent="0.25">
      <c r="A735">
        <v>2000160052</v>
      </c>
      <c r="B735" t="s">
        <v>434</v>
      </c>
      <c r="C735" t="s">
        <v>139</v>
      </c>
      <c r="D735" t="s">
        <v>140</v>
      </c>
      <c r="E735" s="2">
        <v>10</v>
      </c>
      <c r="F735" t="s">
        <v>36</v>
      </c>
      <c r="G735" s="2">
        <v>0</v>
      </c>
      <c r="H735">
        <v>0</v>
      </c>
      <c r="I735">
        <v>0.28999999999999998</v>
      </c>
    </row>
    <row r="736" spans="1:9" x14ac:dyDescent="0.25">
      <c r="A736">
        <v>2000160053</v>
      </c>
      <c r="B736" t="s">
        <v>435</v>
      </c>
      <c r="C736" t="s">
        <v>130</v>
      </c>
      <c r="D736" t="s">
        <v>131</v>
      </c>
      <c r="E736" s="2">
        <v>71</v>
      </c>
      <c r="F736" t="s">
        <v>36</v>
      </c>
      <c r="G736">
        <v>336</v>
      </c>
      <c r="H736" s="2">
        <v>0</v>
      </c>
      <c r="I736">
        <v>2.17</v>
      </c>
    </row>
    <row r="737" spans="1:9" x14ac:dyDescent="0.25">
      <c r="A737">
        <v>2000160053</v>
      </c>
      <c r="B737" t="s">
        <v>435</v>
      </c>
      <c r="C737" t="s">
        <v>151</v>
      </c>
      <c r="D737" t="s">
        <v>152</v>
      </c>
      <c r="E737" s="2">
        <v>0</v>
      </c>
      <c r="F737" t="s">
        <v>36</v>
      </c>
      <c r="G737" s="2">
        <v>0</v>
      </c>
      <c r="H737">
        <v>336</v>
      </c>
      <c r="I737">
        <v>2.167986</v>
      </c>
    </row>
    <row r="738" spans="1:9" x14ac:dyDescent="0.25">
      <c r="A738">
        <v>2000160053</v>
      </c>
      <c r="B738" t="s">
        <v>435</v>
      </c>
      <c r="C738" t="s">
        <v>139</v>
      </c>
      <c r="D738" t="s">
        <v>140</v>
      </c>
      <c r="E738" s="2">
        <v>1180</v>
      </c>
      <c r="F738" t="s">
        <v>36</v>
      </c>
      <c r="G738">
        <v>0</v>
      </c>
      <c r="H738">
        <v>0</v>
      </c>
      <c r="I738">
        <v>2.1679409999999999</v>
      </c>
    </row>
    <row r="739" spans="1:9" x14ac:dyDescent="0.25">
      <c r="A739">
        <v>2000170004</v>
      </c>
      <c r="B739" t="s">
        <v>436</v>
      </c>
      <c r="C739" t="s">
        <v>130</v>
      </c>
      <c r="D739" t="s">
        <v>131</v>
      </c>
      <c r="E739" s="2">
        <v>58</v>
      </c>
      <c r="F739" t="s">
        <v>36</v>
      </c>
      <c r="G739">
        <v>481</v>
      </c>
      <c r="H739">
        <v>0</v>
      </c>
      <c r="I739">
        <v>2.46</v>
      </c>
    </row>
    <row r="740" spans="1:9" x14ac:dyDescent="0.25">
      <c r="A740">
        <v>2000170004</v>
      </c>
      <c r="B740" t="s">
        <v>436</v>
      </c>
      <c r="C740" t="s">
        <v>167</v>
      </c>
      <c r="D740" t="s">
        <v>168</v>
      </c>
      <c r="E740" s="2">
        <v>0</v>
      </c>
      <c r="F740" t="s">
        <v>36</v>
      </c>
      <c r="G740">
        <v>0</v>
      </c>
      <c r="H740">
        <v>1</v>
      </c>
      <c r="I740">
        <v>0</v>
      </c>
    </row>
    <row r="741" spans="1:9" x14ac:dyDescent="0.25">
      <c r="A741">
        <v>2000170004</v>
      </c>
      <c r="B741" t="s">
        <v>436</v>
      </c>
      <c r="C741" t="s">
        <v>137</v>
      </c>
      <c r="D741" t="s">
        <v>138</v>
      </c>
      <c r="E741" s="2">
        <v>5</v>
      </c>
      <c r="F741" t="s">
        <v>36</v>
      </c>
      <c r="G741" s="2">
        <v>0</v>
      </c>
      <c r="H741">
        <v>9</v>
      </c>
      <c r="I741">
        <v>2.46</v>
      </c>
    </row>
    <row r="742" spans="1:9" x14ac:dyDescent="0.25">
      <c r="A742">
        <v>2000170004</v>
      </c>
      <c r="B742" t="s">
        <v>436</v>
      </c>
      <c r="C742" t="s">
        <v>139</v>
      </c>
      <c r="D742" t="s">
        <v>140</v>
      </c>
      <c r="E742" s="2">
        <v>1</v>
      </c>
      <c r="F742" t="s">
        <v>36</v>
      </c>
      <c r="G742">
        <v>0</v>
      </c>
      <c r="H742">
        <v>0</v>
      </c>
      <c r="I742">
        <v>2.46</v>
      </c>
    </row>
    <row r="743" spans="1:9" x14ac:dyDescent="0.25">
      <c r="A743">
        <v>2000220045</v>
      </c>
      <c r="B743" t="s">
        <v>437</v>
      </c>
      <c r="C743" t="s">
        <v>130</v>
      </c>
      <c r="D743" t="s">
        <v>131</v>
      </c>
      <c r="E743" s="2">
        <v>2</v>
      </c>
      <c r="F743" t="s">
        <v>36</v>
      </c>
      <c r="G743">
        <v>556</v>
      </c>
      <c r="H743">
        <v>0</v>
      </c>
      <c r="I743">
        <v>1.64</v>
      </c>
    </row>
    <row r="744" spans="1:9" x14ac:dyDescent="0.25">
      <c r="A744">
        <v>2000220045</v>
      </c>
      <c r="B744" t="s">
        <v>437</v>
      </c>
      <c r="C744" t="s">
        <v>167</v>
      </c>
      <c r="D744" t="s">
        <v>168</v>
      </c>
      <c r="E744" s="2">
        <v>0</v>
      </c>
      <c r="F744" t="s">
        <v>36</v>
      </c>
      <c r="G744" s="2">
        <v>0</v>
      </c>
      <c r="H744">
        <v>1</v>
      </c>
      <c r="I744">
        <v>0</v>
      </c>
    </row>
    <row r="745" spans="1:9" x14ac:dyDescent="0.25">
      <c r="A745">
        <v>2000220045</v>
      </c>
      <c r="B745" t="s">
        <v>437</v>
      </c>
      <c r="C745" t="s">
        <v>137</v>
      </c>
      <c r="D745" t="s">
        <v>138</v>
      </c>
      <c r="E745" s="2">
        <v>0</v>
      </c>
      <c r="F745" t="s">
        <v>36</v>
      </c>
      <c r="G745" s="2">
        <v>0</v>
      </c>
      <c r="H745">
        <v>2</v>
      </c>
      <c r="I745">
        <v>1.8042469999999999</v>
      </c>
    </row>
    <row r="746" spans="1:9" x14ac:dyDescent="0.25">
      <c r="A746">
        <v>2000220046</v>
      </c>
      <c r="B746" t="s">
        <v>438</v>
      </c>
      <c r="C746" t="s">
        <v>130</v>
      </c>
      <c r="D746" t="s">
        <v>131</v>
      </c>
      <c r="E746" s="2">
        <v>0</v>
      </c>
      <c r="F746" t="s">
        <v>36</v>
      </c>
      <c r="G746" s="2">
        <v>2298</v>
      </c>
      <c r="H746" s="2">
        <v>0</v>
      </c>
      <c r="I746">
        <v>2.59</v>
      </c>
    </row>
    <row r="747" spans="1:9" x14ac:dyDescent="0.25">
      <c r="A747">
        <v>2000220046</v>
      </c>
      <c r="B747" t="s">
        <v>438</v>
      </c>
      <c r="C747" t="s">
        <v>137</v>
      </c>
      <c r="D747" t="s">
        <v>138</v>
      </c>
      <c r="E747" s="2">
        <v>3</v>
      </c>
      <c r="F747" t="s">
        <v>36</v>
      </c>
      <c r="G747" s="2">
        <v>0</v>
      </c>
      <c r="H747" s="2">
        <v>1</v>
      </c>
      <c r="I747">
        <v>2.59</v>
      </c>
    </row>
    <row r="748" spans="1:9" x14ac:dyDescent="0.25">
      <c r="A748">
        <v>2000220046</v>
      </c>
      <c r="B748" t="s">
        <v>438</v>
      </c>
      <c r="C748" t="s">
        <v>151</v>
      </c>
      <c r="D748" t="s">
        <v>152</v>
      </c>
      <c r="E748" s="2">
        <v>0</v>
      </c>
      <c r="F748" t="s">
        <v>36</v>
      </c>
      <c r="G748" s="2">
        <v>0</v>
      </c>
      <c r="H748" s="2">
        <v>1725</v>
      </c>
      <c r="I748">
        <v>2.588603</v>
      </c>
    </row>
    <row r="749" spans="1:9" x14ac:dyDescent="0.25">
      <c r="A749">
        <v>2000220046</v>
      </c>
      <c r="B749" t="s">
        <v>438</v>
      </c>
      <c r="C749" t="s">
        <v>139</v>
      </c>
      <c r="D749" t="s">
        <v>140</v>
      </c>
      <c r="E749" s="2">
        <v>1</v>
      </c>
      <c r="F749" t="s">
        <v>36</v>
      </c>
      <c r="G749" s="2">
        <v>0</v>
      </c>
      <c r="H749" s="2">
        <v>0</v>
      </c>
      <c r="I749">
        <v>2.58</v>
      </c>
    </row>
    <row r="750" spans="1:9" x14ac:dyDescent="0.25">
      <c r="A750">
        <v>2000220047</v>
      </c>
      <c r="B750" t="s">
        <v>439</v>
      </c>
      <c r="C750" t="s">
        <v>130</v>
      </c>
      <c r="D750" t="s">
        <v>131</v>
      </c>
      <c r="E750" s="2">
        <v>0</v>
      </c>
      <c r="F750" t="s">
        <v>36</v>
      </c>
      <c r="G750">
        <v>50</v>
      </c>
      <c r="H750">
        <v>0</v>
      </c>
      <c r="I750">
        <v>0</v>
      </c>
    </row>
    <row r="751" spans="1:9" x14ac:dyDescent="0.25">
      <c r="A751">
        <v>2000220050</v>
      </c>
      <c r="B751" t="s">
        <v>440</v>
      </c>
      <c r="C751" t="s">
        <v>130</v>
      </c>
      <c r="D751" t="s">
        <v>131</v>
      </c>
      <c r="E751" s="2">
        <v>120</v>
      </c>
      <c r="F751" t="s">
        <v>36</v>
      </c>
      <c r="G751" s="2">
        <v>3</v>
      </c>
      <c r="H751" s="2">
        <v>0</v>
      </c>
      <c r="I751">
        <v>5.65</v>
      </c>
    </row>
    <row r="752" spans="1:9" x14ac:dyDescent="0.25">
      <c r="A752">
        <v>2000220050</v>
      </c>
      <c r="B752" t="s">
        <v>440</v>
      </c>
      <c r="C752" t="s">
        <v>137</v>
      </c>
      <c r="D752" t="s">
        <v>138</v>
      </c>
      <c r="E752" s="2">
        <v>1</v>
      </c>
      <c r="F752" t="s">
        <v>36</v>
      </c>
      <c r="G752">
        <v>0</v>
      </c>
      <c r="H752">
        <v>2</v>
      </c>
      <c r="I752">
        <v>5.65</v>
      </c>
    </row>
    <row r="753" spans="1:9" x14ac:dyDescent="0.25">
      <c r="A753">
        <v>2000220051</v>
      </c>
      <c r="B753" t="s">
        <v>441</v>
      </c>
      <c r="C753" t="s">
        <v>130</v>
      </c>
      <c r="D753" t="s">
        <v>131</v>
      </c>
      <c r="E753" s="2">
        <v>642</v>
      </c>
      <c r="F753" t="s">
        <v>36</v>
      </c>
      <c r="G753" s="2">
        <v>0</v>
      </c>
      <c r="H753">
        <v>0</v>
      </c>
      <c r="I753">
        <v>3.5983019999999999</v>
      </c>
    </row>
    <row r="754" spans="1:9" x14ac:dyDescent="0.25">
      <c r="A754">
        <v>2000220051</v>
      </c>
      <c r="B754" t="s">
        <v>441</v>
      </c>
      <c r="C754" t="s">
        <v>126</v>
      </c>
      <c r="D754" t="s">
        <v>127</v>
      </c>
      <c r="E754" s="2">
        <v>4448</v>
      </c>
      <c r="F754" t="s">
        <v>36</v>
      </c>
      <c r="G754">
        <v>0</v>
      </c>
      <c r="H754">
        <v>0</v>
      </c>
      <c r="I754">
        <v>3.598303</v>
      </c>
    </row>
    <row r="755" spans="1:9" x14ac:dyDescent="0.25">
      <c r="A755">
        <v>2000220051</v>
      </c>
      <c r="B755" t="s">
        <v>441</v>
      </c>
      <c r="C755" t="s">
        <v>137</v>
      </c>
      <c r="D755" t="s">
        <v>138</v>
      </c>
      <c r="E755" s="2">
        <v>3</v>
      </c>
      <c r="F755" t="s">
        <v>36</v>
      </c>
      <c r="G755" s="2">
        <v>0</v>
      </c>
      <c r="H755">
        <v>0</v>
      </c>
      <c r="I755">
        <v>3.6</v>
      </c>
    </row>
    <row r="756" spans="1:9" x14ac:dyDescent="0.25">
      <c r="A756">
        <v>2000220052</v>
      </c>
      <c r="B756" t="s">
        <v>442</v>
      </c>
      <c r="C756" t="s">
        <v>130</v>
      </c>
      <c r="D756" t="s">
        <v>131</v>
      </c>
      <c r="E756" s="2">
        <v>1481</v>
      </c>
      <c r="F756" t="s">
        <v>36</v>
      </c>
      <c r="G756">
        <v>151</v>
      </c>
      <c r="H756">
        <v>0</v>
      </c>
      <c r="I756">
        <v>2.104301</v>
      </c>
    </row>
    <row r="757" spans="1:9" x14ac:dyDescent="0.25">
      <c r="A757">
        <v>2000220052</v>
      </c>
      <c r="B757" t="s">
        <v>442</v>
      </c>
      <c r="C757" t="s">
        <v>137</v>
      </c>
      <c r="D757" t="s">
        <v>138</v>
      </c>
      <c r="E757" s="2">
        <v>3</v>
      </c>
      <c r="F757" t="s">
        <v>36</v>
      </c>
      <c r="G757">
        <v>0</v>
      </c>
      <c r="H757">
        <v>0</v>
      </c>
      <c r="I757">
        <v>2.1</v>
      </c>
    </row>
    <row r="758" spans="1:9" x14ac:dyDescent="0.25">
      <c r="A758">
        <v>2000230012</v>
      </c>
      <c r="B758" t="s">
        <v>443</v>
      </c>
      <c r="C758" t="s">
        <v>126</v>
      </c>
      <c r="D758" t="s">
        <v>127</v>
      </c>
      <c r="E758" s="2">
        <v>2145</v>
      </c>
      <c r="F758" t="s">
        <v>36</v>
      </c>
      <c r="G758">
        <v>0</v>
      </c>
      <c r="H758">
        <v>0</v>
      </c>
      <c r="I758">
        <v>1.0867E-2</v>
      </c>
    </row>
    <row r="759" spans="1:9" x14ac:dyDescent="0.25">
      <c r="A759">
        <v>2000230014</v>
      </c>
      <c r="B759" t="s">
        <v>444</v>
      </c>
      <c r="C759" t="s">
        <v>126</v>
      </c>
      <c r="D759" t="s">
        <v>127</v>
      </c>
      <c r="E759" s="2">
        <v>17630</v>
      </c>
      <c r="F759" t="s">
        <v>36</v>
      </c>
      <c r="G759" s="2">
        <v>0</v>
      </c>
      <c r="H759" s="2">
        <v>0</v>
      </c>
      <c r="I759">
        <v>0.29511900000000002</v>
      </c>
    </row>
    <row r="760" spans="1:9" x14ac:dyDescent="0.25">
      <c r="A760">
        <v>2000230026</v>
      </c>
      <c r="B760" t="s">
        <v>445</v>
      </c>
      <c r="C760" t="s">
        <v>126</v>
      </c>
      <c r="D760" t="s">
        <v>127</v>
      </c>
      <c r="E760" s="2">
        <v>744</v>
      </c>
      <c r="F760" t="s">
        <v>36</v>
      </c>
      <c r="G760">
        <v>0</v>
      </c>
      <c r="H760">
        <v>0</v>
      </c>
      <c r="I760">
        <v>3.4945999999999998E-2</v>
      </c>
    </row>
    <row r="761" spans="1:9" x14ac:dyDescent="0.25">
      <c r="A761">
        <v>2000230034</v>
      </c>
      <c r="B761" t="s">
        <v>446</v>
      </c>
      <c r="C761" t="s">
        <v>126</v>
      </c>
      <c r="D761" t="s">
        <v>127</v>
      </c>
      <c r="E761" s="2">
        <v>85</v>
      </c>
      <c r="F761" t="s">
        <v>36</v>
      </c>
      <c r="G761" s="2">
        <v>0</v>
      </c>
      <c r="H761">
        <v>0</v>
      </c>
      <c r="I761">
        <v>0.60023499999999996</v>
      </c>
    </row>
    <row r="762" spans="1:9" x14ac:dyDescent="0.25">
      <c r="A762">
        <v>2000230037</v>
      </c>
      <c r="B762" t="s">
        <v>447</v>
      </c>
      <c r="C762" t="s">
        <v>126</v>
      </c>
      <c r="D762" t="s">
        <v>127</v>
      </c>
      <c r="E762" s="2">
        <v>20</v>
      </c>
      <c r="F762" t="s">
        <v>36</v>
      </c>
      <c r="G762" s="2">
        <v>0</v>
      </c>
      <c r="H762">
        <v>0</v>
      </c>
      <c r="I762">
        <v>2.4485000000000001</v>
      </c>
    </row>
    <row r="763" spans="1:9" x14ac:dyDescent="0.25">
      <c r="A763">
        <v>2000240256</v>
      </c>
      <c r="B763" t="s">
        <v>448</v>
      </c>
      <c r="C763" t="s">
        <v>130</v>
      </c>
      <c r="D763" t="s">
        <v>131</v>
      </c>
      <c r="E763" s="2">
        <v>0</v>
      </c>
      <c r="F763" t="s">
        <v>36</v>
      </c>
      <c r="G763">
        <v>24</v>
      </c>
      <c r="H763">
        <v>0</v>
      </c>
      <c r="I763">
        <v>0</v>
      </c>
    </row>
    <row r="764" spans="1:9" x14ac:dyDescent="0.25">
      <c r="A764">
        <v>2000240263</v>
      </c>
      <c r="B764" t="s">
        <v>449</v>
      </c>
      <c r="C764" t="s">
        <v>130</v>
      </c>
      <c r="D764" t="s">
        <v>131</v>
      </c>
      <c r="E764" s="2">
        <v>562</v>
      </c>
      <c r="F764" t="s">
        <v>36</v>
      </c>
      <c r="G764">
        <v>781</v>
      </c>
      <c r="H764">
        <v>18</v>
      </c>
      <c r="I764">
        <v>7.673559</v>
      </c>
    </row>
    <row r="765" spans="1:9" x14ac:dyDescent="0.25">
      <c r="A765">
        <v>2000240263</v>
      </c>
      <c r="B765" t="s">
        <v>449</v>
      </c>
      <c r="C765" t="s">
        <v>258</v>
      </c>
      <c r="D765" t="s">
        <v>259</v>
      </c>
      <c r="E765" s="2">
        <v>5</v>
      </c>
      <c r="F765" t="s">
        <v>36</v>
      </c>
      <c r="G765">
        <v>0</v>
      </c>
      <c r="H765">
        <v>0</v>
      </c>
      <c r="I765">
        <v>7.7519999999999998</v>
      </c>
    </row>
    <row r="766" spans="1:9" x14ac:dyDescent="0.25">
      <c r="A766">
        <v>2000240263</v>
      </c>
      <c r="B766" t="s">
        <v>449</v>
      </c>
      <c r="C766" t="s">
        <v>137</v>
      </c>
      <c r="D766" t="s">
        <v>138</v>
      </c>
      <c r="E766" s="2">
        <v>15</v>
      </c>
      <c r="F766" t="s">
        <v>36</v>
      </c>
      <c r="G766">
        <v>0</v>
      </c>
      <c r="H766">
        <v>24</v>
      </c>
      <c r="I766">
        <v>7.6539999999999999</v>
      </c>
    </row>
    <row r="767" spans="1:9" x14ac:dyDescent="0.25">
      <c r="A767">
        <v>2000240263</v>
      </c>
      <c r="B767" t="s">
        <v>449</v>
      </c>
      <c r="C767" t="s">
        <v>151</v>
      </c>
      <c r="D767" t="s">
        <v>152</v>
      </c>
      <c r="E767" s="2">
        <v>280</v>
      </c>
      <c r="F767" t="s">
        <v>36</v>
      </c>
      <c r="G767" s="2">
        <v>0</v>
      </c>
      <c r="H767">
        <v>756</v>
      </c>
      <c r="I767">
        <v>7.6735709999999999</v>
      </c>
    </row>
    <row r="768" spans="1:9" x14ac:dyDescent="0.25">
      <c r="A768">
        <v>2000240263</v>
      </c>
      <c r="B768" t="s">
        <v>449</v>
      </c>
      <c r="C768" t="s">
        <v>139</v>
      </c>
      <c r="D768" t="s">
        <v>140</v>
      </c>
      <c r="E768" s="2">
        <v>8644</v>
      </c>
      <c r="F768" t="s">
        <v>36</v>
      </c>
      <c r="G768">
        <v>18</v>
      </c>
      <c r="H768" s="2">
        <v>0</v>
      </c>
      <c r="I768">
        <v>7.6054969999999997</v>
      </c>
    </row>
    <row r="769" spans="1:9" x14ac:dyDescent="0.25">
      <c r="A769">
        <v>2000240264</v>
      </c>
      <c r="B769" t="s">
        <v>450</v>
      </c>
      <c r="C769" t="s">
        <v>199</v>
      </c>
      <c r="D769" t="s">
        <v>200</v>
      </c>
      <c r="E769" s="2">
        <v>60</v>
      </c>
      <c r="F769" t="s">
        <v>36</v>
      </c>
      <c r="G769" s="2">
        <v>0</v>
      </c>
      <c r="H769">
        <v>0</v>
      </c>
      <c r="I769">
        <v>7.7526669999999998</v>
      </c>
    </row>
    <row r="770" spans="1:9" x14ac:dyDescent="0.25">
      <c r="A770">
        <v>2000240264</v>
      </c>
      <c r="B770" t="s">
        <v>450</v>
      </c>
      <c r="C770" t="s">
        <v>130</v>
      </c>
      <c r="D770" t="s">
        <v>131</v>
      </c>
      <c r="E770" s="2">
        <v>6</v>
      </c>
      <c r="F770" t="s">
        <v>36</v>
      </c>
      <c r="G770">
        <v>906</v>
      </c>
      <c r="H770" s="2">
        <v>1970</v>
      </c>
      <c r="I770">
        <v>7.7533329999999996</v>
      </c>
    </row>
    <row r="771" spans="1:9" x14ac:dyDescent="0.25">
      <c r="A771">
        <v>2000240264</v>
      </c>
      <c r="B771" t="s">
        <v>450</v>
      </c>
      <c r="C771" t="s">
        <v>258</v>
      </c>
      <c r="D771" t="s">
        <v>259</v>
      </c>
      <c r="E771" s="2">
        <v>5</v>
      </c>
      <c r="F771" t="s">
        <v>36</v>
      </c>
      <c r="G771" s="2">
        <v>0</v>
      </c>
      <c r="H771">
        <v>0</v>
      </c>
      <c r="I771">
        <v>7.7519999999999998</v>
      </c>
    </row>
    <row r="772" spans="1:9" x14ac:dyDescent="0.25">
      <c r="A772">
        <v>2000240264</v>
      </c>
      <c r="B772" t="s">
        <v>450</v>
      </c>
      <c r="C772" t="s">
        <v>137</v>
      </c>
      <c r="D772" t="s">
        <v>138</v>
      </c>
      <c r="E772" s="2">
        <v>15</v>
      </c>
      <c r="F772" t="s">
        <v>36</v>
      </c>
      <c r="G772">
        <v>0</v>
      </c>
      <c r="H772" s="2">
        <v>0</v>
      </c>
      <c r="I772">
        <v>7.7519999999999998</v>
      </c>
    </row>
    <row r="773" spans="1:9" x14ac:dyDescent="0.25">
      <c r="A773">
        <v>2000240264</v>
      </c>
      <c r="B773" t="s">
        <v>450</v>
      </c>
      <c r="C773" t="s">
        <v>151</v>
      </c>
      <c r="D773" t="s">
        <v>152</v>
      </c>
      <c r="E773" s="2">
        <v>0</v>
      </c>
      <c r="F773" t="s">
        <v>36</v>
      </c>
      <c r="G773" s="2">
        <v>1970</v>
      </c>
      <c r="H773">
        <v>660</v>
      </c>
      <c r="I773">
        <v>7.7526739999999998</v>
      </c>
    </row>
    <row r="774" spans="1:9" x14ac:dyDescent="0.25">
      <c r="A774">
        <v>2000240265</v>
      </c>
      <c r="B774" t="s">
        <v>451</v>
      </c>
      <c r="C774" t="s">
        <v>130</v>
      </c>
      <c r="D774" t="s">
        <v>131</v>
      </c>
      <c r="E774" s="2">
        <v>24</v>
      </c>
      <c r="F774" t="s">
        <v>36</v>
      </c>
      <c r="G774">
        <v>764</v>
      </c>
      <c r="H774">
        <v>259</v>
      </c>
      <c r="I774">
        <v>6.02</v>
      </c>
    </row>
    <row r="775" spans="1:9" x14ac:dyDescent="0.25">
      <c r="A775">
        <v>2000240265</v>
      </c>
      <c r="B775" t="s">
        <v>451</v>
      </c>
      <c r="C775" t="s">
        <v>137</v>
      </c>
      <c r="D775" t="s">
        <v>138</v>
      </c>
      <c r="E775" s="2">
        <v>13</v>
      </c>
      <c r="F775" t="s">
        <v>36</v>
      </c>
      <c r="G775" s="2">
        <v>0</v>
      </c>
      <c r="H775">
        <v>43</v>
      </c>
      <c r="I775">
        <v>6.0223079999999998</v>
      </c>
    </row>
    <row r="776" spans="1:9" x14ac:dyDescent="0.25">
      <c r="A776">
        <v>2000240265</v>
      </c>
      <c r="B776" t="s">
        <v>451</v>
      </c>
      <c r="C776" t="s">
        <v>151</v>
      </c>
      <c r="D776" t="s">
        <v>152</v>
      </c>
      <c r="E776" s="2">
        <v>0</v>
      </c>
      <c r="F776" t="s">
        <v>36</v>
      </c>
      <c r="G776">
        <v>253</v>
      </c>
      <c r="H776">
        <v>204</v>
      </c>
      <c r="I776">
        <v>6.0222899999999999</v>
      </c>
    </row>
    <row r="777" spans="1:9" x14ac:dyDescent="0.25">
      <c r="A777">
        <v>2000240265</v>
      </c>
      <c r="B777" t="s">
        <v>451</v>
      </c>
      <c r="C777" t="s">
        <v>139</v>
      </c>
      <c r="D777" t="s">
        <v>140</v>
      </c>
      <c r="E777" s="2">
        <v>0</v>
      </c>
      <c r="F777" t="s">
        <v>36</v>
      </c>
      <c r="G777" s="2">
        <v>6</v>
      </c>
      <c r="H777">
        <v>0</v>
      </c>
      <c r="I777">
        <v>6.0223000000000004</v>
      </c>
    </row>
    <row r="778" spans="1:9" x14ac:dyDescent="0.25">
      <c r="A778">
        <v>2000240266</v>
      </c>
      <c r="B778" t="s">
        <v>452</v>
      </c>
      <c r="C778" t="s">
        <v>130</v>
      </c>
      <c r="D778" t="s">
        <v>131</v>
      </c>
      <c r="E778" s="2">
        <v>8</v>
      </c>
      <c r="F778" t="s">
        <v>36</v>
      </c>
      <c r="G778" s="2">
        <v>650</v>
      </c>
      <c r="H778">
        <v>354</v>
      </c>
      <c r="I778">
        <v>6.02</v>
      </c>
    </row>
    <row r="779" spans="1:9" x14ac:dyDescent="0.25">
      <c r="A779">
        <v>2000240266</v>
      </c>
      <c r="B779" t="s">
        <v>452</v>
      </c>
      <c r="C779" t="s">
        <v>137</v>
      </c>
      <c r="D779" t="s">
        <v>138</v>
      </c>
      <c r="E779" s="2">
        <v>0</v>
      </c>
      <c r="F779" t="s">
        <v>36</v>
      </c>
      <c r="G779" s="2">
        <v>0</v>
      </c>
      <c r="H779">
        <v>49</v>
      </c>
      <c r="I779">
        <v>6.0220000000000002</v>
      </c>
    </row>
    <row r="780" spans="1:9" x14ac:dyDescent="0.25">
      <c r="A780">
        <v>2000240266</v>
      </c>
      <c r="B780" t="s">
        <v>452</v>
      </c>
      <c r="C780" t="s">
        <v>151</v>
      </c>
      <c r="D780" t="s">
        <v>152</v>
      </c>
      <c r="E780" s="2">
        <v>0</v>
      </c>
      <c r="F780" t="s">
        <v>36</v>
      </c>
      <c r="G780">
        <v>348</v>
      </c>
      <c r="H780">
        <v>204</v>
      </c>
      <c r="I780">
        <v>6.0222920000000002</v>
      </c>
    </row>
    <row r="781" spans="1:9" x14ac:dyDescent="0.25">
      <c r="A781">
        <v>2000240266</v>
      </c>
      <c r="B781" t="s">
        <v>452</v>
      </c>
      <c r="C781" t="s">
        <v>139</v>
      </c>
      <c r="D781" t="s">
        <v>140</v>
      </c>
      <c r="E781" s="2">
        <v>0</v>
      </c>
      <c r="F781" t="s">
        <v>36</v>
      </c>
      <c r="G781">
        <v>6</v>
      </c>
      <c r="H781">
        <v>0</v>
      </c>
      <c r="I781">
        <v>6.0223139999999997</v>
      </c>
    </row>
    <row r="782" spans="1:9" x14ac:dyDescent="0.25">
      <c r="A782">
        <v>2000250012</v>
      </c>
      <c r="B782" t="s">
        <v>453</v>
      </c>
      <c r="C782" t="s">
        <v>167</v>
      </c>
      <c r="D782" t="s">
        <v>168</v>
      </c>
      <c r="E782" s="2">
        <v>355</v>
      </c>
      <c r="F782" t="s">
        <v>36</v>
      </c>
      <c r="G782">
        <v>0</v>
      </c>
      <c r="H782">
        <v>0</v>
      </c>
      <c r="I782">
        <v>0.98428199999999999</v>
      </c>
    </row>
    <row r="783" spans="1:9" x14ac:dyDescent="0.25">
      <c r="A783">
        <v>2000250012</v>
      </c>
      <c r="B783" t="s">
        <v>453</v>
      </c>
      <c r="C783" t="s">
        <v>137</v>
      </c>
      <c r="D783" t="s">
        <v>138</v>
      </c>
      <c r="E783" s="2">
        <v>852</v>
      </c>
      <c r="F783" t="s">
        <v>36</v>
      </c>
      <c r="G783" s="2">
        <v>0</v>
      </c>
      <c r="H783">
        <v>0</v>
      </c>
      <c r="I783">
        <v>1.029566</v>
      </c>
    </row>
    <row r="784" spans="1:9" x14ac:dyDescent="0.25">
      <c r="A784">
        <v>2000250014</v>
      </c>
      <c r="B784" t="s">
        <v>454</v>
      </c>
      <c r="C784" t="s">
        <v>167</v>
      </c>
      <c r="D784" t="s">
        <v>168</v>
      </c>
      <c r="E784" s="2">
        <v>290</v>
      </c>
      <c r="F784" t="s">
        <v>36</v>
      </c>
      <c r="G784" s="2">
        <v>0</v>
      </c>
      <c r="H784">
        <v>0</v>
      </c>
      <c r="I784">
        <v>0.97527600000000003</v>
      </c>
    </row>
    <row r="785" spans="1:9" x14ac:dyDescent="0.25">
      <c r="A785">
        <v>2000250014</v>
      </c>
      <c r="B785" t="s">
        <v>454</v>
      </c>
      <c r="C785" t="s">
        <v>137</v>
      </c>
      <c r="D785" t="s">
        <v>138</v>
      </c>
      <c r="E785" s="2">
        <v>120</v>
      </c>
      <c r="F785" t="s">
        <v>36</v>
      </c>
      <c r="G785" s="2">
        <v>0</v>
      </c>
      <c r="H785">
        <v>0</v>
      </c>
      <c r="I785">
        <v>0.97533300000000001</v>
      </c>
    </row>
    <row r="786" spans="1:9" x14ac:dyDescent="0.25">
      <c r="A786">
        <v>2000260087</v>
      </c>
      <c r="B786" t="s">
        <v>455</v>
      </c>
      <c r="C786" t="s">
        <v>130</v>
      </c>
      <c r="D786" t="s">
        <v>131</v>
      </c>
      <c r="E786" s="2">
        <v>3700</v>
      </c>
      <c r="F786" t="s">
        <v>36</v>
      </c>
      <c r="G786">
        <v>0</v>
      </c>
      <c r="H786">
        <v>0</v>
      </c>
      <c r="I786">
        <v>0.09</v>
      </c>
    </row>
    <row r="787" spans="1:9" x14ac:dyDescent="0.25">
      <c r="A787">
        <v>2000260087</v>
      </c>
      <c r="B787" t="s">
        <v>455</v>
      </c>
      <c r="C787" t="s">
        <v>126</v>
      </c>
      <c r="D787" t="s">
        <v>127</v>
      </c>
      <c r="E787" s="2">
        <v>25</v>
      </c>
      <c r="F787" t="s">
        <v>36</v>
      </c>
      <c r="G787">
        <v>0</v>
      </c>
      <c r="H787" s="2">
        <v>0</v>
      </c>
      <c r="I787">
        <v>0.09</v>
      </c>
    </row>
    <row r="788" spans="1:9" x14ac:dyDescent="0.25">
      <c r="A788">
        <v>2000260091</v>
      </c>
      <c r="B788" t="s">
        <v>456</v>
      </c>
      <c r="C788" t="s">
        <v>130</v>
      </c>
      <c r="D788" t="s">
        <v>131</v>
      </c>
      <c r="E788" s="2">
        <v>0.1</v>
      </c>
      <c r="F788" t="s">
        <v>457</v>
      </c>
      <c r="G788" s="2">
        <v>0</v>
      </c>
      <c r="H788">
        <v>0</v>
      </c>
      <c r="I788">
        <v>5.5</v>
      </c>
    </row>
    <row r="789" spans="1:9" x14ac:dyDescent="0.25">
      <c r="A789">
        <v>2000260091</v>
      </c>
      <c r="B789" t="s">
        <v>456</v>
      </c>
      <c r="C789" t="s">
        <v>126</v>
      </c>
      <c r="D789" t="s">
        <v>127</v>
      </c>
      <c r="E789" s="2">
        <v>1</v>
      </c>
      <c r="F789" t="s">
        <v>457</v>
      </c>
      <c r="G789">
        <v>0</v>
      </c>
      <c r="H789">
        <v>0</v>
      </c>
      <c r="I789">
        <v>5.46</v>
      </c>
    </row>
    <row r="790" spans="1:9" x14ac:dyDescent="0.25">
      <c r="A790">
        <v>2000260092</v>
      </c>
      <c r="B790" t="s">
        <v>458</v>
      </c>
      <c r="C790" t="s">
        <v>130</v>
      </c>
      <c r="D790" t="s">
        <v>131</v>
      </c>
      <c r="E790" s="2">
        <v>12</v>
      </c>
      <c r="F790" t="s">
        <v>457</v>
      </c>
      <c r="G790">
        <v>0</v>
      </c>
      <c r="H790">
        <v>0</v>
      </c>
      <c r="I790">
        <v>5.3</v>
      </c>
    </row>
    <row r="791" spans="1:9" x14ac:dyDescent="0.25">
      <c r="A791">
        <v>2000260092</v>
      </c>
      <c r="B791" t="s">
        <v>458</v>
      </c>
      <c r="C791" t="s">
        <v>126</v>
      </c>
      <c r="D791" t="s">
        <v>127</v>
      </c>
      <c r="E791" s="2">
        <v>2</v>
      </c>
      <c r="F791" t="s">
        <v>457</v>
      </c>
      <c r="G791" s="2">
        <v>0</v>
      </c>
      <c r="H791">
        <v>0</v>
      </c>
      <c r="I791">
        <v>5.3</v>
      </c>
    </row>
    <row r="792" spans="1:9" x14ac:dyDescent="0.25">
      <c r="A792">
        <v>2000260093</v>
      </c>
      <c r="B792" t="s">
        <v>459</v>
      </c>
      <c r="C792" t="s">
        <v>130</v>
      </c>
      <c r="D792" t="s">
        <v>131</v>
      </c>
      <c r="E792" s="2">
        <v>0.1</v>
      </c>
      <c r="F792" t="s">
        <v>457</v>
      </c>
      <c r="G792" s="2">
        <v>0</v>
      </c>
      <c r="H792">
        <v>0</v>
      </c>
      <c r="I792">
        <v>5</v>
      </c>
    </row>
    <row r="793" spans="1:9" x14ac:dyDescent="0.25">
      <c r="A793">
        <v>2000260093</v>
      </c>
      <c r="B793" t="s">
        <v>459</v>
      </c>
      <c r="C793" t="s">
        <v>126</v>
      </c>
      <c r="D793" t="s">
        <v>127</v>
      </c>
      <c r="E793" s="2">
        <v>3</v>
      </c>
      <c r="F793" t="s">
        <v>457</v>
      </c>
      <c r="G793">
        <v>0</v>
      </c>
      <c r="H793">
        <v>0</v>
      </c>
      <c r="I793">
        <v>5.023333</v>
      </c>
    </row>
    <row r="794" spans="1:9" x14ac:dyDescent="0.25">
      <c r="A794">
        <v>2000260094</v>
      </c>
      <c r="B794" t="s">
        <v>460</v>
      </c>
      <c r="C794" t="s">
        <v>126</v>
      </c>
      <c r="D794" t="s">
        <v>127</v>
      </c>
      <c r="E794" s="2">
        <v>4</v>
      </c>
      <c r="F794" t="s">
        <v>457</v>
      </c>
      <c r="G794">
        <v>0</v>
      </c>
      <c r="H794">
        <v>0</v>
      </c>
      <c r="I794">
        <v>4.9675000000000002</v>
      </c>
    </row>
    <row r="795" spans="1:9" x14ac:dyDescent="0.25">
      <c r="A795">
        <v>2000260095</v>
      </c>
      <c r="B795" t="s">
        <v>461</v>
      </c>
      <c r="C795" t="s">
        <v>130</v>
      </c>
      <c r="D795" t="s">
        <v>131</v>
      </c>
      <c r="E795" s="2">
        <v>28</v>
      </c>
      <c r="F795" t="s">
        <v>457</v>
      </c>
      <c r="G795" s="2">
        <v>0</v>
      </c>
      <c r="H795">
        <v>0</v>
      </c>
      <c r="I795">
        <v>5.3646430000000001</v>
      </c>
    </row>
    <row r="796" spans="1:9" x14ac:dyDescent="0.25">
      <c r="A796">
        <v>2000260095</v>
      </c>
      <c r="B796" t="s">
        <v>461</v>
      </c>
      <c r="C796" t="s">
        <v>126</v>
      </c>
      <c r="D796" t="s">
        <v>127</v>
      </c>
      <c r="E796" s="2">
        <v>1</v>
      </c>
      <c r="F796" t="s">
        <v>457</v>
      </c>
      <c r="G796">
        <v>0</v>
      </c>
      <c r="H796">
        <v>0</v>
      </c>
      <c r="I796">
        <v>5.36</v>
      </c>
    </row>
    <row r="797" spans="1:9" x14ac:dyDescent="0.25">
      <c r="A797">
        <v>2000260096</v>
      </c>
      <c r="B797" t="s">
        <v>462</v>
      </c>
      <c r="C797" t="s">
        <v>126</v>
      </c>
      <c r="D797" t="s">
        <v>127</v>
      </c>
      <c r="E797" s="2">
        <v>4</v>
      </c>
      <c r="F797" t="s">
        <v>457</v>
      </c>
      <c r="G797" s="2">
        <v>0</v>
      </c>
      <c r="H797" s="2">
        <v>0</v>
      </c>
      <c r="I797">
        <v>4.79</v>
      </c>
    </row>
    <row r="798" spans="1:9" x14ac:dyDescent="0.25">
      <c r="A798">
        <v>2000260097</v>
      </c>
      <c r="B798" t="s">
        <v>463</v>
      </c>
      <c r="C798" t="s">
        <v>130</v>
      </c>
      <c r="D798" t="s">
        <v>131</v>
      </c>
      <c r="E798" s="2">
        <v>19.5</v>
      </c>
      <c r="F798" t="s">
        <v>457</v>
      </c>
      <c r="G798">
        <v>0</v>
      </c>
      <c r="H798">
        <v>0</v>
      </c>
      <c r="I798">
        <v>5.1251280000000001</v>
      </c>
    </row>
    <row r="799" spans="1:9" x14ac:dyDescent="0.25">
      <c r="A799">
        <v>2000260097</v>
      </c>
      <c r="B799" t="s">
        <v>463</v>
      </c>
      <c r="C799" t="s">
        <v>126</v>
      </c>
      <c r="D799" t="s">
        <v>127</v>
      </c>
      <c r="E799" s="2">
        <v>4</v>
      </c>
      <c r="F799" t="s">
        <v>457</v>
      </c>
      <c r="G799">
        <v>0</v>
      </c>
      <c r="H799">
        <v>0</v>
      </c>
      <c r="I799">
        <v>5.125</v>
      </c>
    </row>
    <row r="800" spans="1:9" x14ac:dyDescent="0.25">
      <c r="A800">
        <v>2000260098</v>
      </c>
      <c r="B800" t="s">
        <v>464</v>
      </c>
      <c r="C800" t="s">
        <v>130</v>
      </c>
      <c r="D800" t="s">
        <v>131</v>
      </c>
      <c r="E800" s="2">
        <v>3.8</v>
      </c>
      <c r="F800" t="s">
        <v>457</v>
      </c>
      <c r="G800">
        <v>0</v>
      </c>
      <c r="H800">
        <v>0</v>
      </c>
      <c r="I800">
        <v>4.8105260000000003</v>
      </c>
    </row>
    <row r="801" spans="1:9" x14ac:dyDescent="0.25">
      <c r="A801">
        <v>2000260098</v>
      </c>
      <c r="B801" t="s">
        <v>464</v>
      </c>
      <c r="C801" t="s">
        <v>126</v>
      </c>
      <c r="D801" t="s">
        <v>127</v>
      </c>
      <c r="E801" s="2">
        <v>1</v>
      </c>
      <c r="F801" t="s">
        <v>457</v>
      </c>
      <c r="G801">
        <v>0</v>
      </c>
      <c r="H801">
        <v>0</v>
      </c>
      <c r="I801">
        <v>4.8099999999999996</v>
      </c>
    </row>
    <row r="802" spans="1:9" x14ac:dyDescent="0.25">
      <c r="A802">
        <v>2000260099</v>
      </c>
      <c r="B802" t="s">
        <v>465</v>
      </c>
      <c r="C802" t="s">
        <v>130</v>
      </c>
      <c r="D802" t="s">
        <v>131</v>
      </c>
      <c r="E802" s="2">
        <v>0.5</v>
      </c>
      <c r="F802" t="s">
        <v>457</v>
      </c>
      <c r="G802" s="2">
        <v>0</v>
      </c>
      <c r="H802">
        <v>0</v>
      </c>
      <c r="I802">
        <v>5</v>
      </c>
    </row>
    <row r="803" spans="1:9" x14ac:dyDescent="0.25">
      <c r="A803">
        <v>2000260099</v>
      </c>
      <c r="B803" t="s">
        <v>465</v>
      </c>
      <c r="C803" t="s">
        <v>126</v>
      </c>
      <c r="D803" t="s">
        <v>127</v>
      </c>
      <c r="E803" s="2">
        <v>6</v>
      </c>
      <c r="F803" t="s">
        <v>457</v>
      </c>
      <c r="G803" s="2">
        <v>0</v>
      </c>
      <c r="H803">
        <v>0</v>
      </c>
      <c r="I803">
        <v>4.9966670000000004</v>
      </c>
    </row>
    <row r="804" spans="1:9" x14ac:dyDescent="0.25">
      <c r="A804">
        <v>2000260100</v>
      </c>
      <c r="B804" t="s">
        <v>466</v>
      </c>
      <c r="C804" t="s">
        <v>130</v>
      </c>
      <c r="D804" t="s">
        <v>131</v>
      </c>
      <c r="E804" s="2">
        <v>24</v>
      </c>
      <c r="F804" t="s">
        <v>457</v>
      </c>
      <c r="G804">
        <v>0</v>
      </c>
      <c r="H804">
        <v>0</v>
      </c>
      <c r="I804">
        <v>5.125</v>
      </c>
    </row>
    <row r="805" spans="1:9" x14ac:dyDescent="0.25">
      <c r="A805">
        <v>2000260100</v>
      </c>
      <c r="B805" t="s">
        <v>466</v>
      </c>
      <c r="C805" t="s">
        <v>126</v>
      </c>
      <c r="D805" t="s">
        <v>127</v>
      </c>
      <c r="E805" s="2">
        <v>4</v>
      </c>
      <c r="F805" t="s">
        <v>457</v>
      </c>
      <c r="G805">
        <v>0</v>
      </c>
      <c r="H805">
        <v>0</v>
      </c>
      <c r="I805">
        <v>5.125</v>
      </c>
    </row>
    <row r="806" spans="1:9" x14ac:dyDescent="0.25">
      <c r="A806">
        <v>2000260101</v>
      </c>
      <c r="B806" t="s">
        <v>467</v>
      </c>
      <c r="C806" t="s">
        <v>126</v>
      </c>
      <c r="D806" t="s">
        <v>127</v>
      </c>
      <c r="E806" s="2">
        <v>3</v>
      </c>
      <c r="F806" t="s">
        <v>457</v>
      </c>
      <c r="G806">
        <v>0</v>
      </c>
      <c r="H806">
        <v>0</v>
      </c>
      <c r="I806">
        <v>4.9366669999999999</v>
      </c>
    </row>
    <row r="807" spans="1:9" x14ac:dyDescent="0.25">
      <c r="A807">
        <v>2000260102</v>
      </c>
      <c r="B807" t="s">
        <v>468</v>
      </c>
      <c r="C807" t="s">
        <v>126</v>
      </c>
      <c r="D807" t="s">
        <v>127</v>
      </c>
      <c r="E807" s="2">
        <v>41</v>
      </c>
      <c r="F807" t="s">
        <v>457</v>
      </c>
      <c r="G807">
        <v>0</v>
      </c>
      <c r="H807">
        <v>0</v>
      </c>
      <c r="I807">
        <v>5.1070729999999998</v>
      </c>
    </row>
    <row r="808" spans="1:9" x14ac:dyDescent="0.25">
      <c r="A808">
        <v>2000260103</v>
      </c>
      <c r="B808" t="s">
        <v>469</v>
      </c>
      <c r="C808" t="s">
        <v>130</v>
      </c>
      <c r="D808" t="s">
        <v>131</v>
      </c>
      <c r="E808" s="2">
        <v>6.4</v>
      </c>
      <c r="F808" t="s">
        <v>457</v>
      </c>
      <c r="G808" s="2">
        <v>0</v>
      </c>
      <c r="H808">
        <v>0</v>
      </c>
      <c r="I808">
        <v>5.3156249999999998</v>
      </c>
    </row>
    <row r="809" spans="1:9" x14ac:dyDescent="0.25">
      <c r="A809">
        <v>2000260103</v>
      </c>
      <c r="B809" t="s">
        <v>469</v>
      </c>
      <c r="C809" t="s">
        <v>126</v>
      </c>
      <c r="D809" t="s">
        <v>127</v>
      </c>
      <c r="E809" s="2">
        <v>2</v>
      </c>
      <c r="F809" t="s">
        <v>457</v>
      </c>
      <c r="G809">
        <v>0</v>
      </c>
      <c r="H809">
        <v>0</v>
      </c>
      <c r="I809">
        <v>5.3150000000000004</v>
      </c>
    </row>
    <row r="810" spans="1:9" x14ac:dyDescent="0.25">
      <c r="A810">
        <v>2000260105</v>
      </c>
      <c r="B810" t="s">
        <v>470</v>
      </c>
      <c r="C810" t="s">
        <v>126</v>
      </c>
      <c r="D810" t="s">
        <v>127</v>
      </c>
      <c r="E810" s="2">
        <v>3</v>
      </c>
      <c r="F810" t="s">
        <v>457</v>
      </c>
      <c r="G810">
        <v>0</v>
      </c>
      <c r="H810">
        <v>0</v>
      </c>
      <c r="I810">
        <v>5.25</v>
      </c>
    </row>
    <row r="811" spans="1:9" x14ac:dyDescent="0.25">
      <c r="A811">
        <v>2000260106</v>
      </c>
      <c r="B811" t="s">
        <v>471</v>
      </c>
      <c r="C811" t="s">
        <v>130</v>
      </c>
      <c r="D811" t="s">
        <v>131</v>
      </c>
      <c r="E811" s="2">
        <v>2</v>
      </c>
      <c r="F811" t="s">
        <v>457</v>
      </c>
      <c r="G811">
        <v>0</v>
      </c>
      <c r="H811">
        <v>0</v>
      </c>
      <c r="I811">
        <v>5.51</v>
      </c>
    </row>
    <row r="812" spans="1:9" x14ac:dyDescent="0.25">
      <c r="A812">
        <v>2000260106</v>
      </c>
      <c r="B812" t="s">
        <v>471</v>
      </c>
      <c r="C812" t="s">
        <v>126</v>
      </c>
      <c r="D812" t="s">
        <v>127</v>
      </c>
      <c r="E812" s="2">
        <v>1</v>
      </c>
      <c r="F812" t="s">
        <v>457</v>
      </c>
      <c r="G812">
        <v>0</v>
      </c>
      <c r="H812">
        <v>0</v>
      </c>
      <c r="I812">
        <v>5.51</v>
      </c>
    </row>
    <row r="813" spans="1:9" x14ac:dyDescent="0.25">
      <c r="A813" s="1">
        <v>2000260108</v>
      </c>
      <c r="B813" s="1" t="s">
        <v>472</v>
      </c>
      <c r="C813" s="1" t="s">
        <v>126</v>
      </c>
      <c r="D813" s="1" t="s">
        <v>127</v>
      </c>
      <c r="E813" s="1">
        <v>1.4</v>
      </c>
      <c r="F813" s="1" t="s">
        <v>457</v>
      </c>
      <c r="G813" s="3">
        <v>0</v>
      </c>
      <c r="H813" s="1">
        <v>0</v>
      </c>
      <c r="I813" s="1">
        <v>5.7857139999999996</v>
      </c>
    </row>
    <row r="814" spans="1:9" x14ac:dyDescent="0.25">
      <c r="A814" s="1">
        <v>2000260109</v>
      </c>
      <c r="B814" s="1" t="s">
        <v>473</v>
      </c>
      <c r="C814" s="1" t="s">
        <v>130</v>
      </c>
      <c r="D814" s="1" t="s">
        <v>131</v>
      </c>
      <c r="E814" s="1">
        <v>4</v>
      </c>
      <c r="F814" s="1" t="s">
        <v>457</v>
      </c>
      <c r="G814" s="1">
        <v>0</v>
      </c>
      <c r="H814" s="1">
        <v>0</v>
      </c>
      <c r="I814" s="1">
        <v>5.1950000000000003</v>
      </c>
    </row>
    <row r="815" spans="1:9" x14ac:dyDescent="0.25">
      <c r="A815" s="1">
        <v>2000260110</v>
      </c>
      <c r="B815" s="1" t="s">
        <v>474</v>
      </c>
      <c r="C815" s="1" t="s">
        <v>130</v>
      </c>
      <c r="D815" s="1" t="s">
        <v>131</v>
      </c>
      <c r="E815" s="1">
        <v>7</v>
      </c>
      <c r="F815" s="1" t="s">
        <v>457</v>
      </c>
      <c r="G815" s="1">
        <v>0</v>
      </c>
      <c r="H815" s="1">
        <v>0</v>
      </c>
      <c r="I815" s="1">
        <v>5.19</v>
      </c>
    </row>
    <row r="816" spans="1:9" x14ac:dyDescent="0.25">
      <c r="A816" s="1">
        <v>2000260110</v>
      </c>
      <c r="B816" s="1" t="s">
        <v>474</v>
      </c>
      <c r="C816" s="1" t="s">
        <v>126</v>
      </c>
      <c r="D816" s="1" t="s">
        <v>127</v>
      </c>
      <c r="E816" s="1">
        <v>4</v>
      </c>
      <c r="F816" s="1" t="s">
        <v>457</v>
      </c>
      <c r="G816" s="3">
        <v>0</v>
      </c>
      <c r="H816" s="1">
        <v>0</v>
      </c>
      <c r="I816" s="1">
        <v>5.19</v>
      </c>
    </row>
    <row r="817" spans="1:9" x14ac:dyDescent="0.25">
      <c r="A817" s="1">
        <v>2000260111</v>
      </c>
      <c r="B817" s="1" t="s">
        <v>475</v>
      </c>
      <c r="C817" s="1" t="s">
        <v>130</v>
      </c>
      <c r="D817" s="1" t="s">
        <v>131</v>
      </c>
      <c r="E817" s="3">
        <v>54.6</v>
      </c>
      <c r="F817" s="1" t="s">
        <v>457</v>
      </c>
      <c r="G817" s="1">
        <v>0</v>
      </c>
      <c r="H817" s="1">
        <v>0</v>
      </c>
      <c r="I817" s="1">
        <v>5.0655679999999998</v>
      </c>
    </row>
    <row r="818" spans="1:9" x14ac:dyDescent="0.25">
      <c r="A818" s="1">
        <v>2000260112</v>
      </c>
      <c r="B818" s="1" t="s">
        <v>476</v>
      </c>
      <c r="C818" s="1" t="s">
        <v>130</v>
      </c>
      <c r="D818" s="1" t="s">
        <v>131</v>
      </c>
      <c r="E818" s="3">
        <v>1</v>
      </c>
      <c r="F818" s="1" t="s">
        <v>457</v>
      </c>
      <c r="G818" s="1">
        <v>0</v>
      </c>
      <c r="H818" s="1">
        <v>0</v>
      </c>
      <c r="I818" s="1">
        <v>4.87</v>
      </c>
    </row>
    <row r="819" spans="1:9" x14ac:dyDescent="0.25">
      <c r="A819" s="1">
        <v>2000260112</v>
      </c>
      <c r="B819" s="1" t="s">
        <v>476</v>
      </c>
      <c r="C819" s="1" t="s">
        <v>126</v>
      </c>
      <c r="D819" s="1" t="s">
        <v>127</v>
      </c>
      <c r="E819" s="3">
        <v>2</v>
      </c>
      <c r="F819" s="1" t="s">
        <v>457</v>
      </c>
      <c r="G819" s="1">
        <v>0</v>
      </c>
      <c r="H819" s="1">
        <v>0</v>
      </c>
      <c r="I819" s="1">
        <v>4.87</v>
      </c>
    </row>
    <row r="820" spans="1:9" x14ac:dyDescent="0.25">
      <c r="A820" s="1">
        <v>2000260113</v>
      </c>
      <c r="B820" s="1" t="s">
        <v>477</v>
      </c>
      <c r="C820" s="1" t="s">
        <v>126</v>
      </c>
      <c r="D820" s="1" t="s">
        <v>127</v>
      </c>
      <c r="E820" s="1">
        <v>2.2000000000000002</v>
      </c>
      <c r="F820" s="1" t="s">
        <v>457</v>
      </c>
      <c r="G820" s="1">
        <v>0</v>
      </c>
      <c r="H820" s="1">
        <v>0</v>
      </c>
      <c r="I820" s="1">
        <v>7.8272729999999999</v>
      </c>
    </row>
    <row r="821" spans="1:9" x14ac:dyDescent="0.25">
      <c r="A821" s="1">
        <v>2000260114</v>
      </c>
      <c r="B821" s="1" t="s">
        <v>478</v>
      </c>
      <c r="C821" s="1" t="s">
        <v>126</v>
      </c>
      <c r="D821" s="1" t="s">
        <v>127</v>
      </c>
      <c r="E821" s="1">
        <v>2.9</v>
      </c>
      <c r="F821" s="1" t="s">
        <v>457</v>
      </c>
      <c r="G821" s="1">
        <v>0</v>
      </c>
      <c r="H821" s="1">
        <v>0</v>
      </c>
      <c r="I821" s="1">
        <v>7.765517</v>
      </c>
    </row>
    <row r="822" spans="1:9" x14ac:dyDescent="0.25">
      <c r="A822" s="1">
        <v>2000260115</v>
      </c>
      <c r="B822" s="1" t="s">
        <v>479</v>
      </c>
      <c r="C822" s="1" t="s">
        <v>126</v>
      </c>
      <c r="D822" s="1" t="s">
        <v>127</v>
      </c>
      <c r="E822" s="3">
        <v>1</v>
      </c>
      <c r="F822" s="1" t="s">
        <v>457</v>
      </c>
      <c r="G822" s="1">
        <v>0</v>
      </c>
      <c r="H822" s="1">
        <v>0</v>
      </c>
      <c r="I822" s="1">
        <v>7.8</v>
      </c>
    </row>
    <row r="823" spans="1:9" x14ac:dyDescent="0.25">
      <c r="A823" s="1">
        <v>2000260116</v>
      </c>
      <c r="B823" s="1" t="s">
        <v>480</v>
      </c>
      <c r="C823" s="1" t="s">
        <v>126</v>
      </c>
      <c r="D823" s="1" t="s">
        <v>127</v>
      </c>
      <c r="E823" s="1">
        <v>4.5</v>
      </c>
      <c r="F823" s="1" t="s">
        <v>457</v>
      </c>
      <c r="G823" s="1">
        <v>0</v>
      </c>
      <c r="H823" s="1">
        <v>0</v>
      </c>
      <c r="I823" s="1">
        <v>7.7288889999999997</v>
      </c>
    </row>
    <row r="824" spans="1:9" x14ac:dyDescent="0.25">
      <c r="A824" s="1">
        <v>2000260117</v>
      </c>
      <c r="B824" s="1" t="s">
        <v>481</v>
      </c>
      <c r="C824" s="1" t="s">
        <v>130</v>
      </c>
      <c r="D824" s="1" t="s">
        <v>131</v>
      </c>
      <c r="E824" s="1">
        <v>1</v>
      </c>
      <c r="F824" s="1" t="s">
        <v>457</v>
      </c>
      <c r="G824" s="1">
        <v>0</v>
      </c>
      <c r="H824" s="1">
        <v>0</v>
      </c>
      <c r="I824" s="1">
        <v>7.85</v>
      </c>
    </row>
    <row r="825" spans="1:9" x14ac:dyDescent="0.25">
      <c r="A825" s="1">
        <v>2000260117</v>
      </c>
      <c r="B825" s="1" t="s">
        <v>481</v>
      </c>
      <c r="C825" s="1" t="s">
        <v>126</v>
      </c>
      <c r="D825" s="1" t="s">
        <v>127</v>
      </c>
      <c r="E825" s="3">
        <v>1</v>
      </c>
      <c r="F825" s="1" t="s">
        <v>457</v>
      </c>
      <c r="G825" s="1">
        <v>0</v>
      </c>
      <c r="H825" s="1">
        <v>0</v>
      </c>
      <c r="I825" s="1">
        <v>7.85</v>
      </c>
    </row>
    <row r="826" spans="1:9" x14ac:dyDescent="0.25">
      <c r="A826" s="1">
        <v>2000260119</v>
      </c>
      <c r="B826" s="1" t="s">
        <v>482</v>
      </c>
      <c r="C826" s="1" t="s">
        <v>126</v>
      </c>
      <c r="D826" s="1" t="s">
        <v>127</v>
      </c>
      <c r="E826" s="1">
        <v>1.5</v>
      </c>
      <c r="F826" s="1" t="s">
        <v>457</v>
      </c>
      <c r="G826" s="1">
        <v>0</v>
      </c>
      <c r="H826" s="1">
        <v>0</v>
      </c>
      <c r="I826" s="1">
        <v>7.773333</v>
      </c>
    </row>
    <row r="827" spans="1:9" x14ac:dyDescent="0.25">
      <c r="A827" s="1">
        <v>2000260122</v>
      </c>
      <c r="B827" s="1" t="s">
        <v>484</v>
      </c>
      <c r="C827" s="1" t="s">
        <v>130</v>
      </c>
      <c r="D827" s="1" t="s">
        <v>131</v>
      </c>
      <c r="E827" s="1">
        <v>95.9</v>
      </c>
      <c r="F827" s="1" t="s">
        <v>457</v>
      </c>
      <c r="G827" s="1">
        <v>0</v>
      </c>
      <c r="H827" s="1">
        <v>0</v>
      </c>
      <c r="I827" s="1">
        <v>10.298749000000001</v>
      </c>
    </row>
    <row r="828" spans="1:9" x14ac:dyDescent="0.25">
      <c r="A828" s="1">
        <v>2000260124</v>
      </c>
      <c r="B828" s="1" t="s">
        <v>486</v>
      </c>
      <c r="C828" s="1" t="s">
        <v>130</v>
      </c>
      <c r="D828" s="1" t="s">
        <v>131</v>
      </c>
      <c r="E828" s="3">
        <v>4</v>
      </c>
      <c r="F828" s="1" t="s">
        <v>457</v>
      </c>
      <c r="G828" s="1">
        <v>0</v>
      </c>
      <c r="H828" s="1">
        <v>0</v>
      </c>
      <c r="I828" s="1">
        <v>10.2125</v>
      </c>
    </row>
    <row r="829" spans="1:9" x14ac:dyDescent="0.25">
      <c r="A829">
        <v>2000260125</v>
      </c>
      <c r="B829" t="s">
        <v>487</v>
      </c>
      <c r="C829" t="s">
        <v>130</v>
      </c>
      <c r="D829" t="s">
        <v>131</v>
      </c>
      <c r="E829" s="2">
        <v>87.7</v>
      </c>
      <c r="F829" t="s">
        <v>457</v>
      </c>
      <c r="G829">
        <v>0</v>
      </c>
      <c r="H829">
        <v>0</v>
      </c>
      <c r="I829">
        <v>10.330901000000001</v>
      </c>
    </row>
    <row r="830" spans="1:9" x14ac:dyDescent="0.25">
      <c r="A830">
        <v>2000260125</v>
      </c>
      <c r="B830" t="s">
        <v>487</v>
      </c>
      <c r="C830" t="s">
        <v>126</v>
      </c>
      <c r="D830" t="s">
        <v>127</v>
      </c>
      <c r="E830" s="2">
        <v>1</v>
      </c>
      <c r="F830" t="s">
        <v>457</v>
      </c>
      <c r="G830">
        <v>0</v>
      </c>
      <c r="H830">
        <v>0</v>
      </c>
      <c r="I830">
        <v>10.33</v>
      </c>
    </row>
    <row r="831" spans="1:9" x14ac:dyDescent="0.25">
      <c r="A831">
        <v>2000260126</v>
      </c>
      <c r="B831" t="s">
        <v>488</v>
      </c>
      <c r="C831" t="s">
        <v>130</v>
      </c>
      <c r="D831" t="s">
        <v>131</v>
      </c>
      <c r="E831" s="2">
        <v>23</v>
      </c>
      <c r="F831" t="s">
        <v>457</v>
      </c>
      <c r="G831">
        <v>0</v>
      </c>
      <c r="H831">
        <v>0</v>
      </c>
      <c r="I831">
        <v>10.277391</v>
      </c>
    </row>
    <row r="832" spans="1:9" x14ac:dyDescent="0.25">
      <c r="A832">
        <v>2000260127</v>
      </c>
      <c r="B832" t="s">
        <v>489</v>
      </c>
      <c r="C832" t="s">
        <v>130</v>
      </c>
      <c r="D832" t="s">
        <v>131</v>
      </c>
      <c r="E832" s="2">
        <v>113</v>
      </c>
      <c r="F832" t="s">
        <v>457</v>
      </c>
      <c r="G832">
        <v>0</v>
      </c>
      <c r="H832">
        <v>0</v>
      </c>
      <c r="I832">
        <v>10.39</v>
      </c>
    </row>
    <row r="833" spans="1:9" x14ac:dyDescent="0.25">
      <c r="A833">
        <v>2000260140</v>
      </c>
      <c r="B833" t="s">
        <v>490</v>
      </c>
      <c r="C833" t="s">
        <v>130</v>
      </c>
      <c r="D833" t="s">
        <v>131</v>
      </c>
      <c r="E833" s="2">
        <v>3</v>
      </c>
      <c r="F833" t="s">
        <v>491</v>
      </c>
      <c r="G833">
        <v>0</v>
      </c>
      <c r="H833">
        <v>0</v>
      </c>
      <c r="I833">
        <v>9.91</v>
      </c>
    </row>
    <row r="834" spans="1:9" x14ac:dyDescent="0.25">
      <c r="A834">
        <v>2000260141</v>
      </c>
      <c r="B834" t="s">
        <v>492</v>
      </c>
      <c r="C834" t="s">
        <v>130</v>
      </c>
      <c r="D834" t="s">
        <v>131</v>
      </c>
      <c r="E834" s="2">
        <v>6</v>
      </c>
      <c r="F834" t="s">
        <v>491</v>
      </c>
      <c r="G834">
        <v>0</v>
      </c>
      <c r="H834">
        <v>0</v>
      </c>
      <c r="I834">
        <v>8.7216670000000001</v>
      </c>
    </row>
    <row r="835" spans="1:9" x14ac:dyDescent="0.25">
      <c r="A835">
        <v>2000260144</v>
      </c>
      <c r="B835" t="s">
        <v>493</v>
      </c>
      <c r="C835" t="s">
        <v>130</v>
      </c>
      <c r="D835" t="s">
        <v>131</v>
      </c>
      <c r="E835" s="2">
        <v>6</v>
      </c>
      <c r="F835" t="s">
        <v>491</v>
      </c>
      <c r="G835">
        <v>0</v>
      </c>
      <c r="H835">
        <v>0</v>
      </c>
      <c r="I835">
        <v>10.73</v>
      </c>
    </row>
    <row r="836" spans="1:9" x14ac:dyDescent="0.25">
      <c r="A836">
        <v>2000260146</v>
      </c>
      <c r="B836" t="s">
        <v>494</v>
      </c>
      <c r="C836" t="s">
        <v>130</v>
      </c>
      <c r="D836" t="s">
        <v>131</v>
      </c>
      <c r="E836" s="2">
        <v>50</v>
      </c>
      <c r="F836" t="s">
        <v>491</v>
      </c>
      <c r="G836">
        <v>0</v>
      </c>
      <c r="H836">
        <v>0</v>
      </c>
      <c r="I836">
        <v>9.0427999999999997</v>
      </c>
    </row>
    <row r="837" spans="1:9" x14ac:dyDescent="0.25">
      <c r="A837">
        <v>2000260149</v>
      </c>
      <c r="B837" t="s">
        <v>495</v>
      </c>
      <c r="C837" t="s">
        <v>130</v>
      </c>
      <c r="D837" t="s">
        <v>131</v>
      </c>
      <c r="E837" s="2">
        <v>2</v>
      </c>
      <c r="F837" t="s">
        <v>491</v>
      </c>
      <c r="G837">
        <v>0</v>
      </c>
      <c r="H837">
        <v>0</v>
      </c>
      <c r="I837">
        <v>8.43</v>
      </c>
    </row>
    <row r="838" spans="1:9" x14ac:dyDescent="0.25">
      <c r="A838" s="1">
        <v>2000260152</v>
      </c>
      <c r="B838" s="1" t="s">
        <v>496</v>
      </c>
      <c r="C838" s="1" t="s">
        <v>130</v>
      </c>
      <c r="D838" s="1" t="s">
        <v>131</v>
      </c>
      <c r="E838" s="3">
        <v>4</v>
      </c>
      <c r="F838" s="1" t="s">
        <v>491</v>
      </c>
      <c r="G838" s="1">
        <v>0</v>
      </c>
      <c r="H838" s="1">
        <v>0</v>
      </c>
      <c r="I838" s="1">
        <v>11.682499999999999</v>
      </c>
    </row>
    <row r="839" spans="1:9" x14ac:dyDescent="0.25">
      <c r="A839">
        <v>2000260153</v>
      </c>
      <c r="B839" t="s">
        <v>497</v>
      </c>
      <c r="C839" t="s">
        <v>130</v>
      </c>
      <c r="D839" t="s">
        <v>131</v>
      </c>
      <c r="E839" s="2">
        <v>1</v>
      </c>
      <c r="F839" t="s">
        <v>491</v>
      </c>
      <c r="G839">
        <v>0</v>
      </c>
      <c r="H839">
        <v>0</v>
      </c>
      <c r="I839">
        <v>8.43</v>
      </c>
    </row>
    <row r="840" spans="1:9" x14ac:dyDescent="0.25">
      <c r="A840">
        <v>2000260154</v>
      </c>
      <c r="B840" t="s">
        <v>498</v>
      </c>
      <c r="C840" t="s">
        <v>130</v>
      </c>
      <c r="D840" t="s">
        <v>131</v>
      </c>
      <c r="E840" s="2">
        <v>3</v>
      </c>
      <c r="F840" t="s">
        <v>491</v>
      </c>
      <c r="G840">
        <v>0</v>
      </c>
      <c r="H840">
        <v>0</v>
      </c>
      <c r="I840">
        <v>9.5133329999999994</v>
      </c>
    </row>
    <row r="841" spans="1:9" x14ac:dyDescent="0.25">
      <c r="A841">
        <v>2000260159</v>
      </c>
      <c r="B841" t="s">
        <v>499</v>
      </c>
      <c r="C841" t="s">
        <v>130</v>
      </c>
      <c r="D841" t="s">
        <v>131</v>
      </c>
      <c r="E841" s="2">
        <v>6</v>
      </c>
      <c r="F841" t="s">
        <v>500</v>
      </c>
      <c r="G841" s="2">
        <v>0</v>
      </c>
      <c r="H841" s="2">
        <v>0</v>
      </c>
      <c r="I841">
        <v>1.381667</v>
      </c>
    </row>
    <row r="842" spans="1:9" x14ac:dyDescent="0.25">
      <c r="A842">
        <v>2000260167</v>
      </c>
      <c r="B842" t="s">
        <v>501</v>
      </c>
      <c r="C842" t="s">
        <v>130</v>
      </c>
      <c r="D842" t="s">
        <v>131</v>
      </c>
      <c r="E842" s="2">
        <v>2</v>
      </c>
      <c r="F842" t="s">
        <v>457</v>
      </c>
      <c r="G842">
        <v>0</v>
      </c>
      <c r="H842">
        <v>0</v>
      </c>
      <c r="I842">
        <v>11.484999999999999</v>
      </c>
    </row>
    <row r="843" spans="1:9" x14ac:dyDescent="0.25">
      <c r="A843">
        <v>2000260167</v>
      </c>
      <c r="B843" t="s">
        <v>501</v>
      </c>
      <c r="C843" t="s">
        <v>126</v>
      </c>
      <c r="D843" t="s">
        <v>127</v>
      </c>
      <c r="E843" s="2">
        <v>3</v>
      </c>
      <c r="F843" t="s">
        <v>457</v>
      </c>
      <c r="G843">
        <v>0</v>
      </c>
      <c r="H843">
        <v>0</v>
      </c>
      <c r="I843">
        <v>11.483333</v>
      </c>
    </row>
    <row r="844" spans="1:9" x14ac:dyDescent="0.25">
      <c r="A844">
        <v>2000260168</v>
      </c>
      <c r="B844" t="s">
        <v>502</v>
      </c>
      <c r="C844" t="s">
        <v>126</v>
      </c>
      <c r="D844" t="s">
        <v>127</v>
      </c>
      <c r="E844" s="2">
        <v>1</v>
      </c>
      <c r="F844" t="s">
        <v>457</v>
      </c>
      <c r="G844">
        <v>0</v>
      </c>
      <c r="H844">
        <v>0</v>
      </c>
      <c r="I844">
        <v>11.57</v>
      </c>
    </row>
    <row r="845" spans="1:9" x14ac:dyDescent="0.25">
      <c r="A845">
        <v>2000260169</v>
      </c>
      <c r="B845" t="s">
        <v>503</v>
      </c>
      <c r="C845" t="s">
        <v>130</v>
      </c>
      <c r="D845" t="s">
        <v>131</v>
      </c>
      <c r="E845" s="2">
        <v>4</v>
      </c>
      <c r="F845" t="s">
        <v>457</v>
      </c>
      <c r="G845">
        <v>0</v>
      </c>
      <c r="H845">
        <v>0</v>
      </c>
      <c r="I845">
        <v>11.567500000000001</v>
      </c>
    </row>
    <row r="846" spans="1:9" x14ac:dyDescent="0.25">
      <c r="A846">
        <v>2000260169</v>
      </c>
      <c r="B846" t="s">
        <v>503</v>
      </c>
      <c r="C846" t="s">
        <v>126</v>
      </c>
      <c r="D846" t="s">
        <v>127</v>
      </c>
      <c r="E846" s="2">
        <v>1</v>
      </c>
      <c r="F846" t="s">
        <v>457</v>
      </c>
      <c r="G846" s="2">
        <v>0</v>
      </c>
      <c r="H846">
        <v>0</v>
      </c>
      <c r="I846">
        <v>11.57</v>
      </c>
    </row>
    <row r="847" spans="1:9" x14ac:dyDescent="0.25">
      <c r="A847">
        <v>2000260171</v>
      </c>
      <c r="B847" t="s">
        <v>504</v>
      </c>
      <c r="C847" t="s">
        <v>130</v>
      </c>
      <c r="D847" t="s">
        <v>131</v>
      </c>
      <c r="E847" s="2">
        <v>5</v>
      </c>
      <c r="F847" t="s">
        <v>457</v>
      </c>
      <c r="G847">
        <v>0</v>
      </c>
      <c r="H847" s="2">
        <v>0</v>
      </c>
      <c r="I847">
        <v>11.571999999999999</v>
      </c>
    </row>
    <row r="848" spans="1:9" x14ac:dyDescent="0.25">
      <c r="A848">
        <v>2000260172</v>
      </c>
      <c r="B848" t="s">
        <v>505</v>
      </c>
      <c r="C848" t="s">
        <v>126</v>
      </c>
      <c r="D848" t="s">
        <v>127</v>
      </c>
      <c r="E848" s="2">
        <v>2</v>
      </c>
      <c r="F848" t="s">
        <v>457</v>
      </c>
      <c r="G848">
        <v>0</v>
      </c>
      <c r="H848">
        <v>0</v>
      </c>
      <c r="I848">
        <v>11.574999999999999</v>
      </c>
    </row>
    <row r="849" spans="1:9" x14ac:dyDescent="0.25">
      <c r="A849">
        <v>2000260173</v>
      </c>
      <c r="B849" t="s">
        <v>506</v>
      </c>
      <c r="C849" t="s">
        <v>130</v>
      </c>
      <c r="D849" t="s">
        <v>131</v>
      </c>
      <c r="E849" s="2">
        <v>4</v>
      </c>
      <c r="F849" t="s">
        <v>457</v>
      </c>
      <c r="G849">
        <v>0</v>
      </c>
      <c r="H849">
        <v>0</v>
      </c>
      <c r="I849">
        <v>8.7050000000000001</v>
      </c>
    </row>
    <row r="850" spans="1:9" x14ac:dyDescent="0.25">
      <c r="A850">
        <v>2000260175</v>
      </c>
      <c r="B850" t="s">
        <v>507</v>
      </c>
      <c r="C850" t="s">
        <v>130</v>
      </c>
      <c r="D850" t="s">
        <v>131</v>
      </c>
      <c r="E850" s="2">
        <v>3.3</v>
      </c>
      <c r="F850" t="s">
        <v>457</v>
      </c>
      <c r="G850" s="2">
        <v>0</v>
      </c>
      <c r="H850" s="2">
        <v>0</v>
      </c>
      <c r="I850">
        <v>8.8030299999999997</v>
      </c>
    </row>
    <row r="851" spans="1:9" x14ac:dyDescent="0.25">
      <c r="A851">
        <v>2000260175</v>
      </c>
      <c r="B851" t="s">
        <v>507</v>
      </c>
      <c r="C851" t="s">
        <v>126</v>
      </c>
      <c r="D851" t="s">
        <v>127</v>
      </c>
      <c r="E851" s="2">
        <v>1</v>
      </c>
      <c r="F851" t="s">
        <v>457</v>
      </c>
      <c r="G851">
        <v>0</v>
      </c>
      <c r="H851" s="2">
        <v>0</v>
      </c>
      <c r="I851">
        <v>8.8000000000000007</v>
      </c>
    </row>
    <row r="852" spans="1:9" x14ac:dyDescent="0.25">
      <c r="A852">
        <v>2000260176</v>
      </c>
      <c r="B852" t="s">
        <v>508</v>
      </c>
      <c r="C852" t="s">
        <v>130</v>
      </c>
      <c r="D852" t="s">
        <v>131</v>
      </c>
      <c r="E852" s="2">
        <v>3.6</v>
      </c>
      <c r="F852" t="s">
        <v>457</v>
      </c>
      <c r="G852">
        <v>0</v>
      </c>
      <c r="H852">
        <v>0</v>
      </c>
      <c r="I852">
        <v>10.324999999999999</v>
      </c>
    </row>
    <row r="853" spans="1:9" x14ac:dyDescent="0.25">
      <c r="A853">
        <v>2000260176</v>
      </c>
      <c r="B853" t="s">
        <v>508</v>
      </c>
      <c r="C853" t="s">
        <v>126</v>
      </c>
      <c r="D853" t="s">
        <v>127</v>
      </c>
      <c r="E853" s="2">
        <v>3</v>
      </c>
      <c r="F853" t="s">
        <v>457</v>
      </c>
      <c r="G853">
        <v>0</v>
      </c>
      <c r="H853">
        <v>0</v>
      </c>
      <c r="I853">
        <v>10.323333</v>
      </c>
    </row>
    <row r="854" spans="1:9" x14ac:dyDescent="0.25">
      <c r="A854">
        <v>2000260180</v>
      </c>
      <c r="B854" t="s">
        <v>510</v>
      </c>
      <c r="C854" t="s">
        <v>130</v>
      </c>
      <c r="D854" t="s">
        <v>131</v>
      </c>
      <c r="E854" s="2">
        <v>1</v>
      </c>
      <c r="F854" t="s">
        <v>509</v>
      </c>
      <c r="G854">
        <v>0</v>
      </c>
      <c r="H854">
        <v>0</v>
      </c>
      <c r="I854">
        <v>16.739999999999998</v>
      </c>
    </row>
    <row r="855" spans="1:9" x14ac:dyDescent="0.25">
      <c r="A855">
        <v>2000260181</v>
      </c>
      <c r="B855" t="s">
        <v>511</v>
      </c>
      <c r="C855" t="s">
        <v>130</v>
      </c>
      <c r="D855" t="s">
        <v>131</v>
      </c>
      <c r="E855" s="2">
        <v>6</v>
      </c>
      <c r="F855" t="s">
        <v>509</v>
      </c>
      <c r="G855">
        <v>0</v>
      </c>
      <c r="H855">
        <v>0</v>
      </c>
      <c r="I855">
        <v>16.578333000000001</v>
      </c>
    </row>
    <row r="856" spans="1:9" x14ac:dyDescent="0.25">
      <c r="A856">
        <v>2000280068</v>
      </c>
      <c r="B856" t="s">
        <v>512</v>
      </c>
      <c r="C856" t="s">
        <v>126</v>
      </c>
      <c r="D856" t="s">
        <v>127</v>
      </c>
      <c r="E856" s="2">
        <v>1454</v>
      </c>
      <c r="F856" t="s">
        <v>36</v>
      </c>
      <c r="G856">
        <v>0</v>
      </c>
      <c r="H856">
        <v>0</v>
      </c>
      <c r="I856">
        <v>5.1351100000000001</v>
      </c>
    </row>
    <row r="857" spans="1:9" x14ac:dyDescent="0.25">
      <c r="A857">
        <v>2000280069</v>
      </c>
      <c r="B857" t="s">
        <v>513</v>
      </c>
      <c r="C857" t="s">
        <v>130</v>
      </c>
      <c r="D857" t="s">
        <v>131</v>
      </c>
      <c r="E857" s="2">
        <v>5</v>
      </c>
      <c r="F857" t="s">
        <v>36</v>
      </c>
      <c r="G857">
        <v>0</v>
      </c>
      <c r="H857">
        <v>0</v>
      </c>
      <c r="I857">
        <v>5.0860000000000003</v>
      </c>
    </row>
    <row r="858" spans="1:9" x14ac:dyDescent="0.25">
      <c r="A858">
        <v>2000280069</v>
      </c>
      <c r="B858" t="s">
        <v>513</v>
      </c>
      <c r="C858" t="s">
        <v>126</v>
      </c>
      <c r="D858" t="s">
        <v>127</v>
      </c>
      <c r="E858" s="2">
        <v>530</v>
      </c>
      <c r="F858" t="s">
        <v>36</v>
      </c>
      <c r="G858">
        <v>0</v>
      </c>
      <c r="H858">
        <v>0</v>
      </c>
      <c r="I858">
        <v>5.0867740000000001</v>
      </c>
    </row>
    <row r="859" spans="1:9" x14ac:dyDescent="0.25">
      <c r="A859">
        <v>2000300033</v>
      </c>
      <c r="B859" t="s">
        <v>514</v>
      </c>
      <c r="C859" t="s">
        <v>130</v>
      </c>
      <c r="D859" t="s">
        <v>131</v>
      </c>
      <c r="E859" s="2">
        <v>79</v>
      </c>
      <c r="F859" t="s">
        <v>36</v>
      </c>
      <c r="G859">
        <v>0</v>
      </c>
      <c r="H859">
        <v>0</v>
      </c>
      <c r="I859">
        <v>2.65</v>
      </c>
    </row>
    <row r="860" spans="1:9" x14ac:dyDescent="0.25">
      <c r="A860">
        <v>2000300099</v>
      </c>
      <c r="B860" t="s">
        <v>515</v>
      </c>
      <c r="C860" t="s">
        <v>130</v>
      </c>
      <c r="D860" t="s">
        <v>131</v>
      </c>
      <c r="E860" s="2">
        <v>0</v>
      </c>
      <c r="F860" t="s">
        <v>36</v>
      </c>
      <c r="G860" s="2">
        <v>1909</v>
      </c>
      <c r="H860">
        <v>60</v>
      </c>
      <c r="I860">
        <v>1.623051</v>
      </c>
    </row>
    <row r="861" spans="1:9" x14ac:dyDescent="0.25">
      <c r="A861">
        <v>2000300099</v>
      </c>
      <c r="B861" t="s">
        <v>515</v>
      </c>
      <c r="C861" t="s">
        <v>137</v>
      </c>
      <c r="D861" t="s">
        <v>138</v>
      </c>
      <c r="E861" s="2">
        <v>0</v>
      </c>
      <c r="F861" t="s">
        <v>36</v>
      </c>
      <c r="G861">
        <v>0</v>
      </c>
      <c r="H861">
        <v>311</v>
      </c>
      <c r="I861">
        <v>1.623146</v>
      </c>
    </row>
    <row r="862" spans="1:9" x14ac:dyDescent="0.25">
      <c r="A862">
        <v>2000300099</v>
      </c>
      <c r="B862" t="s">
        <v>515</v>
      </c>
      <c r="C862" t="s">
        <v>139</v>
      </c>
      <c r="D862" t="s">
        <v>140</v>
      </c>
      <c r="E862" s="2">
        <v>0</v>
      </c>
      <c r="F862" t="s">
        <v>36</v>
      </c>
      <c r="G862">
        <v>60</v>
      </c>
      <c r="H862">
        <v>0</v>
      </c>
      <c r="I862">
        <v>1.6231390000000001</v>
      </c>
    </row>
    <row r="863" spans="1:9" x14ac:dyDescent="0.25">
      <c r="A863">
        <v>2000300100</v>
      </c>
      <c r="B863" t="s">
        <v>516</v>
      </c>
      <c r="C863" t="s">
        <v>130</v>
      </c>
      <c r="D863" t="s">
        <v>131</v>
      </c>
      <c r="E863" s="2">
        <v>4033</v>
      </c>
      <c r="F863" t="s">
        <v>36</v>
      </c>
      <c r="G863" s="2">
        <v>2451</v>
      </c>
      <c r="H863" s="2">
        <v>8488</v>
      </c>
      <c r="I863">
        <v>1.8020579999999999</v>
      </c>
    </row>
    <row r="864" spans="1:9" x14ac:dyDescent="0.25">
      <c r="A864">
        <v>2000300100</v>
      </c>
      <c r="B864" t="s">
        <v>516</v>
      </c>
      <c r="C864" t="s">
        <v>139</v>
      </c>
      <c r="D864" t="s">
        <v>140</v>
      </c>
      <c r="E864" s="2">
        <v>0</v>
      </c>
      <c r="F864" t="s">
        <v>36</v>
      </c>
      <c r="G864" s="2">
        <v>8344</v>
      </c>
      <c r="H864" s="2">
        <v>2234</v>
      </c>
      <c r="I864">
        <v>1.8016669999999999</v>
      </c>
    </row>
    <row r="865" spans="1:9" x14ac:dyDescent="0.25">
      <c r="A865">
        <v>2000300101</v>
      </c>
      <c r="B865" t="s">
        <v>517</v>
      </c>
      <c r="C865" t="s">
        <v>130</v>
      </c>
      <c r="D865" t="s">
        <v>131</v>
      </c>
      <c r="E865" s="2">
        <v>4847</v>
      </c>
      <c r="F865" t="s">
        <v>36</v>
      </c>
      <c r="G865">
        <v>0</v>
      </c>
      <c r="H865" s="2">
        <v>20456</v>
      </c>
      <c r="I865">
        <v>1.1105780000000001</v>
      </c>
    </row>
    <row r="866" spans="1:9" x14ac:dyDescent="0.25">
      <c r="A866">
        <v>2000300101</v>
      </c>
      <c r="B866" t="s">
        <v>517</v>
      </c>
      <c r="C866" t="s">
        <v>137</v>
      </c>
      <c r="D866" t="s">
        <v>138</v>
      </c>
      <c r="E866" s="2">
        <v>12</v>
      </c>
      <c r="F866" t="s">
        <v>36</v>
      </c>
      <c r="G866">
        <v>0</v>
      </c>
      <c r="H866">
        <v>0</v>
      </c>
      <c r="I866">
        <v>1.110833</v>
      </c>
    </row>
    <row r="867" spans="1:9" x14ac:dyDescent="0.25">
      <c r="A867">
        <v>2000300101</v>
      </c>
      <c r="B867" t="s">
        <v>517</v>
      </c>
      <c r="C867" t="s">
        <v>151</v>
      </c>
      <c r="D867" t="s">
        <v>152</v>
      </c>
      <c r="E867" s="2">
        <v>60</v>
      </c>
      <c r="F867" t="s">
        <v>36</v>
      </c>
      <c r="G867">
        <v>0</v>
      </c>
      <c r="H867">
        <v>0</v>
      </c>
      <c r="I867">
        <v>1.1105</v>
      </c>
    </row>
    <row r="868" spans="1:9" x14ac:dyDescent="0.25">
      <c r="A868">
        <v>2000300101</v>
      </c>
      <c r="B868" t="s">
        <v>517</v>
      </c>
      <c r="C868" t="s">
        <v>139</v>
      </c>
      <c r="D868" t="s">
        <v>140</v>
      </c>
      <c r="E868" s="2">
        <v>61</v>
      </c>
      <c r="F868" t="s">
        <v>36</v>
      </c>
      <c r="G868" s="2">
        <v>20456</v>
      </c>
      <c r="H868">
        <v>0</v>
      </c>
      <c r="I868">
        <v>1.1106560000000001</v>
      </c>
    </row>
    <row r="869" spans="1:9" x14ac:dyDescent="0.25">
      <c r="A869">
        <v>2000300102</v>
      </c>
      <c r="B869" t="s">
        <v>518</v>
      </c>
      <c r="C869" t="s">
        <v>130</v>
      </c>
      <c r="D869" t="s">
        <v>131</v>
      </c>
      <c r="E869" s="2">
        <v>3247</v>
      </c>
      <c r="F869" t="s">
        <v>36</v>
      </c>
      <c r="G869">
        <v>180</v>
      </c>
      <c r="H869" s="2">
        <v>12024</v>
      </c>
      <c r="I869">
        <v>0.45203900000000002</v>
      </c>
    </row>
    <row r="870" spans="1:9" x14ac:dyDescent="0.25">
      <c r="A870">
        <v>2000300102</v>
      </c>
      <c r="B870" t="s">
        <v>518</v>
      </c>
      <c r="C870" t="s">
        <v>258</v>
      </c>
      <c r="D870" t="s">
        <v>259</v>
      </c>
      <c r="E870" s="2">
        <v>420</v>
      </c>
      <c r="F870" t="s">
        <v>36</v>
      </c>
      <c r="G870">
        <v>0</v>
      </c>
      <c r="H870">
        <v>240</v>
      </c>
      <c r="I870">
        <v>0.45204800000000001</v>
      </c>
    </row>
    <row r="871" spans="1:9" x14ac:dyDescent="0.25">
      <c r="A871">
        <v>2000300102</v>
      </c>
      <c r="B871" t="s">
        <v>518</v>
      </c>
      <c r="C871" t="s">
        <v>137</v>
      </c>
      <c r="D871" t="s">
        <v>138</v>
      </c>
      <c r="E871" s="2">
        <v>60</v>
      </c>
      <c r="F871" t="s">
        <v>36</v>
      </c>
      <c r="G871">
        <v>0</v>
      </c>
      <c r="H871">
        <v>180</v>
      </c>
      <c r="I871">
        <v>0.45200000000000001</v>
      </c>
    </row>
    <row r="872" spans="1:9" x14ac:dyDescent="0.25">
      <c r="A872">
        <v>2000300102</v>
      </c>
      <c r="B872" t="s">
        <v>518</v>
      </c>
      <c r="C872" t="s">
        <v>139</v>
      </c>
      <c r="D872" t="s">
        <v>140</v>
      </c>
      <c r="E872" s="2">
        <v>11952</v>
      </c>
      <c r="F872" t="s">
        <v>36</v>
      </c>
      <c r="G872" s="2">
        <v>12024</v>
      </c>
      <c r="H872">
        <v>0</v>
      </c>
      <c r="I872">
        <v>0.45203599999999999</v>
      </c>
    </row>
    <row r="873" spans="1:9" x14ac:dyDescent="0.25">
      <c r="A873">
        <v>2000300103</v>
      </c>
      <c r="B873" t="s">
        <v>519</v>
      </c>
      <c r="C873" t="s">
        <v>130</v>
      </c>
      <c r="D873" t="s">
        <v>131</v>
      </c>
      <c r="E873" s="2">
        <v>2694</v>
      </c>
      <c r="F873" t="s">
        <v>36</v>
      </c>
      <c r="G873">
        <v>51</v>
      </c>
      <c r="H873">
        <v>0</v>
      </c>
      <c r="I873">
        <v>0.121919</v>
      </c>
    </row>
    <row r="874" spans="1:9" x14ac:dyDescent="0.25">
      <c r="A874">
        <v>2000300103</v>
      </c>
      <c r="B874" t="s">
        <v>519</v>
      </c>
      <c r="C874" t="s">
        <v>137</v>
      </c>
      <c r="D874" t="s">
        <v>138</v>
      </c>
      <c r="E874" s="2">
        <v>0</v>
      </c>
      <c r="F874" t="s">
        <v>36</v>
      </c>
      <c r="G874">
        <v>0</v>
      </c>
      <c r="H874">
        <v>50</v>
      </c>
      <c r="I874">
        <v>0.121687</v>
      </c>
    </row>
    <row r="875" spans="1:9" x14ac:dyDescent="0.25">
      <c r="A875">
        <v>2000300104</v>
      </c>
      <c r="B875" t="s">
        <v>520</v>
      </c>
      <c r="C875" t="s">
        <v>199</v>
      </c>
      <c r="D875" t="s">
        <v>200</v>
      </c>
      <c r="E875" s="2">
        <v>24</v>
      </c>
      <c r="F875" t="s">
        <v>36</v>
      </c>
      <c r="G875">
        <v>0</v>
      </c>
      <c r="H875">
        <v>0</v>
      </c>
      <c r="I875">
        <v>0.182917</v>
      </c>
    </row>
    <row r="876" spans="1:9" x14ac:dyDescent="0.25">
      <c r="A876">
        <v>2000300104</v>
      </c>
      <c r="B876" t="s">
        <v>520</v>
      </c>
      <c r="C876" t="s">
        <v>130</v>
      </c>
      <c r="D876" t="s">
        <v>131</v>
      </c>
      <c r="E876" s="2">
        <v>23059</v>
      </c>
      <c r="F876" t="s">
        <v>36</v>
      </c>
      <c r="G876">
        <v>0</v>
      </c>
      <c r="H876" s="2">
        <v>0</v>
      </c>
      <c r="I876">
        <v>0.18301000000000001</v>
      </c>
    </row>
    <row r="877" spans="1:9" x14ac:dyDescent="0.25">
      <c r="A877">
        <v>2000300104</v>
      </c>
      <c r="B877" t="s">
        <v>520</v>
      </c>
      <c r="C877" t="s">
        <v>137</v>
      </c>
      <c r="D877" t="s">
        <v>138</v>
      </c>
      <c r="E877" s="2">
        <v>48</v>
      </c>
      <c r="F877" t="s">
        <v>36</v>
      </c>
      <c r="G877">
        <v>0</v>
      </c>
      <c r="H877">
        <v>0</v>
      </c>
      <c r="I877">
        <v>0.183333</v>
      </c>
    </row>
    <row r="878" spans="1:9" x14ac:dyDescent="0.25">
      <c r="A878">
        <v>2000300105</v>
      </c>
      <c r="B878" t="s">
        <v>521</v>
      </c>
      <c r="C878" t="s">
        <v>130</v>
      </c>
      <c r="D878" t="s">
        <v>131</v>
      </c>
      <c r="E878" s="2">
        <v>0</v>
      </c>
      <c r="F878" t="s">
        <v>36</v>
      </c>
      <c r="G878" s="2">
        <v>1260</v>
      </c>
      <c r="H878">
        <v>0</v>
      </c>
      <c r="I878">
        <v>2.0333329999999998</v>
      </c>
    </row>
    <row r="879" spans="1:9" x14ac:dyDescent="0.25">
      <c r="A879">
        <v>2000300105</v>
      </c>
      <c r="B879" t="s">
        <v>521</v>
      </c>
      <c r="C879" t="s">
        <v>137</v>
      </c>
      <c r="D879" t="s">
        <v>138</v>
      </c>
      <c r="E879" s="2">
        <v>0</v>
      </c>
      <c r="F879" t="s">
        <v>36</v>
      </c>
      <c r="G879">
        <v>0</v>
      </c>
      <c r="H879">
        <v>3</v>
      </c>
      <c r="I879">
        <v>2.5612499999999998</v>
      </c>
    </row>
    <row r="880" spans="1:9" x14ac:dyDescent="0.25">
      <c r="A880">
        <v>2000300106</v>
      </c>
      <c r="B880" t="s">
        <v>522</v>
      </c>
      <c r="C880" t="s">
        <v>199</v>
      </c>
      <c r="D880" t="s">
        <v>200</v>
      </c>
      <c r="E880" s="2">
        <v>5</v>
      </c>
      <c r="F880" t="s">
        <v>36</v>
      </c>
      <c r="G880">
        <v>0</v>
      </c>
      <c r="H880">
        <v>5</v>
      </c>
      <c r="I880">
        <v>0.68200000000000005</v>
      </c>
    </row>
    <row r="881" spans="1:9" x14ac:dyDescent="0.25">
      <c r="A881">
        <v>2000300106</v>
      </c>
      <c r="B881" t="s">
        <v>522</v>
      </c>
      <c r="C881" t="s">
        <v>130</v>
      </c>
      <c r="D881" t="s">
        <v>131</v>
      </c>
      <c r="E881" s="2">
        <v>674</v>
      </c>
      <c r="F881" t="s">
        <v>36</v>
      </c>
      <c r="G881">
        <v>11</v>
      </c>
      <c r="H881">
        <v>0</v>
      </c>
      <c r="I881">
        <v>0.68146899999999999</v>
      </c>
    </row>
    <row r="882" spans="1:9" x14ac:dyDescent="0.25">
      <c r="A882">
        <v>2000300106</v>
      </c>
      <c r="B882" t="s">
        <v>522</v>
      </c>
      <c r="C882" t="s">
        <v>523</v>
      </c>
      <c r="D882" t="s">
        <v>524</v>
      </c>
      <c r="E882" s="2">
        <v>36</v>
      </c>
      <c r="F882" t="s">
        <v>36</v>
      </c>
      <c r="G882">
        <v>0</v>
      </c>
      <c r="H882">
        <v>0</v>
      </c>
      <c r="I882">
        <v>0.68138900000000002</v>
      </c>
    </row>
    <row r="883" spans="1:9" x14ac:dyDescent="0.25">
      <c r="A883">
        <v>2000300106</v>
      </c>
      <c r="B883" t="s">
        <v>522</v>
      </c>
      <c r="C883" t="s">
        <v>137</v>
      </c>
      <c r="D883" t="s">
        <v>138</v>
      </c>
      <c r="E883" s="2">
        <v>0</v>
      </c>
      <c r="F883" t="s">
        <v>36</v>
      </c>
      <c r="G883">
        <v>0</v>
      </c>
      <c r="H883">
        <v>6</v>
      </c>
      <c r="I883">
        <v>0.68435999999999997</v>
      </c>
    </row>
    <row r="884" spans="1:9" x14ac:dyDescent="0.25">
      <c r="A884">
        <v>2000300106</v>
      </c>
      <c r="B884" t="s">
        <v>522</v>
      </c>
      <c r="C884" t="s">
        <v>151</v>
      </c>
      <c r="D884" t="s">
        <v>152</v>
      </c>
      <c r="E884" s="2">
        <v>1134</v>
      </c>
      <c r="F884" t="s">
        <v>36</v>
      </c>
      <c r="G884">
        <v>0</v>
      </c>
      <c r="H884">
        <v>0</v>
      </c>
      <c r="I884">
        <v>0.68145500000000003</v>
      </c>
    </row>
    <row r="885" spans="1:9" x14ac:dyDescent="0.25">
      <c r="A885">
        <v>2000300106</v>
      </c>
      <c r="B885" t="s">
        <v>522</v>
      </c>
      <c r="C885" t="s">
        <v>144</v>
      </c>
      <c r="D885" t="s">
        <v>145</v>
      </c>
      <c r="E885" s="2">
        <v>50</v>
      </c>
      <c r="F885" t="s">
        <v>36</v>
      </c>
      <c r="G885">
        <v>0</v>
      </c>
      <c r="H885">
        <v>0</v>
      </c>
      <c r="I885">
        <v>0.68159999999999998</v>
      </c>
    </row>
    <row r="886" spans="1:9" x14ac:dyDescent="0.25">
      <c r="A886">
        <v>2000310001</v>
      </c>
      <c r="B886" t="s">
        <v>525</v>
      </c>
      <c r="C886" t="s">
        <v>126</v>
      </c>
      <c r="D886" t="s">
        <v>127</v>
      </c>
      <c r="E886" s="2">
        <v>28</v>
      </c>
      <c r="F886" t="s">
        <v>36</v>
      </c>
      <c r="G886">
        <v>0</v>
      </c>
      <c r="H886">
        <v>0</v>
      </c>
      <c r="I886">
        <v>10.932857</v>
      </c>
    </row>
    <row r="887" spans="1:9" x14ac:dyDescent="0.25">
      <c r="A887">
        <v>2000310002</v>
      </c>
      <c r="B887" t="s">
        <v>526</v>
      </c>
      <c r="C887" t="s">
        <v>126</v>
      </c>
      <c r="D887" t="s">
        <v>127</v>
      </c>
      <c r="E887" s="2">
        <v>48</v>
      </c>
      <c r="F887" t="s">
        <v>36</v>
      </c>
      <c r="G887">
        <v>0</v>
      </c>
      <c r="H887" s="2">
        <v>0</v>
      </c>
      <c r="I887">
        <v>19.768332999999998</v>
      </c>
    </row>
    <row r="888" spans="1:9" x14ac:dyDescent="0.25">
      <c r="A888">
        <v>2000310004</v>
      </c>
      <c r="B888" t="s">
        <v>527</v>
      </c>
      <c r="C888" t="s">
        <v>126</v>
      </c>
      <c r="D888" t="s">
        <v>127</v>
      </c>
      <c r="E888" s="2">
        <v>34</v>
      </c>
      <c r="F888" t="s">
        <v>36</v>
      </c>
      <c r="G888">
        <v>0</v>
      </c>
      <c r="H888">
        <v>0</v>
      </c>
      <c r="I888">
        <v>16.100294000000002</v>
      </c>
    </row>
    <row r="889" spans="1:9" x14ac:dyDescent="0.25">
      <c r="A889">
        <v>2000310010</v>
      </c>
      <c r="B889" t="s">
        <v>528</v>
      </c>
      <c r="C889" t="s">
        <v>126</v>
      </c>
      <c r="D889" t="s">
        <v>127</v>
      </c>
      <c r="E889" s="2">
        <v>63</v>
      </c>
      <c r="F889" t="s">
        <v>36</v>
      </c>
      <c r="G889">
        <v>0</v>
      </c>
      <c r="H889">
        <v>0</v>
      </c>
      <c r="I889">
        <v>19.53</v>
      </c>
    </row>
    <row r="890" spans="1:9" x14ac:dyDescent="0.25">
      <c r="A890">
        <v>2000310012</v>
      </c>
      <c r="B890" t="s">
        <v>529</v>
      </c>
      <c r="C890" t="s">
        <v>126</v>
      </c>
      <c r="D890" t="s">
        <v>127</v>
      </c>
      <c r="E890" s="2">
        <v>96</v>
      </c>
      <c r="F890" t="s">
        <v>36</v>
      </c>
      <c r="G890">
        <v>0</v>
      </c>
      <c r="H890">
        <v>0</v>
      </c>
      <c r="I890">
        <v>11.842396000000001</v>
      </c>
    </row>
    <row r="891" spans="1:9" x14ac:dyDescent="0.25">
      <c r="A891">
        <v>2000310015</v>
      </c>
      <c r="B891" t="s">
        <v>530</v>
      </c>
      <c r="C891" t="s">
        <v>126</v>
      </c>
      <c r="D891" t="s">
        <v>127</v>
      </c>
      <c r="E891" s="2">
        <v>13</v>
      </c>
      <c r="F891" t="s">
        <v>36</v>
      </c>
      <c r="G891" s="2">
        <v>0</v>
      </c>
      <c r="H891">
        <v>0</v>
      </c>
      <c r="I891">
        <v>23.267692</v>
      </c>
    </row>
    <row r="892" spans="1:9" x14ac:dyDescent="0.25">
      <c r="A892">
        <v>2000310043</v>
      </c>
      <c r="B892" t="s">
        <v>531</v>
      </c>
      <c r="C892" t="s">
        <v>130</v>
      </c>
      <c r="D892" t="s">
        <v>131</v>
      </c>
      <c r="E892" s="2">
        <v>3874</v>
      </c>
      <c r="F892" t="s">
        <v>36</v>
      </c>
      <c r="G892">
        <v>6</v>
      </c>
      <c r="H892" s="2">
        <v>0</v>
      </c>
      <c r="I892">
        <v>7.4063660000000002</v>
      </c>
    </row>
    <row r="893" spans="1:9" x14ac:dyDescent="0.25">
      <c r="A893">
        <v>2000310043</v>
      </c>
      <c r="B893" t="s">
        <v>531</v>
      </c>
      <c r="C893" t="s">
        <v>137</v>
      </c>
      <c r="D893" t="s">
        <v>138</v>
      </c>
      <c r="E893" s="2">
        <v>24</v>
      </c>
      <c r="F893" t="s">
        <v>36</v>
      </c>
      <c r="G893">
        <v>0</v>
      </c>
      <c r="H893">
        <v>0</v>
      </c>
      <c r="I893">
        <v>7.5716669999999997</v>
      </c>
    </row>
    <row r="894" spans="1:9" x14ac:dyDescent="0.25">
      <c r="A894">
        <v>2000310043</v>
      </c>
      <c r="B894" t="s">
        <v>531</v>
      </c>
      <c r="C894" t="s">
        <v>151</v>
      </c>
      <c r="D894" t="s">
        <v>152</v>
      </c>
      <c r="E894" s="2">
        <v>12</v>
      </c>
      <c r="F894" t="s">
        <v>36</v>
      </c>
      <c r="G894">
        <v>0</v>
      </c>
      <c r="H894">
        <v>0</v>
      </c>
      <c r="I894">
        <v>7.4066669999999997</v>
      </c>
    </row>
    <row r="895" spans="1:9" x14ac:dyDescent="0.25">
      <c r="A895">
        <v>2000340012</v>
      </c>
      <c r="B895" t="s">
        <v>532</v>
      </c>
      <c r="C895" t="s">
        <v>126</v>
      </c>
      <c r="D895" t="s">
        <v>127</v>
      </c>
      <c r="E895" s="2">
        <v>13</v>
      </c>
      <c r="F895" t="s">
        <v>36</v>
      </c>
      <c r="G895">
        <v>0</v>
      </c>
      <c r="H895">
        <v>0</v>
      </c>
      <c r="I895">
        <v>3.7415379999999998</v>
      </c>
    </row>
    <row r="896" spans="1:9" x14ac:dyDescent="0.25">
      <c r="A896">
        <v>2000340021</v>
      </c>
      <c r="B896" t="s">
        <v>533</v>
      </c>
      <c r="C896" t="s">
        <v>126</v>
      </c>
      <c r="D896" t="s">
        <v>127</v>
      </c>
      <c r="E896" s="2">
        <v>3</v>
      </c>
      <c r="F896" t="s">
        <v>36</v>
      </c>
      <c r="G896" s="2">
        <v>0</v>
      </c>
      <c r="H896">
        <v>0</v>
      </c>
      <c r="I896">
        <v>1.48</v>
      </c>
    </row>
    <row r="897" spans="1:9" x14ac:dyDescent="0.25">
      <c r="A897">
        <v>2000340047</v>
      </c>
      <c r="B897" t="s">
        <v>534</v>
      </c>
      <c r="C897" t="s">
        <v>130</v>
      </c>
      <c r="D897" t="s">
        <v>131</v>
      </c>
      <c r="E897" s="2">
        <v>20</v>
      </c>
      <c r="F897" t="s">
        <v>36</v>
      </c>
      <c r="G897">
        <v>357</v>
      </c>
      <c r="H897">
        <v>0</v>
      </c>
      <c r="I897">
        <v>1.718</v>
      </c>
    </row>
    <row r="898" spans="1:9" x14ac:dyDescent="0.25">
      <c r="A898">
        <v>2000340047</v>
      </c>
      <c r="B898" t="s">
        <v>534</v>
      </c>
      <c r="C898" t="s">
        <v>126</v>
      </c>
      <c r="D898" t="s">
        <v>127</v>
      </c>
      <c r="E898" s="2">
        <v>1</v>
      </c>
      <c r="F898" t="s">
        <v>36</v>
      </c>
      <c r="G898">
        <v>0</v>
      </c>
      <c r="H898">
        <v>0</v>
      </c>
      <c r="I898">
        <v>1.97</v>
      </c>
    </row>
    <row r="899" spans="1:9" x14ac:dyDescent="0.25">
      <c r="A899">
        <v>2000340048</v>
      </c>
      <c r="B899" t="s">
        <v>535</v>
      </c>
      <c r="C899" t="s">
        <v>130</v>
      </c>
      <c r="D899" t="s">
        <v>131</v>
      </c>
      <c r="E899" s="2">
        <v>73</v>
      </c>
      <c r="F899" t="s">
        <v>36</v>
      </c>
      <c r="G899" s="2">
        <v>0</v>
      </c>
      <c r="H899">
        <v>0</v>
      </c>
      <c r="I899">
        <v>1.7179450000000001</v>
      </c>
    </row>
    <row r="900" spans="1:9" x14ac:dyDescent="0.25">
      <c r="A900">
        <v>2000340049</v>
      </c>
      <c r="B900" t="s">
        <v>536</v>
      </c>
      <c r="C900" t="s">
        <v>130</v>
      </c>
      <c r="D900" t="s">
        <v>131</v>
      </c>
      <c r="E900" s="2">
        <v>6</v>
      </c>
      <c r="F900" t="s">
        <v>36</v>
      </c>
      <c r="G900">
        <v>372</v>
      </c>
      <c r="H900">
        <v>0</v>
      </c>
      <c r="I900">
        <v>2.7216670000000001</v>
      </c>
    </row>
    <row r="901" spans="1:9" x14ac:dyDescent="0.25">
      <c r="A901">
        <v>2000340049</v>
      </c>
      <c r="B901" t="s">
        <v>536</v>
      </c>
      <c r="C901" t="s">
        <v>126</v>
      </c>
      <c r="D901" t="s">
        <v>127</v>
      </c>
      <c r="E901" s="2">
        <v>19</v>
      </c>
      <c r="F901" t="s">
        <v>36</v>
      </c>
      <c r="G901">
        <v>0</v>
      </c>
      <c r="H901">
        <v>0</v>
      </c>
      <c r="I901">
        <v>3.195789</v>
      </c>
    </row>
    <row r="902" spans="1:9" x14ac:dyDescent="0.25">
      <c r="A902">
        <v>2000340050</v>
      </c>
      <c r="B902" t="s">
        <v>537</v>
      </c>
      <c r="C902" t="s">
        <v>130</v>
      </c>
      <c r="D902" t="s">
        <v>131</v>
      </c>
      <c r="E902" s="2">
        <v>457</v>
      </c>
      <c r="F902" t="s">
        <v>36</v>
      </c>
      <c r="G902">
        <v>3</v>
      </c>
      <c r="H902">
        <v>0</v>
      </c>
      <c r="I902">
        <v>2.8712469999999999</v>
      </c>
    </row>
    <row r="903" spans="1:9" x14ac:dyDescent="0.25">
      <c r="A903">
        <v>2000340050</v>
      </c>
      <c r="B903" t="s">
        <v>537</v>
      </c>
      <c r="C903" t="s">
        <v>126</v>
      </c>
      <c r="D903" t="s">
        <v>127</v>
      </c>
      <c r="E903" s="2">
        <v>1</v>
      </c>
      <c r="F903" t="s">
        <v>36</v>
      </c>
      <c r="G903" s="2">
        <v>0</v>
      </c>
      <c r="H903">
        <v>0</v>
      </c>
      <c r="I903">
        <v>3.22</v>
      </c>
    </row>
    <row r="904" spans="1:9" x14ac:dyDescent="0.25">
      <c r="A904">
        <v>2000340051</v>
      </c>
      <c r="B904" t="s">
        <v>538</v>
      </c>
      <c r="C904" t="s">
        <v>130</v>
      </c>
      <c r="D904" t="s">
        <v>131</v>
      </c>
      <c r="E904" s="2">
        <v>1389</v>
      </c>
      <c r="F904" t="s">
        <v>36</v>
      </c>
      <c r="G904">
        <v>12</v>
      </c>
      <c r="H904">
        <v>1</v>
      </c>
      <c r="I904">
        <v>3.9114610000000001</v>
      </c>
    </row>
    <row r="905" spans="1:9" x14ac:dyDescent="0.25">
      <c r="A905">
        <v>2000340051</v>
      </c>
      <c r="B905" t="s">
        <v>538</v>
      </c>
      <c r="C905" t="s">
        <v>126</v>
      </c>
      <c r="D905" t="s">
        <v>127</v>
      </c>
      <c r="E905" s="2">
        <v>6</v>
      </c>
      <c r="F905" t="s">
        <v>36</v>
      </c>
      <c r="G905" s="2">
        <v>0</v>
      </c>
      <c r="H905" s="2">
        <v>0</v>
      </c>
      <c r="I905">
        <v>4.6666670000000003</v>
      </c>
    </row>
    <row r="906" spans="1:9" x14ac:dyDescent="0.25">
      <c r="A906">
        <v>2000340051</v>
      </c>
      <c r="B906" t="s">
        <v>538</v>
      </c>
      <c r="C906" t="s">
        <v>139</v>
      </c>
      <c r="D906" t="s">
        <v>140</v>
      </c>
      <c r="E906" s="2">
        <v>1</v>
      </c>
      <c r="F906" t="s">
        <v>36</v>
      </c>
      <c r="G906">
        <v>1</v>
      </c>
      <c r="H906" s="2">
        <v>0</v>
      </c>
      <c r="I906">
        <v>3.91</v>
      </c>
    </row>
    <row r="907" spans="1:9" x14ac:dyDescent="0.25">
      <c r="A907">
        <v>2000350004</v>
      </c>
      <c r="B907" t="s">
        <v>539</v>
      </c>
      <c r="C907" t="s">
        <v>329</v>
      </c>
      <c r="D907" t="s">
        <v>330</v>
      </c>
      <c r="E907" s="2">
        <v>298</v>
      </c>
      <c r="F907" t="s">
        <v>36</v>
      </c>
      <c r="G907">
        <v>0</v>
      </c>
      <c r="H907">
        <v>0</v>
      </c>
      <c r="I907">
        <v>17.422315000000001</v>
      </c>
    </row>
    <row r="908" spans="1:9" x14ac:dyDescent="0.25">
      <c r="A908">
        <v>2000350006</v>
      </c>
      <c r="B908" t="s">
        <v>540</v>
      </c>
      <c r="C908" t="s">
        <v>126</v>
      </c>
      <c r="D908" t="s">
        <v>127</v>
      </c>
      <c r="E908" s="2">
        <v>11</v>
      </c>
      <c r="F908" t="s">
        <v>36</v>
      </c>
      <c r="G908" s="2">
        <v>0</v>
      </c>
      <c r="H908">
        <v>0</v>
      </c>
      <c r="I908">
        <v>2.3372730000000002</v>
      </c>
    </row>
    <row r="909" spans="1:9" x14ac:dyDescent="0.25">
      <c r="A909">
        <v>2000350007</v>
      </c>
      <c r="B909" t="s">
        <v>541</v>
      </c>
      <c r="C909" t="s">
        <v>126</v>
      </c>
      <c r="D909" t="s">
        <v>127</v>
      </c>
      <c r="E909" s="2">
        <v>248</v>
      </c>
      <c r="F909" t="s">
        <v>36</v>
      </c>
      <c r="G909" s="2">
        <v>0</v>
      </c>
      <c r="H909">
        <v>0</v>
      </c>
      <c r="I909">
        <v>2.3229839999999999</v>
      </c>
    </row>
    <row r="910" spans="1:9" x14ac:dyDescent="0.25">
      <c r="A910">
        <v>2000350009</v>
      </c>
      <c r="B910" t="s">
        <v>542</v>
      </c>
      <c r="C910" t="s">
        <v>126</v>
      </c>
      <c r="D910" t="s">
        <v>127</v>
      </c>
      <c r="E910" s="2">
        <v>3</v>
      </c>
      <c r="F910" t="s">
        <v>36</v>
      </c>
      <c r="G910" s="2">
        <v>0</v>
      </c>
      <c r="H910">
        <v>0</v>
      </c>
      <c r="I910">
        <v>2.2833329999999998</v>
      </c>
    </row>
    <row r="911" spans="1:9" x14ac:dyDescent="0.25">
      <c r="A911">
        <v>2000350011</v>
      </c>
      <c r="B911" t="s">
        <v>543</v>
      </c>
      <c r="C911" t="s">
        <v>126</v>
      </c>
      <c r="D911" t="s">
        <v>127</v>
      </c>
      <c r="E911" s="2">
        <v>215</v>
      </c>
      <c r="F911" t="s">
        <v>36</v>
      </c>
      <c r="G911">
        <v>0</v>
      </c>
      <c r="H911" s="2">
        <v>0</v>
      </c>
      <c r="I911">
        <v>4.0282330000000002</v>
      </c>
    </row>
    <row r="912" spans="1:9" x14ac:dyDescent="0.25">
      <c r="A912">
        <v>2000350015</v>
      </c>
      <c r="B912" t="s">
        <v>544</v>
      </c>
      <c r="C912" t="s">
        <v>126</v>
      </c>
      <c r="D912" t="s">
        <v>127</v>
      </c>
      <c r="E912" s="2">
        <v>9</v>
      </c>
      <c r="F912" t="s">
        <v>36</v>
      </c>
      <c r="G912" s="2">
        <v>0</v>
      </c>
      <c r="H912">
        <v>0</v>
      </c>
      <c r="I912">
        <v>2.4322219999999999</v>
      </c>
    </row>
    <row r="913" spans="1:9" x14ac:dyDescent="0.25">
      <c r="A913">
        <v>2000350017</v>
      </c>
      <c r="B913" t="s">
        <v>545</v>
      </c>
      <c r="C913" t="s">
        <v>126</v>
      </c>
      <c r="D913" t="s">
        <v>127</v>
      </c>
      <c r="E913" s="2">
        <v>1</v>
      </c>
      <c r="F913" t="s">
        <v>36</v>
      </c>
      <c r="G913">
        <v>0</v>
      </c>
      <c r="H913">
        <v>0</v>
      </c>
      <c r="I913">
        <v>3.09</v>
      </c>
    </row>
    <row r="914" spans="1:9" x14ac:dyDescent="0.25">
      <c r="A914">
        <v>2000350025</v>
      </c>
      <c r="B914" t="s">
        <v>546</v>
      </c>
      <c r="C914" t="s">
        <v>126</v>
      </c>
      <c r="D914" t="s">
        <v>127</v>
      </c>
      <c r="E914" s="2">
        <v>1</v>
      </c>
      <c r="F914" t="s">
        <v>36</v>
      </c>
      <c r="G914">
        <v>0</v>
      </c>
      <c r="H914">
        <v>0</v>
      </c>
      <c r="I914">
        <v>11.97</v>
      </c>
    </row>
    <row r="915" spans="1:9" x14ac:dyDescent="0.25">
      <c r="A915">
        <v>2000350025</v>
      </c>
      <c r="B915" t="s">
        <v>546</v>
      </c>
      <c r="C915" t="s">
        <v>157</v>
      </c>
      <c r="D915" t="s">
        <v>158</v>
      </c>
      <c r="E915" s="2">
        <v>3</v>
      </c>
      <c r="F915" t="s">
        <v>36</v>
      </c>
      <c r="G915">
        <v>0</v>
      </c>
      <c r="H915">
        <v>0</v>
      </c>
      <c r="I915">
        <v>11.973333</v>
      </c>
    </row>
    <row r="916" spans="1:9" x14ac:dyDescent="0.25">
      <c r="A916">
        <v>2000350031</v>
      </c>
      <c r="B916" t="s">
        <v>547</v>
      </c>
      <c r="C916" t="s">
        <v>126</v>
      </c>
      <c r="D916" t="s">
        <v>127</v>
      </c>
      <c r="E916" s="2">
        <v>113</v>
      </c>
      <c r="F916" t="s">
        <v>36</v>
      </c>
      <c r="G916">
        <v>0</v>
      </c>
      <c r="H916">
        <v>0</v>
      </c>
      <c r="I916">
        <v>3.6324779999999999</v>
      </c>
    </row>
    <row r="917" spans="1:9" x14ac:dyDescent="0.25">
      <c r="A917">
        <v>2000350033</v>
      </c>
      <c r="B917" t="s">
        <v>548</v>
      </c>
      <c r="C917" t="s">
        <v>126</v>
      </c>
      <c r="D917" t="s">
        <v>127</v>
      </c>
      <c r="E917" s="2">
        <v>13</v>
      </c>
      <c r="F917" t="s">
        <v>36</v>
      </c>
      <c r="G917" s="2">
        <v>0</v>
      </c>
      <c r="H917">
        <v>0</v>
      </c>
      <c r="I917">
        <v>7.4330769999999999</v>
      </c>
    </row>
    <row r="918" spans="1:9" x14ac:dyDescent="0.25">
      <c r="A918">
        <v>2000350035</v>
      </c>
      <c r="B918" t="s">
        <v>549</v>
      </c>
      <c r="C918" t="s">
        <v>126</v>
      </c>
      <c r="D918" t="s">
        <v>127</v>
      </c>
      <c r="E918" s="2">
        <v>3</v>
      </c>
      <c r="F918" t="s">
        <v>36</v>
      </c>
      <c r="G918">
        <v>0</v>
      </c>
      <c r="H918">
        <v>0</v>
      </c>
      <c r="I918">
        <v>16.093333000000001</v>
      </c>
    </row>
    <row r="919" spans="1:9" x14ac:dyDescent="0.25">
      <c r="A919">
        <v>2000350038</v>
      </c>
      <c r="B919" t="s">
        <v>550</v>
      </c>
      <c r="C919" t="s">
        <v>126</v>
      </c>
      <c r="D919" t="s">
        <v>127</v>
      </c>
      <c r="E919" s="2">
        <v>14</v>
      </c>
      <c r="F919" t="s">
        <v>36</v>
      </c>
      <c r="G919">
        <v>0</v>
      </c>
      <c r="H919">
        <v>0</v>
      </c>
      <c r="I919">
        <v>4.5507140000000001</v>
      </c>
    </row>
    <row r="920" spans="1:9" x14ac:dyDescent="0.25">
      <c r="A920">
        <v>2000350039</v>
      </c>
      <c r="B920" t="s">
        <v>551</v>
      </c>
      <c r="C920" t="s">
        <v>126</v>
      </c>
      <c r="D920" t="s">
        <v>127</v>
      </c>
      <c r="E920" s="2">
        <v>33</v>
      </c>
      <c r="F920" t="s">
        <v>36</v>
      </c>
      <c r="G920" s="2">
        <v>0</v>
      </c>
      <c r="H920">
        <v>0</v>
      </c>
      <c r="I920">
        <v>4.5787880000000003</v>
      </c>
    </row>
    <row r="921" spans="1:9" x14ac:dyDescent="0.25">
      <c r="A921">
        <v>2000350046</v>
      </c>
      <c r="B921" t="s">
        <v>552</v>
      </c>
      <c r="C921" t="s">
        <v>126</v>
      </c>
      <c r="D921" t="s">
        <v>127</v>
      </c>
      <c r="E921" s="2">
        <v>35</v>
      </c>
      <c r="F921" t="s">
        <v>36</v>
      </c>
      <c r="G921">
        <v>0</v>
      </c>
      <c r="H921">
        <v>0</v>
      </c>
      <c r="I921">
        <v>1.046</v>
      </c>
    </row>
    <row r="922" spans="1:9" x14ac:dyDescent="0.25">
      <c r="A922">
        <v>2000350078</v>
      </c>
      <c r="B922" t="s">
        <v>553</v>
      </c>
      <c r="C922" t="s">
        <v>157</v>
      </c>
      <c r="D922" t="s">
        <v>158</v>
      </c>
      <c r="E922" s="2">
        <v>56</v>
      </c>
      <c r="F922" t="s">
        <v>36</v>
      </c>
      <c r="G922" s="2">
        <v>0</v>
      </c>
      <c r="H922" s="2">
        <v>0</v>
      </c>
      <c r="I922">
        <v>1.9294640000000001</v>
      </c>
    </row>
    <row r="923" spans="1:9" x14ac:dyDescent="0.25">
      <c r="A923">
        <v>2000350079</v>
      </c>
      <c r="B923" t="s">
        <v>554</v>
      </c>
      <c r="C923" t="s">
        <v>126</v>
      </c>
      <c r="D923" t="s">
        <v>127</v>
      </c>
      <c r="E923" s="2">
        <v>2</v>
      </c>
      <c r="F923" t="s">
        <v>36</v>
      </c>
      <c r="G923">
        <v>0</v>
      </c>
      <c r="H923">
        <v>0</v>
      </c>
      <c r="I923">
        <v>2.81</v>
      </c>
    </row>
    <row r="924" spans="1:9" x14ac:dyDescent="0.25">
      <c r="A924" s="1">
        <v>2000350080</v>
      </c>
      <c r="B924" s="1" t="s">
        <v>555</v>
      </c>
      <c r="C924" s="1" t="s">
        <v>126</v>
      </c>
      <c r="D924" s="1" t="s">
        <v>127</v>
      </c>
      <c r="E924" s="1">
        <v>1</v>
      </c>
      <c r="F924" s="1" t="s">
        <v>36</v>
      </c>
      <c r="G924" s="1">
        <v>0</v>
      </c>
      <c r="H924" s="1">
        <v>0</v>
      </c>
      <c r="I924" s="1">
        <v>2.75</v>
      </c>
    </row>
    <row r="925" spans="1:9" x14ac:dyDescent="0.25">
      <c r="A925" s="1">
        <v>2000350081</v>
      </c>
      <c r="B925" s="1" t="s">
        <v>556</v>
      </c>
      <c r="C925" s="1" t="s">
        <v>126</v>
      </c>
      <c r="D925" s="1" t="s">
        <v>127</v>
      </c>
      <c r="E925" s="1">
        <v>8</v>
      </c>
      <c r="F925" s="1" t="s">
        <v>36</v>
      </c>
      <c r="G925" s="1">
        <v>0</v>
      </c>
      <c r="H925" s="1">
        <v>0</v>
      </c>
      <c r="I925" s="1">
        <v>23.592500000000001</v>
      </c>
    </row>
    <row r="926" spans="1:9" x14ac:dyDescent="0.25">
      <c r="A926" s="1">
        <v>2000350082</v>
      </c>
      <c r="B926" s="1" t="s">
        <v>557</v>
      </c>
      <c r="C926" s="1" t="s">
        <v>126</v>
      </c>
      <c r="D926" s="1" t="s">
        <v>127</v>
      </c>
      <c r="E926" s="1">
        <v>34</v>
      </c>
      <c r="F926" s="1" t="s">
        <v>36</v>
      </c>
      <c r="G926" s="1">
        <v>0</v>
      </c>
      <c r="H926" s="1">
        <v>0</v>
      </c>
      <c r="I926" s="1">
        <v>28.630882</v>
      </c>
    </row>
    <row r="927" spans="1:9" x14ac:dyDescent="0.25">
      <c r="A927" s="1">
        <v>2000350087</v>
      </c>
      <c r="B927" s="1" t="s">
        <v>558</v>
      </c>
      <c r="C927" s="1" t="s">
        <v>130</v>
      </c>
      <c r="D927" s="1" t="s">
        <v>131</v>
      </c>
      <c r="E927" s="1">
        <v>7</v>
      </c>
      <c r="F927" s="1" t="s">
        <v>36</v>
      </c>
      <c r="G927" s="1">
        <v>90</v>
      </c>
      <c r="H927" s="1">
        <v>1</v>
      </c>
      <c r="I927" s="1">
        <v>1.1985710000000001</v>
      </c>
    </row>
    <row r="928" spans="1:9" x14ac:dyDescent="0.25">
      <c r="A928" s="1">
        <v>2000350087</v>
      </c>
      <c r="B928" s="1" t="s">
        <v>558</v>
      </c>
      <c r="C928" s="1" t="s">
        <v>139</v>
      </c>
      <c r="D928" s="1" t="s">
        <v>140</v>
      </c>
      <c r="E928" s="1">
        <v>1</v>
      </c>
      <c r="F928" s="1" t="s">
        <v>36</v>
      </c>
      <c r="G928" s="1">
        <v>1</v>
      </c>
      <c r="H928" s="1">
        <v>0</v>
      </c>
      <c r="I928" s="1">
        <v>1.2</v>
      </c>
    </row>
    <row r="929" spans="1:9" x14ac:dyDescent="0.25">
      <c r="A929">
        <v>2000350088</v>
      </c>
      <c r="B929" t="s">
        <v>559</v>
      </c>
      <c r="C929" t="s">
        <v>130</v>
      </c>
      <c r="D929" t="s">
        <v>131</v>
      </c>
      <c r="E929" s="2">
        <v>868</v>
      </c>
      <c r="F929" t="s">
        <v>36</v>
      </c>
      <c r="G929" s="2">
        <v>0</v>
      </c>
      <c r="H929">
        <v>0</v>
      </c>
      <c r="I929">
        <v>1.538122</v>
      </c>
    </row>
    <row r="930" spans="1:9" x14ac:dyDescent="0.25">
      <c r="A930" s="1">
        <v>2000350091</v>
      </c>
      <c r="B930" s="1" t="s">
        <v>560</v>
      </c>
      <c r="C930" s="1" t="s">
        <v>130</v>
      </c>
      <c r="D930" s="1" t="s">
        <v>131</v>
      </c>
      <c r="E930" s="1">
        <v>0</v>
      </c>
      <c r="F930" s="1" t="s">
        <v>36</v>
      </c>
      <c r="G930" s="1">
        <v>0</v>
      </c>
      <c r="H930" s="1">
        <v>1</v>
      </c>
      <c r="I930" s="1">
        <v>0</v>
      </c>
    </row>
    <row r="931" spans="1:9" x14ac:dyDescent="0.25">
      <c r="A931">
        <v>2000350091</v>
      </c>
      <c r="B931" t="s">
        <v>560</v>
      </c>
      <c r="C931" t="s">
        <v>139</v>
      </c>
      <c r="D931" t="s">
        <v>140</v>
      </c>
      <c r="E931" s="2">
        <v>1</v>
      </c>
      <c r="F931" t="s">
        <v>36</v>
      </c>
      <c r="G931">
        <v>1</v>
      </c>
      <c r="H931" s="2">
        <v>0</v>
      </c>
      <c r="I931">
        <v>0.31</v>
      </c>
    </row>
    <row r="932" spans="1:9" x14ac:dyDescent="0.25">
      <c r="A932" s="1">
        <v>2000350093</v>
      </c>
      <c r="B932" s="1" t="s">
        <v>561</v>
      </c>
      <c r="C932" s="1" t="s">
        <v>130</v>
      </c>
      <c r="D932" s="1" t="s">
        <v>131</v>
      </c>
      <c r="E932" s="1">
        <v>543</v>
      </c>
      <c r="F932" s="1" t="s">
        <v>36</v>
      </c>
      <c r="G932" s="1">
        <v>0</v>
      </c>
      <c r="H932" s="1">
        <v>0</v>
      </c>
      <c r="I932" s="1">
        <v>2.6981769999999998</v>
      </c>
    </row>
    <row r="933" spans="1:9" x14ac:dyDescent="0.25">
      <c r="A933" s="1">
        <v>2000350093</v>
      </c>
      <c r="B933" s="1" t="s">
        <v>561</v>
      </c>
      <c r="C933" s="1" t="s">
        <v>126</v>
      </c>
      <c r="D933" s="1" t="s">
        <v>127</v>
      </c>
      <c r="E933" s="1">
        <v>1</v>
      </c>
      <c r="F933" s="1" t="s">
        <v>36</v>
      </c>
      <c r="G933" s="1">
        <v>0</v>
      </c>
      <c r="H933" s="1">
        <v>0</v>
      </c>
      <c r="I933" s="1">
        <v>2.79</v>
      </c>
    </row>
    <row r="934" spans="1:9" x14ac:dyDescent="0.25">
      <c r="A934">
        <v>2000350094</v>
      </c>
      <c r="B934" t="s">
        <v>562</v>
      </c>
      <c r="C934" t="s">
        <v>130</v>
      </c>
      <c r="D934" t="s">
        <v>131</v>
      </c>
      <c r="E934" s="2">
        <v>5</v>
      </c>
      <c r="F934" t="s">
        <v>36</v>
      </c>
      <c r="G934">
        <v>322</v>
      </c>
      <c r="H934">
        <v>0</v>
      </c>
      <c r="I934">
        <v>2.4060000000000001</v>
      </c>
    </row>
    <row r="935" spans="1:9" x14ac:dyDescent="0.25">
      <c r="A935">
        <v>2000350095</v>
      </c>
      <c r="B935" t="s">
        <v>563</v>
      </c>
      <c r="C935" t="s">
        <v>130</v>
      </c>
      <c r="D935" t="s">
        <v>131</v>
      </c>
      <c r="E935" s="2">
        <v>3</v>
      </c>
      <c r="F935" t="s">
        <v>36</v>
      </c>
      <c r="G935">
        <v>1</v>
      </c>
      <c r="H935" s="2">
        <v>5807</v>
      </c>
      <c r="I935">
        <v>6.93</v>
      </c>
    </row>
    <row r="936" spans="1:9" x14ac:dyDescent="0.25">
      <c r="A936">
        <v>2000350095</v>
      </c>
      <c r="B936" t="s">
        <v>563</v>
      </c>
      <c r="C936" t="s">
        <v>126</v>
      </c>
      <c r="D936" t="s">
        <v>127</v>
      </c>
      <c r="E936" s="2">
        <v>61</v>
      </c>
      <c r="F936" t="s">
        <v>36</v>
      </c>
      <c r="G936">
        <v>0</v>
      </c>
      <c r="H936">
        <v>0</v>
      </c>
      <c r="I936">
        <v>6.9308199999999998</v>
      </c>
    </row>
    <row r="937" spans="1:9" x14ac:dyDescent="0.25">
      <c r="A937">
        <v>2000350095</v>
      </c>
      <c r="B937" t="s">
        <v>563</v>
      </c>
      <c r="C937" t="s">
        <v>139</v>
      </c>
      <c r="D937" t="s">
        <v>140</v>
      </c>
      <c r="E937" s="2">
        <v>4321</v>
      </c>
      <c r="F937" t="s">
        <v>36</v>
      </c>
      <c r="G937" s="2">
        <v>5807</v>
      </c>
      <c r="H937">
        <v>0</v>
      </c>
      <c r="I937">
        <v>6.9307910000000001</v>
      </c>
    </row>
    <row r="938" spans="1:9" x14ac:dyDescent="0.25">
      <c r="A938">
        <v>2000350096</v>
      </c>
      <c r="B938" t="s">
        <v>564</v>
      </c>
      <c r="C938" t="s">
        <v>130</v>
      </c>
      <c r="D938" t="s">
        <v>131</v>
      </c>
      <c r="E938" s="2">
        <v>0</v>
      </c>
      <c r="F938" t="s">
        <v>36</v>
      </c>
      <c r="G938">
        <v>0</v>
      </c>
      <c r="H938">
        <v>1</v>
      </c>
      <c r="I938">
        <v>0</v>
      </c>
    </row>
    <row r="939" spans="1:9" x14ac:dyDescent="0.25">
      <c r="A939">
        <v>2000350096</v>
      </c>
      <c r="B939" t="s">
        <v>564</v>
      </c>
      <c r="C939" t="s">
        <v>139</v>
      </c>
      <c r="D939" t="s">
        <v>140</v>
      </c>
      <c r="E939" s="2">
        <v>1</v>
      </c>
      <c r="F939" t="s">
        <v>36</v>
      </c>
      <c r="G939">
        <v>1</v>
      </c>
      <c r="H939">
        <v>0</v>
      </c>
      <c r="I939">
        <v>1.31</v>
      </c>
    </row>
    <row r="940" spans="1:9" x14ac:dyDescent="0.25">
      <c r="A940">
        <v>2000350097</v>
      </c>
      <c r="B940" t="s">
        <v>565</v>
      </c>
      <c r="C940" t="s">
        <v>130</v>
      </c>
      <c r="D940" t="s">
        <v>131</v>
      </c>
      <c r="E940" s="2">
        <v>12</v>
      </c>
      <c r="F940" t="s">
        <v>36</v>
      </c>
      <c r="G940">
        <v>0</v>
      </c>
      <c r="H940">
        <v>13</v>
      </c>
      <c r="I940">
        <v>3.9049999999999998</v>
      </c>
    </row>
    <row r="941" spans="1:9" x14ac:dyDescent="0.25">
      <c r="A941">
        <v>2000350097</v>
      </c>
      <c r="B941" t="s">
        <v>565</v>
      </c>
      <c r="C941" t="s">
        <v>139</v>
      </c>
      <c r="D941" t="s">
        <v>140</v>
      </c>
      <c r="E941" s="2">
        <v>13</v>
      </c>
      <c r="F941" t="s">
        <v>36</v>
      </c>
      <c r="G941">
        <v>13</v>
      </c>
      <c r="H941">
        <v>0</v>
      </c>
      <c r="I941">
        <v>3.9046150000000002</v>
      </c>
    </row>
    <row r="942" spans="1:9" x14ac:dyDescent="0.25">
      <c r="A942">
        <v>2000350098</v>
      </c>
      <c r="B942" t="s">
        <v>566</v>
      </c>
      <c r="C942" t="s">
        <v>130</v>
      </c>
      <c r="D942" t="s">
        <v>131</v>
      </c>
      <c r="E942" s="2">
        <v>1486</v>
      </c>
      <c r="F942" t="s">
        <v>36</v>
      </c>
      <c r="G942">
        <v>1</v>
      </c>
      <c r="H942">
        <v>0</v>
      </c>
      <c r="I942">
        <v>2.916588</v>
      </c>
    </row>
    <row r="943" spans="1:9" x14ac:dyDescent="0.25">
      <c r="A943">
        <v>2000350098</v>
      </c>
      <c r="B943" t="s">
        <v>566</v>
      </c>
      <c r="C943" t="s">
        <v>139</v>
      </c>
      <c r="D943" t="s">
        <v>140</v>
      </c>
      <c r="E943" s="2">
        <v>6</v>
      </c>
      <c r="F943" t="s">
        <v>36</v>
      </c>
      <c r="G943">
        <v>192</v>
      </c>
      <c r="H943">
        <v>0</v>
      </c>
      <c r="I943">
        <v>3.0083329999999999</v>
      </c>
    </row>
    <row r="944" spans="1:9" x14ac:dyDescent="0.25">
      <c r="A944">
        <v>2000350099</v>
      </c>
      <c r="B944" t="s">
        <v>567</v>
      </c>
      <c r="C944" t="s">
        <v>130</v>
      </c>
      <c r="D944" t="s">
        <v>131</v>
      </c>
      <c r="E944" s="2">
        <v>794</v>
      </c>
      <c r="F944" t="s">
        <v>36</v>
      </c>
      <c r="G944" s="2">
        <v>0</v>
      </c>
      <c r="H944">
        <v>0</v>
      </c>
      <c r="I944">
        <v>2.9205160000000001</v>
      </c>
    </row>
    <row r="945" spans="1:9" x14ac:dyDescent="0.25">
      <c r="A945">
        <v>2000350099</v>
      </c>
      <c r="B945" t="s">
        <v>567</v>
      </c>
      <c r="C945" t="s">
        <v>139</v>
      </c>
      <c r="D945" t="s">
        <v>140</v>
      </c>
      <c r="E945" s="2">
        <v>0</v>
      </c>
      <c r="F945" t="s">
        <v>36</v>
      </c>
      <c r="G945">
        <v>96</v>
      </c>
      <c r="H945">
        <v>0</v>
      </c>
      <c r="I945">
        <v>2.6996880000000001</v>
      </c>
    </row>
    <row r="946" spans="1:9" x14ac:dyDescent="0.25">
      <c r="A946">
        <v>2000350100</v>
      </c>
      <c r="B946" t="s">
        <v>568</v>
      </c>
      <c r="C946" t="s">
        <v>130</v>
      </c>
      <c r="D946" t="s">
        <v>131</v>
      </c>
      <c r="E946" s="2">
        <v>34</v>
      </c>
      <c r="F946" t="s">
        <v>36</v>
      </c>
      <c r="G946">
        <v>172</v>
      </c>
      <c r="H946">
        <v>0</v>
      </c>
      <c r="I946">
        <v>1.1991179999999999</v>
      </c>
    </row>
    <row r="947" spans="1:9" x14ac:dyDescent="0.25">
      <c r="A947">
        <v>2000350100</v>
      </c>
      <c r="B947" t="s">
        <v>568</v>
      </c>
      <c r="C947" t="s">
        <v>137</v>
      </c>
      <c r="D947" t="s">
        <v>138</v>
      </c>
      <c r="E947" s="2">
        <v>0</v>
      </c>
      <c r="F947" t="s">
        <v>36</v>
      </c>
      <c r="G947" s="2">
        <v>0</v>
      </c>
      <c r="H947">
        <v>25</v>
      </c>
      <c r="I947">
        <v>1.19875</v>
      </c>
    </row>
    <row r="948" spans="1:9" x14ac:dyDescent="0.25">
      <c r="A948">
        <v>2000350101</v>
      </c>
      <c r="B948" t="s">
        <v>569</v>
      </c>
      <c r="C948" t="s">
        <v>130</v>
      </c>
      <c r="D948" t="s">
        <v>131</v>
      </c>
      <c r="E948" s="2">
        <v>11</v>
      </c>
      <c r="F948" t="s">
        <v>36</v>
      </c>
      <c r="G948" s="2">
        <v>1059</v>
      </c>
      <c r="H948">
        <v>0</v>
      </c>
      <c r="I948">
        <v>1.170909</v>
      </c>
    </row>
    <row r="949" spans="1:9" x14ac:dyDescent="0.25">
      <c r="A949">
        <v>2000350102</v>
      </c>
      <c r="B949" t="s">
        <v>570</v>
      </c>
      <c r="C949" t="s">
        <v>130</v>
      </c>
      <c r="D949" t="s">
        <v>131</v>
      </c>
      <c r="E949" s="2">
        <v>27</v>
      </c>
      <c r="F949" t="s">
        <v>36</v>
      </c>
      <c r="G949">
        <v>994</v>
      </c>
      <c r="H949">
        <v>181</v>
      </c>
      <c r="I949">
        <v>1.2340739999999999</v>
      </c>
    </row>
    <row r="950" spans="1:9" x14ac:dyDescent="0.25">
      <c r="A950">
        <v>2000350102</v>
      </c>
      <c r="B950" t="s">
        <v>570</v>
      </c>
      <c r="C950" t="s">
        <v>151</v>
      </c>
      <c r="D950" t="s">
        <v>152</v>
      </c>
      <c r="E950" s="2">
        <v>0</v>
      </c>
      <c r="F950" t="s">
        <v>36</v>
      </c>
      <c r="G950" s="2">
        <v>181</v>
      </c>
      <c r="H950">
        <v>0</v>
      </c>
      <c r="I950">
        <v>1.234</v>
      </c>
    </row>
    <row r="951" spans="1:9" x14ac:dyDescent="0.25">
      <c r="A951">
        <v>2000350103</v>
      </c>
      <c r="B951" t="s">
        <v>571</v>
      </c>
      <c r="C951" t="s">
        <v>130</v>
      </c>
      <c r="D951" t="s">
        <v>131</v>
      </c>
      <c r="E951" s="2">
        <v>28</v>
      </c>
      <c r="F951" t="s">
        <v>36</v>
      </c>
      <c r="G951">
        <v>432</v>
      </c>
      <c r="H951">
        <v>108</v>
      </c>
      <c r="I951">
        <v>2.9350000000000001</v>
      </c>
    </row>
    <row r="952" spans="1:9" x14ac:dyDescent="0.25">
      <c r="A952">
        <v>2000350103</v>
      </c>
      <c r="B952" t="s">
        <v>571</v>
      </c>
      <c r="C952" t="s">
        <v>151</v>
      </c>
      <c r="D952" t="s">
        <v>152</v>
      </c>
      <c r="E952" s="2">
        <v>0</v>
      </c>
      <c r="F952" t="s">
        <v>36</v>
      </c>
      <c r="G952">
        <v>108</v>
      </c>
      <c r="H952">
        <v>109</v>
      </c>
      <c r="I952">
        <v>2.9355000000000002</v>
      </c>
    </row>
    <row r="953" spans="1:9" x14ac:dyDescent="0.25">
      <c r="A953">
        <v>2000350103</v>
      </c>
      <c r="B953" t="s">
        <v>571</v>
      </c>
      <c r="C953" t="s">
        <v>139</v>
      </c>
      <c r="D953" t="s">
        <v>140</v>
      </c>
      <c r="E953" s="2">
        <v>0</v>
      </c>
      <c r="F953" t="s">
        <v>36</v>
      </c>
      <c r="G953">
        <v>240</v>
      </c>
      <c r="H953">
        <v>240</v>
      </c>
      <c r="I953">
        <v>0</v>
      </c>
    </row>
    <row r="954" spans="1:9" x14ac:dyDescent="0.25">
      <c r="A954">
        <v>2000380038</v>
      </c>
      <c r="B954" t="s">
        <v>572</v>
      </c>
      <c r="C954" t="s">
        <v>126</v>
      </c>
      <c r="D954" t="s">
        <v>127</v>
      </c>
      <c r="E954" s="2">
        <v>53</v>
      </c>
      <c r="F954" t="s">
        <v>36</v>
      </c>
      <c r="G954" s="2">
        <v>0</v>
      </c>
      <c r="H954" s="2">
        <v>0</v>
      </c>
      <c r="I954">
        <v>0.383019</v>
      </c>
    </row>
    <row r="955" spans="1:9" x14ac:dyDescent="0.25">
      <c r="A955">
        <v>2000380057</v>
      </c>
      <c r="B955" t="s">
        <v>573</v>
      </c>
      <c r="C955" t="s">
        <v>126</v>
      </c>
      <c r="D955" t="s">
        <v>127</v>
      </c>
      <c r="E955" s="2">
        <v>491</v>
      </c>
      <c r="F955" t="s">
        <v>36</v>
      </c>
      <c r="G955">
        <v>0</v>
      </c>
      <c r="H955">
        <v>0</v>
      </c>
      <c r="I955">
        <v>0.37997999999999998</v>
      </c>
    </row>
    <row r="956" spans="1:9" x14ac:dyDescent="0.25">
      <c r="A956">
        <v>2000380058</v>
      </c>
      <c r="B956" t="s">
        <v>574</v>
      </c>
      <c r="C956" t="s">
        <v>126</v>
      </c>
      <c r="D956" t="s">
        <v>127</v>
      </c>
      <c r="E956" s="2">
        <v>16</v>
      </c>
      <c r="F956" t="s">
        <v>36</v>
      </c>
      <c r="G956">
        <v>0</v>
      </c>
      <c r="H956">
        <v>0</v>
      </c>
      <c r="I956">
        <v>0.97062499999999996</v>
      </c>
    </row>
    <row r="957" spans="1:9" x14ac:dyDescent="0.25">
      <c r="A957">
        <v>2000380061</v>
      </c>
      <c r="B957" t="s">
        <v>575</v>
      </c>
      <c r="C957" t="s">
        <v>126</v>
      </c>
      <c r="D957" t="s">
        <v>127</v>
      </c>
      <c r="E957" s="2">
        <v>111</v>
      </c>
      <c r="F957" t="s">
        <v>36</v>
      </c>
      <c r="G957">
        <v>0</v>
      </c>
      <c r="H957">
        <v>0</v>
      </c>
      <c r="I957">
        <v>8.643243</v>
      </c>
    </row>
    <row r="958" spans="1:9" x14ac:dyDescent="0.25">
      <c r="A958">
        <v>2000380075</v>
      </c>
      <c r="B958" t="s">
        <v>576</v>
      </c>
      <c r="C958" t="s">
        <v>126</v>
      </c>
      <c r="D958" t="s">
        <v>127</v>
      </c>
      <c r="E958" s="2">
        <v>8</v>
      </c>
      <c r="F958" t="s">
        <v>36</v>
      </c>
      <c r="G958" s="2">
        <v>0</v>
      </c>
      <c r="H958" s="2">
        <v>0</v>
      </c>
      <c r="I958">
        <v>2.0024999999999999</v>
      </c>
    </row>
    <row r="959" spans="1:9" x14ac:dyDescent="0.25">
      <c r="A959">
        <v>2000380076</v>
      </c>
      <c r="B959" t="s">
        <v>577</v>
      </c>
      <c r="C959" t="s">
        <v>126</v>
      </c>
      <c r="D959" t="s">
        <v>127</v>
      </c>
      <c r="E959" s="2">
        <v>29</v>
      </c>
      <c r="F959" t="s">
        <v>36</v>
      </c>
      <c r="G959" s="2">
        <v>0</v>
      </c>
      <c r="H959">
        <v>0</v>
      </c>
      <c r="I959">
        <v>0.453793</v>
      </c>
    </row>
    <row r="960" spans="1:9" x14ac:dyDescent="0.25">
      <c r="A960">
        <v>2000380077</v>
      </c>
      <c r="B960" t="s">
        <v>578</v>
      </c>
      <c r="C960" t="s">
        <v>126</v>
      </c>
      <c r="D960" t="s">
        <v>127</v>
      </c>
      <c r="E960" s="2">
        <v>44</v>
      </c>
      <c r="F960" t="s">
        <v>36</v>
      </c>
      <c r="G960">
        <v>0</v>
      </c>
      <c r="H960">
        <v>0</v>
      </c>
      <c r="I960">
        <v>0.46840900000000002</v>
      </c>
    </row>
    <row r="961" spans="1:9" x14ac:dyDescent="0.25">
      <c r="A961">
        <v>2000420051</v>
      </c>
      <c r="B961" t="s">
        <v>579</v>
      </c>
      <c r="C961" t="s">
        <v>130</v>
      </c>
      <c r="D961" t="s">
        <v>131</v>
      </c>
      <c r="E961" s="2">
        <v>100</v>
      </c>
      <c r="F961" t="s">
        <v>36</v>
      </c>
      <c r="G961">
        <v>0</v>
      </c>
      <c r="H961">
        <v>0</v>
      </c>
      <c r="I961">
        <v>0.66600000000000004</v>
      </c>
    </row>
    <row r="962" spans="1:9" x14ac:dyDescent="0.25">
      <c r="A962">
        <v>2000420067</v>
      </c>
      <c r="B962" t="s">
        <v>580</v>
      </c>
      <c r="C962" t="s">
        <v>126</v>
      </c>
      <c r="D962" t="s">
        <v>127</v>
      </c>
      <c r="E962" s="2">
        <v>11</v>
      </c>
      <c r="F962" t="s">
        <v>36</v>
      </c>
      <c r="G962">
        <v>0</v>
      </c>
      <c r="H962">
        <v>0</v>
      </c>
      <c r="I962">
        <v>0.35272700000000001</v>
      </c>
    </row>
    <row r="963" spans="1:9" x14ac:dyDescent="0.25">
      <c r="A963">
        <v>2000420088</v>
      </c>
      <c r="B963" t="s">
        <v>581</v>
      </c>
      <c r="C963" t="s">
        <v>130</v>
      </c>
      <c r="D963" t="s">
        <v>131</v>
      </c>
      <c r="E963" s="2">
        <v>3918</v>
      </c>
      <c r="F963" t="s">
        <v>36</v>
      </c>
      <c r="G963" s="2">
        <v>4300</v>
      </c>
      <c r="H963" s="2">
        <v>6425</v>
      </c>
      <c r="I963">
        <v>1.2373430000000001</v>
      </c>
    </row>
    <row r="964" spans="1:9" x14ac:dyDescent="0.25">
      <c r="A964">
        <v>2000420088</v>
      </c>
      <c r="B964" t="s">
        <v>581</v>
      </c>
      <c r="C964" t="s">
        <v>126</v>
      </c>
      <c r="D964" t="s">
        <v>127</v>
      </c>
      <c r="E964" s="2">
        <v>599</v>
      </c>
      <c r="F964" t="s">
        <v>36</v>
      </c>
      <c r="G964">
        <v>0</v>
      </c>
      <c r="H964" s="2">
        <v>0</v>
      </c>
      <c r="I964">
        <v>1.336711</v>
      </c>
    </row>
    <row r="965" spans="1:9" x14ac:dyDescent="0.25">
      <c r="A965">
        <v>2000420088</v>
      </c>
      <c r="B965" t="s">
        <v>581</v>
      </c>
      <c r="C965" t="s">
        <v>142</v>
      </c>
      <c r="D965" t="s">
        <v>143</v>
      </c>
      <c r="E965" s="2">
        <v>0</v>
      </c>
      <c r="F965" t="s">
        <v>36</v>
      </c>
      <c r="G965">
        <v>25</v>
      </c>
      <c r="H965" s="2">
        <v>4300</v>
      </c>
      <c r="I965">
        <v>1.238</v>
      </c>
    </row>
    <row r="966" spans="1:9" x14ac:dyDescent="0.25">
      <c r="A966">
        <v>2000420088</v>
      </c>
      <c r="B966" t="s">
        <v>581</v>
      </c>
      <c r="C966" t="s">
        <v>139</v>
      </c>
      <c r="D966" t="s">
        <v>140</v>
      </c>
      <c r="E966" s="2">
        <v>3300</v>
      </c>
      <c r="F966" t="s">
        <v>36</v>
      </c>
      <c r="G966" s="2">
        <v>6400</v>
      </c>
      <c r="H966">
        <v>0</v>
      </c>
      <c r="I966">
        <v>1.2284759999999999</v>
      </c>
    </row>
    <row r="967" spans="1:9" x14ac:dyDescent="0.25">
      <c r="A967">
        <v>2000420088</v>
      </c>
      <c r="B967" t="s">
        <v>581</v>
      </c>
      <c r="C967" t="s">
        <v>582</v>
      </c>
      <c r="D967" t="s">
        <v>583</v>
      </c>
      <c r="E967" s="2">
        <v>5800</v>
      </c>
      <c r="F967" t="s">
        <v>36</v>
      </c>
      <c r="G967">
        <v>0</v>
      </c>
      <c r="H967">
        <v>0</v>
      </c>
      <c r="I967">
        <v>1.07904</v>
      </c>
    </row>
    <row r="968" spans="1:9" x14ac:dyDescent="0.25">
      <c r="A968">
        <v>2000420089</v>
      </c>
      <c r="B968" t="s">
        <v>584</v>
      </c>
      <c r="C968" t="s">
        <v>130</v>
      </c>
      <c r="D968" t="s">
        <v>131</v>
      </c>
      <c r="E968" s="2">
        <v>578</v>
      </c>
      <c r="F968" t="s">
        <v>36</v>
      </c>
      <c r="G968" s="2">
        <v>26400</v>
      </c>
      <c r="H968">
        <v>100</v>
      </c>
      <c r="I968">
        <v>1.3680619999999999</v>
      </c>
    </row>
    <row r="969" spans="1:9" x14ac:dyDescent="0.25">
      <c r="A969">
        <v>2000420089</v>
      </c>
      <c r="B969" t="s">
        <v>584</v>
      </c>
      <c r="C969" t="s">
        <v>126</v>
      </c>
      <c r="D969" t="s">
        <v>127</v>
      </c>
      <c r="E969" s="2">
        <v>795</v>
      </c>
      <c r="F969" t="s">
        <v>36</v>
      </c>
      <c r="G969" s="2">
        <v>0</v>
      </c>
      <c r="H969">
        <v>0</v>
      </c>
      <c r="I969">
        <v>1.5459620000000001</v>
      </c>
    </row>
    <row r="970" spans="1:9" x14ac:dyDescent="0.25">
      <c r="A970">
        <v>2000420089</v>
      </c>
      <c r="B970" t="s">
        <v>584</v>
      </c>
      <c r="C970" t="s">
        <v>142</v>
      </c>
      <c r="D970" t="s">
        <v>143</v>
      </c>
      <c r="E970" s="2">
        <v>1000</v>
      </c>
      <c r="F970" t="s">
        <v>36</v>
      </c>
      <c r="G970">
        <v>0</v>
      </c>
      <c r="H970" s="2">
        <v>26400</v>
      </c>
      <c r="I970">
        <v>1.3680600000000001</v>
      </c>
    </row>
    <row r="971" spans="1:9" x14ac:dyDescent="0.25">
      <c r="A971">
        <v>2000420089</v>
      </c>
      <c r="B971" t="s">
        <v>584</v>
      </c>
      <c r="C971" t="s">
        <v>139</v>
      </c>
      <c r="D971" t="s">
        <v>140</v>
      </c>
      <c r="E971" s="2">
        <v>0</v>
      </c>
      <c r="F971" t="s">
        <v>36</v>
      </c>
      <c r="G971">
        <v>100</v>
      </c>
      <c r="H971">
        <v>0</v>
      </c>
      <c r="I971">
        <v>1.3270960000000001</v>
      </c>
    </row>
    <row r="972" spans="1:9" x14ac:dyDescent="0.25">
      <c r="A972">
        <v>2000420089</v>
      </c>
      <c r="B972" t="s">
        <v>584</v>
      </c>
      <c r="C972" t="s">
        <v>582</v>
      </c>
      <c r="D972" t="s">
        <v>583</v>
      </c>
      <c r="E972" s="2">
        <v>6100</v>
      </c>
      <c r="F972" t="s">
        <v>36</v>
      </c>
      <c r="G972">
        <v>0</v>
      </c>
      <c r="H972">
        <v>0</v>
      </c>
      <c r="I972">
        <v>1.1464799999999999</v>
      </c>
    </row>
    <row r="973" spans="1:9" x14ac:dyDescent="0.25">
      <c r="A973">
        <v>2000420090</v>
      </c>
      <c r="B973" t="s">
        <v>585</v>
      </c>
      <c r="C973" t="s">
        <v>130</v>
      </c>
      <c r="D973" t="s">
        <v>131</v>
      </c>
      <c r="E973" s="2">
        <v>22389</v>
      </c>
      <c r="F973" t="s">
        <v>36</v>
      </c>
      <c r="G973">
        <v>5</v>
      </c>
      <c r="H973">
        <v>0</v>
      </c>
      <c r="I973">
        <v>1.387988</v>
      </c>
    </row>
    <row r="974" spans="1:9" x14ac:dyDescent="0.25">
      <c r="A974">
        <v>2000420090</v>
      </c>
      <c r="B974" t="s">
        <v>585</v>
      </c>
      <c r="C974" t="s">
        <v>137</v>
      </c>
      <c r="D974" t="s">
        <v>138</v>
      </c>
      <c r="E974" s="2">
        <v>6</v>
      </c>
      <c r="F974" t="s">
        <v>36</v>
      </c>
      <c r="G974">
        <v>0</v>
      </c>
      <c r="H974">
        <v>5</v>
      </c>
      <c r="I974">
        <v>1.388333</v>
      </c>
    </row>
    <row r="975" spans="1:9" x14ac:dyDescent="0.25">
      <c r="A975">
        <v>2000420090</v>
      </c>
      <c r="B975" t="s">
        <v>585</v>
      </c>
      <c r="C975" t="s">
        <v>151</v>
      </c>
      <c r="D975" t="s">
        <v>152</v>
      </c>
      <c r="E975" s="2">
        <v>35</v>
      </c>
      <c r="F975" t="s">
        <v>36</v>
      </c>
      <c r="G975">
        <v>0</v>
      </c>
      <c r="H975">
        <v>0</v>
      </c>
      <c r="I975">
        <v>1.3879999999999999</v>
      </c>
    </row>
    <row r="976" spans="1:9" x14ac:dyDescent="0.25">
      <c r="A976">
        <v>2000420091</v>
      </c>
      <c r="B976" t="s">
        <v>586</v>
      </c>
      <c r="C976" t="s">
        <v>130</v>
      </c>
      <c r="D976" t="s">
        <v>131</v>
      </c>
      <c r="E976" s="2">
        <v>38091</v>
      </c>
      <c r="F976" t="s">
        <v>36</v>
      </c>
      <c r="G976">
        <v>0</v>
      </c>
      <c r="H976">
        <v>0</v>
      </c>
      <c r="I976">
        <v>1.450027</v>
      </c>
    </row>
    <row r="977" spans="1:9" x14ac:dyDescent="0.25">
      <c r="A977">
        <v>2000420091</v>
      </c>
      <c r="B977" t="s">
        <v>586</v>
      </c>
      <c r="C977" t="s">
        <v>126</v>
      </c>
      <c r="D977" t="s">
        <v>127</v>
      </c>
      <c r="E977" s="2">
        <v>100</v>
      </c>
      <c r="F977" t="s">
        <v>36</v>
      </c>
      <c r="G977">
        <v>0</v>
      </c>
      <c r="H977" s="2">
        <v>0</v>
      </c>
      <c r="I977">
        <v>1.45</v>
      </c>
    </row>
    <row r="978" spans="1:9" x14ac:dyDescent="0.25">
      <c r="A978">
        <v>2000420091</v>
      </c>
      <c r="B978" t="s">
        <v>586</v>
      </c>
      <c r="C978" t="s">
        <v>137</v>
      </c>
      <c r="D978" t="s">
        <v>138</v>
      </c>
      <c r="E978" s="2">
        <v>6</v>
      </c>
      <c r="F978" t="s">
        <v>36</v>
      </c>
      <c r="G978">
        <v>0</v>
      </c>
      <c r="H978">
        <v>0</v>
      </c>
      <c r="I978">
        <v>1.45</v>
      </c>
    </row>
    <row r="979" spans="1:9" x14ac:dyDescent="0.25">
      <c r="A979">
        <v>2000420091</v>
      </c>
      <c r="B979" t="s">
        <v>586</v>
      </c>
      <c r="C979" t="s">
        <v>151</v>
      </c>
      <c r="D979" t="s">
        <v>152</v>
      </c>
      <c r="E979" s="2">
        <v>45</v>
      </c>
      <c r="F979" t="s">
        <v>36</v>
      </c>
      <c r="G979">
        <v>0</v>
      </c>
      <c r="H979">
        <v>0</v>
      </c>
      <c r="I979">
        <v>1.45</v>
      </c>
    </row>
    <row r="980" spans="1:9" x14ac:dyDescent="0.25">
      <c r="A980">
        <v>2000420092</v>
      </c>
      <c r="B980" t="s">
        <v>587</v>
      </c>
      <c r="C980" t="s">
        <v>130</v>
      </c>
      <c r="D980" t="s">
        <v>131</v>
      </c>
      <c r="E980" s="2">
        <v>23860</v>
      </c>
      <c r="F980" t="s">
        <v>36</v>
      </c>
      <c r="G980">
        <v>251</v>
      </c>
      <c r="H980">
        <v>0</v>
      </c>
      <c r="I980">
        <v>1.90377</v>
      </c>
    </row>
    <row r="981" spans="1:9" x14ac:dyDescent="0.25">
      <c r="A981">
        <v>2000420092</v>
      </c>
      <c r="B981" t="s">
        <v>587</v>
      </c>
      <c r="C981" t="s">
        <v>137</v>
      </c>
      <c r="D981" t="s">
        <v>138</v>
      </c>
      <c r="E981" s="2">
        <v>72</v>
      </c>
      <c r="F981" t="s">
        <v>36</v>
      </c>
      <c r="G981">
        <v>0</v>
      </c>
      <c r="H981">
        <v>1</v>
      </c>
      <c r="I981">
        <v>1.94</v>
      </c>
    </row>
    <row r="982" spans="1:9" x14ac:dyDescent="0.25">
      <c r="A982">
        <v>2000420092</v>
      </c>
      <c r="B982" t="s">
        <v>587</v>
      </c>
      <c r="C982" t="s">
        <v>151</v>
      </c>
      <c r="D982" t="s">
        <v>152</v>
      </c>
      <c r="E982" s="2">
        <v>2400</v>
      </c>
      <c r="F982" t="s">
        <v>36</v>
      </c>
      <c r="G982">
        <v>0</v>
      </c>
      <c r="H982">
        <v>0</v>
      </c>
      <c r="I982">
        <v>1.9597</v>
      </c>
    </row>
    <row r="983" spans="1:9" x14ac:dyDescent="0.25">
      <c r="A983">
        <v>2000420092</v>
      </c>
      <c r="B983" t="s">
        <v>587</v>
      </c>
      <c r="C983" t="s">
        <v>139</v>
      </c>
      <c r="D983" t="s">
        <v>140</v>
      </c>
      <c r="E983" s="2">
        <v>31800</v>
      </c>
      <c r="F983" t="s">
        <v>36</v>
      </c>
      <c r="G983">
        <v>0</v>
      </c>
      <c r="H983" s="2">
        <v>0</v>
      </c>
      <c r="I983">
        <v>1.8466100000000001</v>
      </c>
    </row>
    <row r="984" spans="1:9" x14ac:dyDescent="0.25">
      <c r="A984">
        <v>2000420092</v>
      </c>
      <c r="B984" t="s">
        <v>587</v>
      </c>
      <c r="C984" t="s">
        <v>582</v>
      </c>
      <c r="D984" t="s">
        <v>583</v>
      </c>
      <c r="E984" s="2">
        <v>6800</v>
      </c>
      <c r="F984" t="s">
        <v>36</v>
      </c>
      <c r="G984">
        <v>0</v>
      </c>
      <c r="H984">
        <v>0</v>
      </c>
      <c r="I984">
        <v>1.58484</v>
      </c>
    </row>
    <row r="985" spans="1:9" x14ac:dyDescent="0.25">
      <c r="A985">
        <v>2000420093</v>
      </c>
      <c r="B985" t="s">
        <v>588</v>
      </c>
      <c r="C985" t="s">
        <v>130</v>
      </c>
      <c r="D985" t="s">
        <v>131</v>
      </c>
      <c r="E985" s="2">
        <v>8250</v>
      </c>
      <c r="F985" t="s">
        <v>36</v>
      </c>
      <c r="G985" s="2">
        <v>800</v>
      </c>
      <c r="H985" s="2">
        <v>1250</v>
      </c>
      <c r="I985">
        <v>1.8893549999999999</v>
      </c>
    </row>
    <row r="986" spans="1:9" x14ac:dyDescent="0.25">
      <c r="A986">
        <v>2000420093</v>
      </c>
      <c r="B986" t="s">
        <v>588</v>
      </c>
      <c r="C986" t="s">
        <v>126</v>
      </c>
      <c r="D986" t="s">
        <v>127</v>
      </c>
      <c r="E986" s="2">
        <v>7</v>
      </c>
      <c r="F986" t="s">
        <v>36</v>
      </c>
      <c r="G986">
        <v>0</v>
      </c>
      <c r="H986">
        <v>0</v>
      </c>
      <c r="I986">
        <v>2.168571</v>
      </c>
    </row>
    <row r="987" spans="1:9" x14ac:dyDescent="0.25">
      <c r="A987">
        <v>2000420093</v>
      </c>
      <c r="B987" t="s">
        <v>588</v>
      </c>
      <c r="C987" t="s">
        <v>151</v>
      </c>
      <c r="D987" t="s">
        <v>152</v>
      </c>
      <c r="E987" s="2">
        <v>0</v>
      </c>
      <c r="F987" t="s">
        <v>36</v>
      </c>
      <c r="G987">
        <v>0</v>
      </c>
      <c r="H987">
        <v>550</v>
      </c>
      <c r="I987">
        <v>2.011927</v>
      </c>
    </row>
    <row r="988" spans="1:9" x14ac:dyDescent="0.25">
      <c r="A988">
        <v>2000420093</v>
      </c>
      <c r="B988" t="s">
        <v>588</v>
      </c>
      <c r="C988" t="s">
        <v>139</v>
      </c>
      <c r="D988" t="s">
        <v>140</v>
      </c>
      <c r="E988" s="2">
        <v>12300</v>
      </c>
      <c r="F988" t="s">
        <v>36</v>
      </c>
      <c r="G988" s="2">
        <v>1250</v>
      </c>
      <c r="H988">
        <v>0</v>
      </c>
      <c r="I988">
        <v>1.857048</v>
      </c>
    </row>
    <row r="989" spans="1:9" x14ac:dyDescent="0.25">
      <c r="A989">
        <v>2000420094</v>
      </c>
      <c r="B989" t="s">
        <v>589</v>
      </c>
      <c r="C989" t="s">
        <v>130</v>
      </c>
      <c r="D989" t="s">
        <v>131</v>
      </c>
      <c r="E989" s="2">
        <v>987</v>
      </c>
      <c r="F989" t="s">
        <v>36</v>
      </c>
      <c r="G989" s="2">
        <v>31400</v>
      </c>
      <c r="H989">
        <v>0</v>
      </c>
      <c r="I989">
        <v>1.345704</v>
      </c>
    </row>
    <row r="990" spans="1:9" x14ac:dyDescent="0.25">
      <c r="A990">
        <v>2000420094</v>
      </c>
      <c r="B990" t="s">
        <v>589</v>
      </c>
      <c r="C990" t="s">
        <v>126</v>
      </c>
      <c r="D990" t="s">
        <v>127</v>
      </c>
      <c r="E990" s="2">
        <v>815</v>
      </c>
      <c r="F990" t="s">
        <v>36</v>
      </c>
      <c r="G990">
        <v>0</v>
      </c>
      <c r="H990">
        <v>0</v>
      </c>
      <c r="I990">
        <v>1.488699</v>
      </c>
    </row>
    <row r="991" spans="1:9" x14ac:dyDescent="0.25">
      <c r="A991">
        <v>2000420094</v>
      </c>
      <c r="B991" t="s">
        <v>589</v>
      </c>
      <c r="C991" t="s">
        <v>142</v>
      </c>
      <c r="D991" t="s">
        <v>143</v>
      </c>
      <c r="E991" s="2">
        <v>3600</v>
      </c>
      <c r="F991" t="s">
        <v>36</v>
      </c>
      <c r="G991">
        <v>0</v>
      </c>
      <c r="H991" s="2">
        <v>31400</v>
      </c>
      <c r="I991">
        <v>1.3456999999999999</v>
      </c>
    </row>
    <row r="992" spans="1:9" x14ac:dyDescent="0.25">
      <c r="A992">
        <v>2000420094</v>
      </c>
      <c r="B992" t="s">
        <v>589</v>
      </c>
      <c r="C992" t="s">
        <v>582</v>
      </c>
      <c r="D992" t="s">
        <v>583</v>
      </c>
      <c r="E992" s="2">
        <v>22500</v>
      </c>
      <c r="F992" t="s">
        <v>36</v>
      </c>
      <c r="G992">
        <v>0</v>
      </c>
      <c r="H992">
        <v>0</v>
      </c>
      <c r="I992">
        <v>1.07904</v>
      </c>
    </row>
    <row r="993" spans="1:9" x14ac:dyDescent="0.25">
      <c r="A993">
        <v>2000420095</v>
      </c>
      <c r="B993" t="s">
        <v>590</v>
      </c>
      <c r="C993" t="s">
        <v>130</v>
      </c>
      <c r="D993" t="s">
        <v>131</v>
      </c>
      <c r="E993" s="2">
        <v>3541</v>
      </c>
      <c r="F993" t="s">
        <v>36</v>
      </c>
      <c r="G993" s="2">
        <v>17100</v>
      </c>
      <c r="H993" s="2">
        <v>22700</v>
      </c>
      <c r="I993">
        <v>1.314792</v>
      </c>
    </row>
    <row r="994" spans="1:9" x14ac:dyDescent="0.25">
      <c r="A994">
        <v>2000420095</v>
      </c>
      <c r="B994" t="s">
        <v>590</v>
      </c>
      <c r="C994" t="s">
        <v>126</v>
      </c>
      <c r="D994" t="s">
        <v>127</v>
      </c>
      <c r="E994" s="2">
        <v>619</v>
      </c>
      <c r="F994" t="s">
        <v>36</v>
      </c>
      <c r="G994">
        <v>0</v>
      </c>
      <c r="H994">
        <v>0</v>
      </c>
      <c r="I994">
        <v>1.417351</v>
      </c>
    </row>
    <row r="995" spans="1:9" x14ac:dyDescent="0.25">
      <c r="A995">
        <v>2000420095</v>
      </c>
      <c r="B995" t="s">
        <v>590</v>
      </c>
      <c r="C995" t="s">
        <v>142</v>
      </c>
      <c r="D995" t="s">
        <v>143</v>
      </c>
      <c r="E995" s="2">
        <v>1100</v>
      </c>
      <c r="F995" t="s">
        <v>36</v>
      </c>
      <c r="G995">
        <v>0</v>
      </c>
      <c r="H995" s="2">
        <v>17100</v>
      </c>
      <c r="I995">
        <v>1.314791</v>
      </c>
    </row>
    <row r="996" spans="1:9" x14ac:dyDescent="0.25">
      <c r="A996">
        <v>2000420095</v>
      </c>
      <c r="B996" t="s">
        <v>590</v>
      </c>
      <c r="C996" t="s">
        <v>139</v>
      </c>
      <c r="D996" t="s">
        <v>140</v>
      </c>
      <c r="E996" s="2">
        <v>200</v>
      </c>
      <c r="F996" t="s">
        <v>36</v>
      </c>
      <c r="G996">
        <v>0</v>
      </c>
      <c r="H996">
        <v>0</v>
      </c>
      <c r="I996">
        <v>1.3265499999999999</v>
      </c>
    </row>
    <row r="997" spans="1:9" x14ac:dyDescent="0.25">
      <c r="A997">
        <v>2000420095</v>
      </c>
      <c r="B997" t="s">
        <v>590</v>
      </c>
      <c r="C997" t="s">
        <v>582</v>
      </c>
      <c r="D997" t="s">
        <v>583</v>
      </c>
      <c r="E997" s="2">
        <v>0</v>
      </c>
      <c r="F997" t="s">
        <v>36</v>
      </c>
      <c r="G997" s="2">
        <v>22700</v>
      </c>
      <c r="H997">
        <v>0</v>
      </c>
      <c r="I997">
        <v>1.312792</v>
      </c>
    </row>
    <row r="998" spans="1:9" x14ac:dyDescent="0.25">
      <c r="A998">
        <v>2000420096</v>
      </c>
      <c r="B998" t="s">
        <v>591</v>
      </c>
      <c r="C998" t="s">
        <v>130</v>
      </c>
      <c r="D998" t="s">
        <v>131</v>
      </c>
      <c r="E998" s="2">
        <v>4104</v>
      </c>
      <c r="F998" t="s">
        <v>36</v>
      </c>
      <c r="G998">
        <v>102</v>
      </c>
      <c r="H998">
        <v>0</v>
      </c>
      <c r="I998">
        <v>1.8661719999999999</v>
      </c>
    </row>
    <row r="999" spans="1:9" x14ac:dyDescent="0.25">
      <c r="A999">
        <v>2000420096</v>
      </c>
      <c r="B999" t="s">
        <v>591</v>
      </c>
      <c r="C999" t="s">
        <v>126</v>
      </c>
      <c r="D999" t="s">
        <v>127</v>
      </c>
      <c r="E999" s="2">
        <v>50</v>
      </c>
      <c r="F999" t="s">
        <v>36</v>
      </c>
      <c r="G999">
        <v>0</v>
      </c>
      <c r="H999">
        <v>0</v>
      </c>
      <c r="I999">
        <v>2.0693999999999999</v>
      </c>
    </row>
    <row r="1000" spans="1:9" x14ac:dyDescent="0.25">
      <c r="A1000">
        <v>2000420096</v>
      </c>
      <c r="B1000" t="s">
        <v>591</v>
      </c>
      <c r="C1000" t="s">
        <v>137</v>
      </c>
      <c r="D1000" t="s">
        <v>138</v>
      </c>
      <c r="E1000" s="2">
        <v>1</v>
      </c>
      <c r="F1000" t="s">
        <v>36</v>
      </c>
      <c r="G1000" s="2">
        <v>0</v>
      </c>
      <c r="H1000">
        <v>2</v>
      </c>
      <c r="I1000">
        <v>2.0699999999999998</v>
      </c>
    </row>
    <row r="1001" spans="1:9" x14ac:dyDescent="0.25">
      <c r="A1001">
        <v>2000420096</v>
      </c>
      <c r="B1001" t="s">
        <v>591</v>
      </c>
      <c r="C1001" t="s">
        <v>139</v>
      </c>
      <c r="D1001" t="s">
        <v>140</v>
      </c>
      <c r="E1001" s="2">
        <v>18100</v>
      </c>
      <c r="F1001" t="s">
        <v>36</v>
      </c>
      <c r="G1001">
        <v>0</v>
      </c>
      <c r="H1001">
        <v>0</v>
      </c>
      <c r="I1001">
        <v>1.8724270000000001</v>
      </c>
    </row>
    <row r="1002" spans="1:9" x14ac:dyDescent="0.25">
      <c r="A1002">
        <v>2000420096</v>
      </c>
      <c r="B1002" t="s">
        <v>591</v>
      </c>
      <c r="C1002" t="s">
        <v>582</v>
      </c>
      <c r="D1002" t="s">
        <v>583</v>
      </c>
      <c r="E1002" s="2">
        <v>5250</v>
      </c>
      <c r="F1002" t="s">
        <v>36</v>
      </c>
      <c r="G1002">
        <v>0</v>
      </c>
      <c r="H1002">
        <v>0</v>
      </c>
      <c r="I1002">
        <v>1.58484</v>
      </c>
    </row>
    <row r="1003" spans="1:9" x14ac:dyDescent="0.25">
      <c r="A1003">
        <v>2000420097</v>
      </c>
      <c r="B1003" t="s">
        <v>592</v>
      </c>
      <c r="C1003" t="s">
        <v>130</v>
      </c>
      <c r="D1003" t="s">
        <v>131</v>
      </c>
      <c r="E1003" s="2">
        <v>6329</v>
      </c>
      <c r="F1003" t="s">
        <v>36</v>
      </c>
      <c r="G1003">
        <v>101</v>
      </c>
      <c r="H1003">
        <v>0</v>
      </c>
      <c r="I1003">
        <v>1.9047529999999999</v>
      </c>
    </row>
    <row r="1004" spans="1:9" x14ac:dyDescent="0.25">
      <c r="A1004">
        <v>2000420097</v>
      </c>
      <c r="B1004" t="s">
        <v>592</v>
      </c>
      <c r="C1004" t="s">
        <v>137</v>
      </c>
      <c r="D1004" t="s">
        <v>138</v>
      </c>
      <c r="E1004" s="2">
        <v>4</v>
      </c>
      <c r="F1004" t="s">
        <v>36</v>
      </c>
      <c r="G1004">
        <v>0</v>
      </c>
      <c r="H1004">
        <v>1</v>
      </c>
      <c r="I1004">
        <v>1.92</v>
      </c>
    </row>
    <row r="1005" spans="1:9" x14ac:dyDescent="0.25">
      <c r="A1005">
        <v>2000420097</v>
      </c>
      <c r="B1005" t="s">
        <v>592</v>
      </c>
      <c r="C1005" t="s">
        <v>139</v>
      </c>
      <c r="D1005" t="s">
        <v>140</v>
      </c>
      <c r="E1005" s="2">
        <v>13600</v>
      </c>
      <c r="F1005" t="s">
        <v>36</v>
      </c>
      <c r="G1005">
        <v>0</v>
      </c>
      <c r="H1005">
        <v>0</v>
      </c>
      <c r="I1005">
        <v>1.868889</v>
      </c>
    </row>
    <row r="1006" spans="1:9" x14ac:dyDescent="0.25">
      <c r="A1006">
        <v>2000420097</v>
      </c>
      <c r="B1006" t="s">
        <v>592</v>
      </c>
      <c r="C1006" t="s">
        <v>582</v>
      </c>
      <c r="D1006" t="s">
        <v>583</v>
      </c>
      <c r="E1006" s="2">
        <v>4500</v>
      </c>
      <c r="F1006" t="s">
        <v>36</v>
      </c>
      <c r="G1006">
        <v>0</v>
      </c>
      <c r="H1006" s="2">
        <v>0</v>
      </c>
      <c r="I1006">
        <v>1.58484</v>
      </c>
    </row>
    <row r="1007" spans="1:9" x14ac:dyDescent="0.25">
      <c r="A1007">
        <v>2000420098</v>
      </c>
      <c r="B1007" t="s">
        <v>593</v>
      </c>
      <c r="C1007" t="s">
        <v>130</v>
      </c>
      <c r="D1007" t="s">
        <v>131</v>
      </c>
      <c r="E1007" s="2">
        <v>4126</v>
      </c>
      <c r="F1007" t="s">
        <v>36</v>
      </c>
      <c r="G1007">
        <v>101</v>
      </c>
      <c r="H1007">
        <v>0</v>
      </c>
      <c r="I1007">
        <v>1.9826999999999999</v>
      </c>
    </row>
    <row r="1008" spans="1:9" x14ac:dyDescent="0.25">
      <c r="A1008">
        <v>2000420098</v>
      </c>
      <c r="B1008" t="s">
        <v>593</v>
      </c>
      <c r="C1008" t="s">
        <v>126</v>
      </c>
      <c r="D1008" t="s">
        <v>127</v>
      </c>
      <c r="E1008" s="2">
        <v>100</v>
      </c>
      <c r="F1008" t="s">
        <v>36</v>
      </c>
      <c r="G1008">
        <v>0</v>
      </c>
      <c r="H1008">
        <v>0</v>
      </c>
      <c r="I1008">
        <v>2.0680999999999998</v>
      </c>
    </row>
    <row r="1009" spans="1:9" x14ac:dyDescent="0.25">
      <c r="A1009">
        <v>2000420098</v>
      </c>
      <c r="B1009" t="s">
        <v>593</v>
      </c>
      <c r="C1009" t="s">
        <v>137</v>
      </c>
      <c r="D1009" t="s">
        <v>138</v>
      </c>
      <c r="E1009" s="2">
        <v>1</v>
      </c>
      <c r="F1009" t="s">
        <v>36</v>
      </c>
      <c r="G1009">
        <v>0</v>
      </c>
      <c r="H1009">
        <v>1</v>
      </c>
      <c r="I1009">
        <v>2.0699999999999998</v>
      </c>
    </row>
    <row r="1010" spans="1:9" x14ac:dyDescent="0.25">
      <c r="A1010">
        <v>2000420098</v>
      </c>
      <c r="B1010" t="s">
        <v>593</v>
      </c>
      <c r="C1010" t="s">
        <v>139</v>
      </c>
      <c r="D1010" t="s">
        <v>140</v>
      </c>
      <c r="E1010" s="2">
        <v>14150</v>
      </c>
      <c r="F1010" t="s">
        <v>36</v>
      </c>
      <c r="G1010">
        <v>0</v>
      </c>
      <c r="H1010">
        <v>0</v>
      </c>
      <c r="I1010">
        <v>1.8700950000000001</v>
      </c>
    </row>
    <row r="1011" spans="1:9" x14ac:dyDescent="0.25">
      <c r="A1011">
        <v>2000420098</v>
      </c>
      <c r="B1011" t="s">
        <v>593</v>
      </c>
      <c r="C1011" t="s">
        <v>582</v>
      </c>
      <c r="D1011" t="s">
        <v>583</v>
      </c>
      <c r="E1011" s="2">
        <v>5200</v>
      </c>
      <c r="F1011" t="s">
        <v>36</v>
      </c>
      <c r="G1011">
        <v>0</v>
      </c>
      <c r="H1011">
        <v>0</v>
      </c>
      <c r="I1011">
        <v>1.58484</v>
      </c>
    </row>
    <row r="1012" spans="1:9" x14ac:dyDescent="0.25">
      <c r="A1012">
        <v>2000420099</v>
      </c>
      <c r="B1012" t="s">
        <v>594</v>
      </c>
      <c r="C1012" t="s">
        <v>130</v>
      </c>
      <c r="D1012" t="s">
        <v>131</v>
      </c>
      <c r="E1012" s="2">
        <v>4947</v>
      </c>
      <c r="F1012" t="s">
        <v>36</v>
      </c>
      <c r="G1012">
        <v>101</v>
      </c>
      <c r="H1012">
        <v>0</v>
      </c>
      <c r="I1012">
        <v>1.978156</v>
      </c>
    </row>
    <row r="1013" spans="1:9" x14ac:dyDescent="0.25">
      <c r="A1013">
        <v>2000420099</v>
      </c>
      <c r="B1013" t="s">
        <v>594</v>
      </c>
      <c r="C1013" t="s">
        <v>126</v>
      </c>
      <c r="D1013" t="s">
        <v>127</v>
      </c>
      <c r="E1013" s="2">
        <v>350</v>
      </c>
      <c r="F1013" t="s">
        <v>36</v>
      </c>
      <c r="G1013">
        <v>0</v>
      </c>
      <c r="H1013">
        <v>0</v>
      </c>
      <c r="I1013">
        <v>2.0455709999999998</v>
      </c>
    </row>
    <row r="1014" spans="1:9" x14ac:dyDescent="0.25">
      <c r="A1014">
        <v>2000420099</v>
      </c>
      <c r="B1014" t="s">
        <v>594</v>
      </c>
      <c r="C1014" t="s">
        <v>137</v>
      </c>
      <c r="D1014" t="s">
        <v>138</v>
      </c>
      <c r="E1014" s="2">
        <v>1</v>
      </c>
      <c r="F1014" t="s">
        <v>36</v>
      </c>
      <c r="G1014">
        <v>0</v>
      </c>
      <c r="H1014">
        <v>1</v>
      </c>
      <c r="I1014">
        <v>2.0499999999999998</v>
      </c>
    </row>
    <row r="1015" spans="1:9" x14ac:dyDescent="0.25">
      <c r="A1015">
        <v>2000420099</v>
      </c>
      <c r="B1015" t="s">
        <v>594</v>
      </c>
      <c r="C1015" t="s">
        <v>139</v>
      </c>
      <c r="D1015" t="s">
        <v>140</v>
      </c>
      <c r="E1015" s="2">
        <v>13800</v>
      </c>
      <c r="F1015" t="s">
        <v>36</v>
      </c>
      <c r="G1015">
        <v>0</v>
      </c>
      <c r="H1015">
        <v>0</v>
      </c>
      <c r="I1015">
        <v>1.868738</v>
      </c>
    </row>
    <row r="1016" spans="1:9" x14ac:dyDescent="0.25">
      <c r="A1016">
        <v>2000420099</v>
      </c>
      <c r="B1016" t="s">
        <v>594</v>
      </c>
      <c r="C1016" t="s">
        <v>582</v>
      </c>
      <c r="D1016" t="s">
        <v>583</v>
      </c>
      <c r="E1016" s="2">
        <v>3850</v>
      </c>
      <c r="F1016" t="s">
        <v>36</v>
      </c>
      <c r="G1016">
        <v>0</v>
      </c>
      <c r="H1016" s="2">
        <v>0</v>
      </c>
      <c r="I1016">
        <v>1.5848390000000001</v>
      </c>
    </row>
    <row r="1017" spans="1:9" x14ac:dyDescent="0.25">
      <c r="A1017">
        <v>2000420100</v>
      </c>
      <c r="B1017" t="s">
        <v>595</v>
      </c>
      <c r="C1017" t="s">
        <v>130</v>
      </c>
      <c r="D1017" t="s">
        <v>131</v>
      </c>
      <c r="E1017" s="2">
        <v>7098</v>
      </c>
      <c r="F1017" t="s">
        <v>36</v>
      </c>
      <c r="G1017">
        <v>102</v>
      </c>
      <c r="H1017">
        <v>0</v>
      </c>
      <c r="I1017">
        <v>1.9323030000000001</v>
      </c>
    </row>
    <row r="1018" spans="1:9" x14ac:dyDescent="0.25">
      <c r="A1018">
        <v>2000420100</v>
      </c>
      <c r="B1018" t="s">
        <v>595</v>
      </c>
      <c r="C1018" t="s">
        <v>126</v>
      </c>
      <c r="D1018" t="s">
        <v>127</v>
      </c>
      <c r="E1018" s="2">
        <v>883</v>
      </c>
      <c r="F1018" t="s">
        <v>36</v>
      </c>
      <c r="G1018">
        <v>0</v>
      </c>
      <c r="H1018" s="2">
        <v>0</v>
      </c>
      <c r="I1018">
        <v>1.97333</v>
      </c>
    </row>
    <row r="1019" spans="1:9" x14ac:dyDescent="0.25">
      <c r="A1019">
        <v>2000420100</v>
      </c>
      <c r="B1019" t="s">
        <v>595</v>
      </c>
      <c r="C1019" t="s">
        <v>137</v>
      </c>
      <c r="D1019" t="s">
        <v>138</v>
      </c>
      <c r="E1019" s="2">
        <v>1</v>
      </c>
      <c r="F1019" t="s">
        <v>36</v>
      </c>
      <c r="G1019" s="2">
        <v>0</v>
      </c>
      <c r="H1019">
        <v>2</v>
      </c>
      <c r="I1019">
        <v>1.97</v>
      </c>
    </row>
    <row r="1020" spans="1:9" x14ac:dyDescent="0.25">
      <c r="A1020">
        <v>2000420100</v>
      </c>
      <c r="B1020" t="s">
        <v>595</v>
      </c>
      <c r="C1020" t="s">
        <v>139</v>
      </c>
      <c r="D1020" t="s">
        <v>140</v>
      </c>
      <c r="E1020" s="2">
        <v>18150</v>
      </c>
      <c r="F1020" t="s">
        <v>36</v>
      </c>
      <c r="G1020">
        <v>0</v>
      </c>
      <c r="H1020">
        <v>0</v>
      </c>
      <c r="I1020">
        <v>1.8722460000000001</v>
      </c>
    </row>
    <row r="1021" spans="1:9" x14ac:dyDescent="0.25">
      <c r="A1021">
        <v>2000420100</v>
      </c>
      <c r="B1021" t="s">
        <v>595</v>
      </c>
      <c r="C1021" t="s">
        <v>582</v>
      </c>
      <c r="D1021" t="s">
        <v>583</v>
      </c>
      <c r="E1021" s="2">
        <v>8450</v>
      </c>
      <c r="F1021" t="s">
        <v>36</v>
      </c>
      <c r="G1021">
        <v>0</v>
      </c>
      <c r="H1021" s="2">
        <v>0</v>
      </c>
      <c r="I1021">
        <v>1.58484</v>
      </c>
    </row>
    <row r="1022" spans="1:9" x14ac:dyDescent="0.25">
      <c r="A1022">
        <v>2000420101</v>
      </c>
      <c r="B1022" t="s">
        <v>596</v>
      </c>
      <c r="C1022" t="s">
        <v>130</v>
      </c>
      <c r="D1022" t="s">
        <v>131</v>
      </c>
      <c r="E1022" s="2">
        <v>5433</v>
      </c>
      <c r="F1022" t="s">
        <v>36</v>
      </c>
      <c r="G1022">
        <v>101</v>
      </c>
      <c r="H1022">
        <v>0</v>
      </c>
      <c r="I1022">
        <v>1.966372</v>
      </c>
    </row>
    <row r="1023" spans="1:9" x14ac:dyDescent="0.25">
      <c r="A1023">
        <v>2000420101</v>
      </c>
      <c r="B1023" t="s">
        <v>596</v>
      </c>
      <c r="C1023" t="s">
        <v>137</v>
      </c>
      <c r="D1023" t="s">
        <v>138</v>
      </c>
      <c r="E1023" s="2">
        <v>1</v>
      </c>
      <c r="F1023" t="s">
        <v>36</v>
      </c>
      <c r="G1023">
        <v>0</v>
      </c>
      <c r="H1023">
        <v>1</v>
      </c>
      <c r="I1023">
        <v>1.98</v>
      </c>
    </row>
    <row r="1024" spans="1:9" x14ac:dyDescent="0.25">
      <c r="A1024">
        <v>2000420101</v>
      </c>
      <c r="B1024" t="s">
        <v>596</v>
      </c>
      <c r="C1024" t="s">
        <v>139</v>
      </c>
      <c r="D1024" t="s">
        <v>140</v>
      </c>
      <c r="E1024" s="2">
        <v>5750</v>
      </c>
      <c r="F1024" t="s">
        <v>36</v>
      </c>
      <c r="G1024">
        <v>0</v>
      </c>
      <c r="H1024">
        <v>0</v>
      </c>
      <c r="I1024">
        <v>1.8712230000000001</v>
      </c>
    </row>
    <row r="1025" spans="1:9" x14ac:dyDescent="0.25">
      <c r="A1025">
        <v>2000420101</v>
      </c>
      <c r="B1025" t="s">
        <v>596</v>
      </c>
      <c r="C1025" t="s">
        <v>582</v>
      </c>
      <c r="D1025" t="s">
        <v>583</v>
      </c>
      <c r="E1025" s="2">
        <v>1750</v>
      </c>
      <c r="F1025" t="s">
        <v>36</v>
      </c>
      <c r="G1025">
        <v>0</v>
      </c>
      <c r="H1025">
        <v>0</v>
      </c>
      <c r="I1025">
        <v>1.58484</v>
      </c>
    </row>
    <row r="1026" spans="1:9" x14ac:dyDescent="0.25">
      <c r="A1026">
        <v>2000420102</v>
      </c>
      <c r="B1026" t="s">
        <v>597</v>
      </c>
      <c r="C1026" t="s">
        <v>130</v>
      </c>
      <c r="D1026" t="s">
        <v>131</v>
      </c>
      <c r="E1026" s="2">
        <v>5648</v>
      </c>
      <c r="F1026" t="s">
        <v>36</v>
      </c>
      <c r="G1026">
        <v>101</v>
      </c>
      <c r="H1026">
        <v>0</v>
      </c>
      <c r="I1026">
        <v>2.057013</v>
      </c>
    </row>
    <row r="1027" spans="1:9" x14ac:dyDescent="0.25">
      <c r="A1027">
        <v>2000420102</v>
      </c>
      <c r="B1027" t="s">
        <v>597</v>
      </c>
      <c r="C1027" t="s">
        <v>137</v>
      </c>
      <c r="D1027" t="s">
        <v>138</v>
      </c>
      <c r="E1027" s="2">
        <v>1</v>
      </c>
      <c r="F1027" t="s">
        <v>36</v>
      </c>
      <c r="G1027" s="2">
        <v>0</v>
      </c>
      <c r="H1027">
        <v>1</v>
      </c>
      <c r="I1027">
        <v>2.08</v>
      </c>
    </row>
    <row r="1028" spans="1:9" x14ac:dyDescent="0.25">
      <c r="A1028">
        <v>2000420102</v>
      </c>
      <c r="B1028" t="s">
        <v>597</v>
      </c>
      <c r="C1028" t="s">
        <v>139</v>
      </c>
      <c r="D1028" t="s">
        <v>140</v>
      </c>
      <c r="E1028" s="2">
        <v>4750</v>
      </c>
      <c r="F1028" t="s">
        <v>36</v>
      </c>
      <c r="G1028">
        <v>0</v>
      </c>
      <c r="H1028">
        <v>0</v>
      </c>
      <c r="I1028">
        <v>1.8641160000000001</v>
      </c>
    </row>
    <row r="1029" spans="1:9" x14ac:dyDescent="0.25">
      <c r="A1029">
        <v>2000420102</v>
      </c>
      <c r="B1029" t="s">
        <v>597</v>
      </c>
      <c r="C1029" t="s">
        <v>582</v>
      </c>
      <c r="D1029" t="s">
        <v>583</v>
      </c>
      <c r="E1029" s="2">
        <v>2650</v>
      </c>
      <c r="F1029" t="s">
        <v>36</v>
      </c>
      <c r="G1029">
        <v>0</v>
      </c>
      <c r="H1029">
        <v>0</v>
      </c>
      <c r="I1029">
        <v>1.5848420000000001</v>
      </c>
    </row>
    <row r="1030" spans="1:9" x14ac:dyDescent="0.25">
      <c r="A1030">
        <v>2000420103</v>
      </c>
      <c r="B1030" t="s">
        <v>598</v>
      </c>
      <c r="C1030" t="s">
        <v>130</v>
      </c>
      <c r="D1030" t="s">
        <v>131</v>
      </c>
      <c r="E1030" s="2">
        <v>5168</v>
      </c>
      <c r="F1030" t="s">
        <v>36</v>
      </c>
      <c r="G1030">
        <v>101</v>
      </c>
      <c r="H1030">
        <v>0</v>
      </c>
      <c r="I1030">
        <v>2.0260259999999999</v>
      </c>
    </row>
    <row r="1031" spans="1:9" x14ac:dyDescent="0.25">
      <c r="A1031">
        <v>2000420103</v>
      </c>
      <c r="B1031" t="s">
        <v>598</v>
      </c>
      <c r="C1031" t="s">
        <v>137</v>
      </c>
      <c r="D1031" t="s">
        <v>138</v>
      </c>
      <c r="E1031" s="2">
        <v>3</v>
      </c>
      <c r="F1031" t="s">
        <v>36</v>
      </c>
      <c r="G1031" s="2">
        <v>0</v>
      </c>
      <c r="H1031" s="2">
        <v>1</v>
      </c>
      <c r="I1031">
        <v>2.0299999999999998</v>
      </c>
    </row>
    <row r="1032" spans="1:9" x14ac:dyDescent="0.25">
      <c r="A1032">
        <v>2000420103</v>
      </c>
      <c r="B1032" t="s">
        <v>598</v>
      </c>
      <c r="C1032" t="s">
        <v>139</v>
      </c>
      <c r="D1032" t="s">
        <v>140</v>
      </c>
      <c r="E1032" s="2">
        <v>7950</v>
      </c>
      <c r="F1032" t="s">
        <v>36</v>
      </c>
      <c r="G1032">
        <v>0</v>
      </c>
      <c r="H1032">
        <v>0</v>
      </c>
      <c r="I1032">
        <v>1.8681700000000001</v>
      </c>
    </row>
    <row r="1033" spans="1:9" x14ac:dyDescent="0.25">
      <c r="A1033">
        <v>2000420103</v>
      </c>
      <c r="B1033" t="s">
        <v>598</v>
      </c>
      <c r="C1033" t="s">
        <v>582</v>
      </c>
      <c r="D1033" t="s">
        <v>583</v>
      </c>
      <c r="E1033" s="2">
        <v>3800</v>
      </c>
      <c r="F1033" t="s">
        <v>36</v>
      </c>
      <c r="G1033">
        <v>0</v>
      </c>
      <c r="H1033">
        <v>0</v>
      </c>
      <c r="I1033">
        <v>1.5848390000000001</v>
      </c>
    </row>
    <row r="1034" spans="1:9" x14ac:dyDescent="0.25">
      <c r="A1034">
        <v>2000420104</v>
      </c>
      <c r="B1034" t="s">
        <v>599</v>
      </c>
      <c r="C1034" t="s">
        <v>130</v>
      </c>
      <c r="D1034" t="s">
        <v>131</v>
      </c>
      <c r="E1034" s="2">
        <v>3417</v>
      </c>
      <c r="F1034" t="s">
        <v>36</v>
      </c>
      <c r="G1034">
        <v>101</v>
      </c>
      <c r="H1034" s="2">
        <v>0</v>
      </c>
      <c r="I1034">
        <v>2.00101</v>
      </c>
    </row>
    <row r="1035" spans="1:9" x14ac:dyDescent="0.25">
      <c r="A1035">
        <v>2000420104</v>
      </c>
      <c r="B1035" t="s">
        <v>599</v>
      </c>
      <c r="C1035" t="s">
        <v>126</v>
      </c>
      <c r="D1035" t="s">
        <v>127</v>
      </c>
      <c r="E1035" s="2">
        <v>293</v>
      </c>
      <c r="F1035" t="s">
        <v>36</v>
      </c>
      <c r="G1035" s="2">
        <v>0</v>
      </c>
      <c r="H1035">
        <v>0</v>
      </c>
      <c r="I1035">
        <v>2.0752899999999999</v>
      </c>
    </row>
    <row r="1036" spans="1:9" x14ac:dyDescent="0.25">
      <c r="A1036">
        <v>2000420104</v>
      </c>
      <c r="B1036" t="s">
        <v>599</v>
      </c>
      <c r="C1036" t="s">
        <v>137</v>
      </c>
      <c r="D1036" t="s">
        <v>138</v>
      </c>
      <c r="E1036" s="2">
        <v>0</v>
      </c>
      <c r="F1036" t="s">
        <v>36</v>
      </c>
      <c r="G1036">
        <v>0</v>
      </c>
      <c r="H1036" s="2">
        <v>1</v>
      </c>
      <c r="I1036">
        <v>2.0753330000000001</v>
      </c>
    </row>
    <row r="1037" spans="1:9" x14ac:dyDescent="0.25">
      <c r="A1037">
        <v>2000420104</v>
      </c>
      <c r="B1037" t="s">
        <v>599</v>
      </c>
      <c r="C1037" t="s">
        <v>139</v>
      </c>
      <c r="D1037" t="s">
        <v>140</v>
      </c>
      <c r="E1037" s="2">
        <v>4600</v>
      </c>
      <c r="F1037" t="s">
        <v>36</v>
      </c>
      <c r="G1037">
        <v>0</v>
      </c>
      <c r="H1037" s="2">
        <v>0</v>
      </c>
      <c r="I1037">
        <v>1.868959</v>
      </c>
    </row>
    <row r="1038" spans="1:9" x14ac:dyDescent="0.25">
      <c r="A1038">
        <v>2000420104</v>
      </c>
      <c r="B1038" t="s">
        <v>599</v>
      </c>
      <c r="C1038" t="s">
        <v>582</v>
      </c>
      <c r="D1038" t="s">
        <v>583</v>
      </c>
      <c r="E1038" s="2">
        <v>2250</v>
      </c>
      <c r="F1038" t="s">
        <v>36</v>
      </c>
      <c r="G1038">
        <v>0</v>
      </c>
      <c r="H1038" s="2">
        <v>0</v>
      </c>
      <c r="I1038">
        <v>1.58484</v>
      </c>
    </row>
    <row r="1039" spans="1:9" x14ac:dyDescent="0.25">
      <c r="A1039">
        <v>2000420105</v>
      </c>
      <c r="B1039" t="s">
        <v>600</v>
      </c>
      <c r="C1039" t="s">
        <v>130</v>
      </c>
      <c r="D1039" t="s">
        <v>131</v>
      </c>
      <c r="E1039" s="2">
        <v>3026</v>
      </c>
      <c r="F1039" t="s">
        <v>36</v>
      </c>
      <c r="G1039">
        <v>50</v>
      </c>
      <c r="H1039">
        <v>0</v>
      </c>
      <c r="I1039">
        <v>1.8891640000000001</v>
      </c>
    </row>
    <row r="1040" spans="1:9" x14ac:dyDescent="0.25">
      <c r="A1040">
        <v>2000420105</v>
      </c>
      <c r="B1040" t="s">
        <v>600</v>
      </c>
      <c r="C1040" t="s">
        <v>126</v>
      </c>
      <c r="D1040" t="s">
        <v>127</v>
      </c>
      <c r="E1040" s="2">
        <v>6150</v>
      </c>
      <c r="F1040" t="s">
        <v>36</v>
      </c>
      <c r="G1040" s="2">
        <v>0</v>
      </c>
      <c r="H1040">
        <v>0</v>
      </c>
      <c r="I1040">
        <v>2.0353889999999999</v>
      </c>
    </row>
    <row r="1041" spans="1:9" x14ac:dyDescent="0.25">
      <c r="A1041">
        <v>2000420105</v>
      </c>
      <c r="B1041" t="s">
        <v>600</v>
      </c>
      <c r="C1041" t="s">
        <v>139</v>
      </c>
      <c r="D1041" t="s">
        <v>140</v>
      </c>
      <c r="E1041" s="2">
        <v>17626</v>
      </c>
      <c r="F1041" t="s">
        <v>36</v>
      </c>
      <c r="G1041">
        <v>0</v>
      </c>
      <c r="H1041">
        <v>0</v>
      </c>
      <c r="I1041">
        <v>1.898806</v>
      </c>
    </row>
    <row r="1042" spans="1:9" x14ac:dyDescent="0.25">
      <c r="A1042">
        <v>2000420105</v>
      </c>
      <c r="B1042" t="s">
        <v>600</v>
      </c>
      <c r="C1042" t="s">
        <v>582</v>
      </c>
      <c r="D1042" t="s">
        <v>583</v>
      </c>
      <c r="E1042" s="2">
        <v>550</v>
      </c>
      <c r="F1042" t="s">
        <v>36</v>
      </c>
      <c r="G1042">
        <v>0</v>
      </c>
      <c r="H1042" s="2">
        <v>0</v>
      </c>
      <c r="I1042">
        <v>1.6185639999999999</v>
      </c>
    </row>
    <row r="1043" spans="1:9" x14ac:dyDescent="0.25">
      <c r="A1043">
        <v>2000420106</v>
      </c>
      <c r="B1043" t="s">
        <v>601</v>
      </c>
      <c r="C1043" t="s">
        <v>130</v>
      </c>
      <c r="D1043" t="s">
        <v>131</v>
      </c>
      <c r="E1043" s="2">
        <v>5827</v>
      </c>
      <c r="F1043" t="s">
        <v>36</v>
      </c>
      <c r="G1043" s="2">
        <v>50</v>
      </c>
      <c r="H1043">
        <v>0</v>
      </c>
      <c r="I1043">
        <v>1.8909579999999999</v>
      </c>
    </row>
    <row r="1044" spans="1:9" x14ac:dyDescent="0.25">
      <c r="A1044">
        <v>2000420106</v>
      </c>
      <c r="B1044" t="s">
        <v>601</v>
      </c>
      <c r="C1044" t="s">
        <v>139</v>
      </c>
      <c r="D1044" t="s">
        <v>140</v>
      </c>
      <c r="E1044" s="2">
        <v>21238</v>
      </c>
      <c r="F1044" t="s">
        <v>36</v>
      </c>
      <c r="G1044">
        <v>0</v>
      </c>
      <c r="H1044" s="2">
        <v>0</v>
      </c>
      <c r="I1044">
        <v>1.943748</v>
      </c>
    </row>
    <row r="1045" spans="1:9" x14ac:dyDescent="0.25">
      <c r="A1045">
        <v>2000420106</v>
      </c>
      <c r="B1045" t="s">
        <v>601</v>
      </c>
      <c r="C1045" t="s">
        <v>582</v>
      </c>
      <c r="D1045" t="s">
        <v>583</v>
      </c>
      <c r="E1045" s="2">
        <v>1450</v>
      </c>
      <c r="F1045" t="s">
        <v>36</v>
      </c>
      <c r="G1045">
        <v>0</v>
      </c>
      <c r="H1045" s="2">
        <v>0</v>
      </c>
      <c r="I1045">
        <v>1.6185590000000001</v>
      </c>
    </row>
    <row r="1046" spans="1:9" x14ac:dyDescent="0.25">
      <c r="A1046">
        <v>2000420107</v>
      </c>
      <c r="B1046" t="s">
        <v>602</v>
      </c>
      <c r="C1046" t="s">
        <v>130</v>
      </c>
      <c r="D1046" t="s">
        <v>131</v>
      </c>
      <c r="E1046" s="2">
        <v>6442</v>
      </c>
      <c r="F1046" t="s">
        <v>36</v>
      </c>
      <c r="G1046">
        <v>50</v>
      </c>
      <c r="H1046">
        <v>50</v>
      </c>
      <c r="I1046">
        <v>1.90141</v>
      </c>
    </row>
    <row r="1047" spans="1:9" x14ac:dyDescent="0.25">
      <c r="A1047">
        <v>2000420107</v>
      </c>
      <c r="B1047" t="s">
        <v>602</v>
      </c>
      <c r="C1047" t="s">
        <v>139</v>
      </c>
      <c r="D1047" t="s">
        <v>140</v>
      </c>
      <c r="E1047" s="2">
        <v>21450</v>
      </c>
      <c r="F1047" t="s">
        <v>36</v>
      </c>
      <c r="G1047">
        <v>0</v>
      </c>
      <c r="H1047">
        <v>0</v>
      </c>
      <c r="I1047">
        <v>1.9441280000000001</v>
      </c>
    </row>
    <row r="1048" spans="1:9" x14ac:dyDescent="0.25">
      <c r="A1048">
        <v>2000420107</v>
      </c>
      <c r="B1048" t="s">
        <v>602</v>
      </c>
      <c r="C1048" t="s">
        <v>582</v>
      </c>
      <c r="D1048" t="s">
        <v>583</v>
      </c>
      <c r="E1048" s="2">
        <v>50</v>
      </c>
      <c r="F1048" t="s">
        <v>36</v>
      </c>
      <c r="G1048" s="2">
        <v>50</v>
      </c>
      <c r="H1048">
        <v>0</v>
      </c>
      <c r="I1048">
        <v>1.6186</v>
      </c>
    </row>
    <row r="1049" spans="1:9" x14ac:dyDescent="0.25">
      <c r="A1049">
        <v>2000420108</v>
      </c>
      <c r="B1049" t="s">
        <v>603</v>
      </c>
      <c r="C1049" t="s">
        <v>130</v>
      </c>
      <c r="D1049" t="s">
        <v>131</v>
      </c>
      <c r="E1049" s="2">
        <v>3949</v>
      </c>
      <c r="F1049" t="s">
        <v>36</v>
      </c>
      <c r="G1049">
        <v>550</v>
      </c>
      <c r="H1049">
        <v>0</v>
      </c>
      <c r="I1049">
        <v>1.8892659999999999</v>
      </c>
    </row>
    <row r="1050" spans="1:9" x14ac:dyDescent="0.25">
      <c r="A1050">
        <v>2000420108</v>
      </c>
      <c r="B1050" t="s">
        <v>603</v>
      </c>
      <c r="C1050" t="s">
        <v>151</v>
      </c>
      <c r="D1050" t="s">
        <v>152</v>
      </c>
      <c r="E1050" s="2">
        <v>0</v>
      </c>
      <c r="F1050" t="s">
        <v>36</v>
      </c>
      <c r="G1050">
        <v>0</v>
      </c>
      <c r="H1050">
        <v>500</v>
      </c>
      <c r="I1050">
        <v>1.9601999999999999</v>
      </c>
    </row>
    <row r="1051" spans="1:9" x14ac:dyDescent="0.25">
      <c r="A1051">
        <v>2000420108</v>
      </c>
      <c r="B1051" t="s">
        <v>603</v>
      </c>
      <c r="C1051" t="s">
        <v>139</v>
      </c>
      <c r="D1051" t="s">
        <v>140</v>
      </c>
      <c r="E1051" s="2">
        <v>22232</v>
      </c>
      <c r="F1051" t="s">
        <v>36</v>
      </c>
      <c r="G1051">
        <v>0</v>
      </c>
      <c r="H1051">
        <v>0</v>
      </c>
      <c r="I1051">
        <v>1.954116</v>
      </c>
    </row>
    <row r="1052" spans="1:9" x14ac:dyDescent="0.25">
      <c r="A1052">
        <v>2000420108</v>
      </c>
      <c r="B1052" t="s">
        <v>603</v>
      </c>
      <c r="C1052" t="s">
        <v>582</v>
      </c>
      <c r="D1052" t="s">
        <v>583</v>
      </c>
      <c r="E1052" s="2">
        <v>50</v>
      </c>
      <c r="F1052" t="s">
        <v>36</v>
      </c>
      <c r="G1052">
        <v>0</v>
      </c>
      <c r="H1052">
        <v>0</v>
      </c>
      <c r="I1052">
        <v>1.6186</v>
      </c>
    </row>
    <row r="1053" spans="1:9" x14ac:dyDescent="0.25">
      <c r="A1053">
        <v>2000420109</v>
      </c>
      <c r="B1053" t="s">
        <v>604</v>
      </c>
      <c r="C1053" t="s">
        <v>130</v>
      </c>
      <c r="D1053" t="s">
        <v>131</v>
      </c>
      <c r="E1053" s="2">
        <v>12711</v>
      </c>
      <c r="F1053" t="s">
        <v>36</v>
      </c>
      <c r="G1053">
        <v>50</v>
      </c>
      <c r="H1053" s="2">
        <v>0</v>
      </c>
      <c r="I1053">
        <v>1.9646049999999999</v>
      </c>
    </row>
    <row r="1054" spans="1:9" x14ac:dyDescent="0.25">
      <c r="A1054">
        <v>2000420109</v>
      </c>
      <c r="B1054" t="s">
        <v>604</v>
      </c>
      <c r="C1054" t="s">
        <v>126</v>
      </c>
      <c r="D1054" t="s">
        <v>127</v>
      </c>
      <c r="E1054" s="2">
        <v>387</v>
      </c>
      <c r="F1054" t="s">
        <v>36</v>
      </c>
      <c r="G1054">
        <v>0</v>
      </c>
      <c r="H1054">
        <v>0</v>
      </c>
      <c r="I1054">
        <v>2.0237470000000002</v>
      </c>
    </row>
    <row r="1055" spans="1:9" x14ac:dyDescent="0.25">
      <c r="A1055">
        <v>2000420109</v>
      </c>
      <c r="B1055" t="s">
        <v>604</v>
      </c>
      <c r="C1055" t="s">
        <v>139</v>
      </c>
      <c r="D1055" t="s">
        <v>140</v>
      </c>
      <c r="E1055" s="2">
        <v>25300</v>
      </c>
      <c r="F1055" t="s">
        <v>36</v>
      </c>
      <c r="G1055">
        <v>0</v>
      </c>
      <c r="H1055">
        <v>0</v>
      </c>
      <c r="I1055">
        <v>1.94242</v>
      </c>
    </row>
    <row r="1056" spans="1:9" x14ac:dyDescent="0.25">
      <c r="A1056">
        <v>2000420109</v>
      </c>
      <c r="B1056" t="s">
        <v>604</v>
      </c>
      <c r="C1056" t="s">
        <v>582</v>
      </c>
      <c r="D1056" t="s">
        <v>583</v>
      </c>
      <c r="E1056" s="2">
        <v>50</v>
      </c>
      <c r="F1056" t="s">
        <v>36</v>
      </c>
      <c r="G1056">
        <v>0</v>
      </c>
      <c r="H1056">
        <v>0</v>
      </c>
      <c r="I1056">
        <v>1.6186</v>
      </c>
    </row>
    <row r="1057" spans="1:9" x14ac:dyDescent="0.25">
      <c r="A1057">
        <v>2000420110</v>
      </c>
      <c r="B1057" t="s">
        <v>605</v>
      </c>
      <c r="C1057" t="s">
        <v>199</v>
      </c>
      <c r="D1057" t="s">
        <v>200</v>
      </c>
      <c r="E1057" s="2">
        <v>50</v>
      </c>
      <c r="F1057" t="s">
        <v>36</v>
      </c>
      <c r="G1057">
        <v>0</v>
      </c>
      <c r="H1057">
        <v>0</v>
      </c>
      <c r="I1057">
        <v>1.9545999999999999</v>
      </c>
    </row>
    <row r="1058" spans="1:9" x14ac:dyDescent="0.25">
      <c r="A1058">
        <v>2000420110</v>
      </c>
      <c r="B1058" t="s">
        <v>605</v>
      </c>
      <c r="C1058" t="s">
        <v>130</v>
      </c>
      <c r="D1058" t="s">
        <v>131</v>
      </c>
      <c r="E1058" s="2">
        <v>940</v>
      </c>
      <c r="F1058" t="s">
        <v>36</v>
      </c>
      <c r="G1058">
        <v>601</v>
      </c>
      <c r="H1058" s="2">
        <v>0</v>
      </c>
      <c r="I1058">
        <v>1.889138</v>
      </c>
    </row>
    <row r="1059" spans="1:9" x14ac:dyDescent="0.25">
      <c r="A1059">
        <v>2000420110</v>
      </c>
      <c r="B1059" t="s">
        <v>605</v>
      </c>
      <c r="C1059" t="s">
        <v>126</v>
      </c>
      <c r="D1059" t="s">
        <v>127</v>
      </c>
      <c r="E1059" s="2">
        <v>3250</v>
      </c>
      <c r="F1059" t="s">
        <v>36</v>
      </c>
      <c r="G1059" s="2">
        <v>0</v>
      </c>
      <c r="H1059">
        <v>0</v>
      </c>
      <c r="I1059">
        <v>2.0391170000000001</v>
      </c>
    </row>
    <row r="1060" spans="1:9" x14ac:dyDescent="0.25">
      <c r="A1060">
        <v>2000420110</v>
      </c>
      <c r="B1060" t="s">
        <v>605</v>
      </c>
      <c r="C1060" t="s">
        <v>151</v>
      </c>
      <c r="D1060" t="s">
        <v>152</v>
      </c>
      <c r="E1060" s="2">
        <v>0</v>
      </c>
      <c r="F1060" t="s">
        <v>36</v>
      </c>
      <c r="G1060" s="2">
        <v>0</v>
      </c>
      <c r="H1060">
        <v>550</v>
      </c>
      <c r="I1060">
        <v>1.9490000000000001</v>
      </c>
    </row>
    <row r="1061" spans="1:9" x14ac:dyDescent="0.25">
      <c r="A1061">
        <v>2000420110</v>
      </c>
      <c r="B1061" t="s">
        <v>605</v>
      </c>
      <c r="C1061" t="s">
        <v>139</v>
      </c>
      <c r="D1061" t="s">
        <v>140</v>
      </c>
      <c r="E1061" s="2">
        <v>6220</v>
      </c>
      <c r="F1061" t="s">
        <v>36</v>
      </c>
      <c r="G1061" s="2">
        <v>0</v>
      </c>
      <c r="H1061">
        <v>0</v>
      </c>
      <c r="I1061">
        <v>1.9489650000000001</v>
      </c>
    </row>
    <row r="1062" spans="1:9" x14ac:dyDescent="0.25">
      <c r="A1062">
        <v>2000420110</v>
      </c>
      <c r="B1062" t="s">
        <v>605</v>
      </c>
      <c r="C1062" t="s">
        <v>582</v>
      </c>
      <c r="D1062" t="s">
        <v>583</v>
      </c>
      <c r="E1062" s="2">
        <v>300</v>
      </c>
      <c r="F1062" t="s">
        <v>36</v>
      </c>
      <c r="G1062">
        <v>0</v>
      </c>
      <c r="H1062">
        <v>0</v>
      </c>
      <c r="I1062">
        <v>1.6185670000000001</v>
      </c>
    </row>
    <row r="1063" spans="1:9" x14ac:dyDescent="0.25">
      <c r="A1063">
        <v>2000420111</v>
      </c>
      <c r="B1063" t="s">
        <v>606</v>
      </c>
      <c r="C1063" t="s">
        <v>130</v>
      </c>
      <c r="D1063" t="s">
        <v>131</v>
      </c>
      <c r="E1063" s="2">
        <v>2573</v>
      </c>
      <c r="F1063" t="s">
        <v>36</v>
      </c>
      <c r="G1063">
        <v>50</v>
      </c>
      <c r="H1063">
        <v>0</v>
      </c>
      <c r="I1063">
        <v>1.950793</v>
      </c>
    </row>
    <row r="1064" spans="1:9" x14ac:dyDescent="0.25">
      <c r="A1064">
        <v>2000420111</v>
      </c>
      <c r="B1064" t="s">
        <v>606</v>
      </c>
      <c r="C1064" t="s">
        <v>139</v>
      </c>
      <c r="D1064" t="s">
        <v>140</v>
      </c>
      <c r="E1064" s="2">
        <v>7800</v>
      </c>
      <c r="F1064" t="s">
        <v>36</v>
      </c>
      <c r="G1064">
        <v>0</v>
      </c>
      <c r="H1064">
        <v>0</v>
      </c>
      <c r="I1064">
        <v>1.962426</v>
      </c>
    </row>
    <row r="1065" spans="1:9" x14ac:dyDescent="0.25">
      <c r="A1065">
        <v>2000420111</v>
      </c>
      <c r="B1065" t="s">
        <v>606</v>
      </c>
      <c r="C1065" t="s">
        <v>582</v>
      </c>
      <c r="D1065" t="s">
        <v>583</v>
      </c>
      <c r="E1065" s="2">
        <v>350</v>
      </c>
      <c r="F1065" t="s">
        <v>36</v>
      </c>
      <c r="G1065">
        <v>0</v>
      </c>
      <c r="H1065">
        <v>0</v>
      </c>
      <c r="I1065">
        <v>1.618571</v>
      </c>
    </row>
    <row r="1066" spans="1:9" x14ac:dyDescent="0.25">
      <c r="A1066">
        <v>2000420112</v>
      </c>
      <c r="B1066" t="s">
        <v>607</v>
      </c>
      <c r="C1066" t="s">
        <v>130</v>
      </c>
      <c r="D1066" t="s">
        <v>131</v>
      </c>
      <c r="E1066" s="2">
        <v>2170</v>
      </c>
      <c r="F1066" t="s">
        <v>36</v>
      </c>
      <c r="G1066">
        <v>50</v>
      </c>
      <c r="H1066">
        <v>0</v>
      </c>
      <c r="I1066">
        <v>1.9815529999999999</v>
      </c>
    </row>
    <row r="1067" spans="1:9" x14ac:dyDescent="0.25">
      <c r="A1067">
        <v>2000420112</v>
      </c>
      <c r="B1067" t="s">
        <v>607</v>
      </c>
      <c r="C1067" t="s">
        <v>137</v>
      </c>
      <c r="D1067" t="s">
        <v>138</v>
      </c>
      <c r="E1067" s="2">
        <v>1</v>
      </c>
      <c r="F1067" t="s">
        <v>36</v>
      </c>
      <c r="G1067">
        <v>0</v>
      </c>
      <c r="H1067" s="2">
        <v>0</v>
      </c>
      <c r="I1067">
        <v>2.0299999999999998</v>
      </c>
    </row>
    <row r="1068" spans="1:9" x14ac:dyDescent="0.25">
      <c r="A1068">
        <v>2000420112</v>
      </c>
      <c r="B1068" t="s">
        <v>607</v>
      </c>
      <c r="C1068" t="s">
        <v>139</v>
      </c>
      <c r="D1068" t="s">
        <v>140</v>
      </c>
      <c r="E1068" s="2">
        <v>19300</v>
      </c>
      <c r="F1068" t="s">
        <v>36</v>
      </c>
      <c r="G1068">
        <v>0</v>
      </c>
      <c r="H1068">
        <v>0</v>
      </c>
      <c r="I1068">
        <v>1.932585</v>
      </c>
    </row>
    <row r="1069" spans="1:9" x14ac:dyDescent="0.25">
      <c r="A1069">
        <v>2000420112</v>
      </c>
      <c r="B1069" t="s">
        <v>607</v>
      </c>
      <c r="C1069" t="s">
        <v>582</v>
      </c>
      <c r="D1069" t="s">
        <v>583</v>
      </c>
      <c r="E1069" s="2">
        <v>1500</v>
      </c>
      <c r="F1069" t="s">
        <v>36</v>
      </c>
      <c r="G1069">
        <v>0</v>
      </c>
      <c r="H1069">
        <v>0</v>
      </c>
      <c r="I1069">
        <v>1.61856</v>
      </c>
    </row>
    <row r="1070" spans="1:9" x14ac:dyDescent="0.25">
      <c r="A1070">
        <v>2000420113</v>
      </c>
      <c r="B1070" t="s">
        <v>608</v>
      </c>
      <c r="C1070" t="s">
        <v>130</v>
      </c>
      <c r="D1070" t="s">
        <v>131</v>
      </c>
      <c r="E1070" s="2">
        <v>899</v>
      </c>
      <c r="F1070" t="s">
        <v>36</v>
      </c>
      <c r="G1070">
        <v>51</v>
      </c>
      <c r="H1070">
        <v>0</v>
      </c>
      <c r="I1070">
        <v>1.8895219999999999</v>
      </c>
    </row>
    <row r="1071" spans="1:9" x14ac:dyDescent="0.25">
      <c r="A1071">
        <v>2000420113</v>
      </c>
      <c r="B1071" t="s">
        <v>608</v>
      </c>
      <c r="C1071" t="s">
        <v>126</v>
      </c>
      <c r="D1071" t="s">
        <v>127</v>
      </c>
      <c r="E1071" s="2">
        <v>2986</v>
      </c>
      <c r="F1071" t="s">
        <v>36</v>
      </c>
      <c r="G1071">
        <v>0</v>
      </c>
      <c r="H1071">
        <v>0</v>
      </c>
      <c r="I1071">
        <v>2.0307270000000002</v>
      </c>
    </row>
    <row r="1072" spans="1:9" x14ac:dyDescent="0.25">
      <c r="A1072">
        <v>2000420113</v>
      </c>
      <c r="B1072" t="s">
        <v>608</v>
      </c>
      <c r="C1072" t="s">
        <v>137</v>
      </c>
      <c r="D1072" t="s">
        <v>138</v>
      </c>
      <c r="E1072" s="2">
        <v>1</v>
      </c>
      <c r="F1072" t="s">
        <v>36</v>
      </c>
      <c r="G1072">
        <v>0</v>
      </c>
      <c r="H1072" s="2">
        <v>0</v>
      </c>
      <c r="I1072">
        <v>2.0299999999999998</v>
      </c>
    </row>
    <row r="1073" spans="1:9" x14ac:dyDescent="0.25">
      <c r="A1073">
        <v>2000420113</v>
      </c>
      <c r="B1073" t="s">
        <v>608</v>
      </c>
      <c r="C1073" t="s">
        <v>139</v>
      </c>
      <c r="D1073" t="s">
        <v>140</v>
      </c>
      <c r="E1073" s="2">
        <v>7457</v>
      </c>
      <c r="F1073" t="s">
        <v>36</v>
      </c>
      <c r="G1073">
        <v>0</v>
      </c>
      <c r="H1073">
        <v>0</v>
      </c>
      <c r="I1073">
        <v>1.9391099999999999</v>
      </c>
    </row>
    <row r="1074" spans="1:9" x14ac:dyDescent="0.25">
      <c r="A1074">
        <v>2000420113</v>
      </c>
      <c r="B1074" t="s">
        <v>608</v>
      </c>
      <c r="C1074" t="s">
        <v>582</v>
      </c>
      <c r="D1074" t="s">
        <v>583</v>
      </c>
      <c r="E1074" s="2">
        <v>1350</v>
      </c>
      <c r="F1074" t="s">
        <v>36</v>
      </c>
      <c r="G1074">
        <v>0</v>
      </c>
      <c r="H1074">
        <v>0</v>
      </c>
      <c r="I1074">
        <v>1.618563</v>
      </c>
    </row>
    <row r="1075" spans="1:9" x14ac:dyDescent="0.25">
      <c r="A1075">
        <v>2000420114</v>
      </c>
      <c r="B1075" t="s">
        <v>609</v>
      </c>
      <c r="C1075" t="s">
        <v>130</v>
      </c>
      <c r="D1075" t="s">
        <v>131</v>
      </c>
      <c r="E1075" s="2">
        <v>715</v>
      </c>
      <c r="F1075" t="s">
        <v>36</v>
      </c>
      <c r="G1075">
        <v>101</v>
      </c>
      <c r="H1075">
        <v>0</v>
      </c>
      <c r="I1075">
        <v>1.819636</v>
      </c>
    </row>
    <row r="1076" spans="1:9" x14ac:dyDescent="0.25">
      <c r="A1076">
        <v>2000420114</v>
      </c>
      <c r="B1076" t="s">
        <v>609</v>
      </c>
      <c r="C1076" t="s">
        <v>137</v>
      </c>
      <c r="D1076" t="s">
        <v>138</v>
      </c>
      <c r="E1076" s="2">
        <v>0</v>
      </c>
      <c r="F1076" t="s">
        <v>36</v>
      </c>
      <c r="G1076">
        <v>0</v>
      </c>
      <c r="H1076" s="2">
        <v>1</v>
      </c>
      <c r="I1076">
        <v>2.2193329999999998</v>
      </c>
    </row>
    <row r="1077" spans="1:9" x14ac:dyDescent="0.25">
      <c r="A1077">
        <v>2000420114</v>
      </c>
      <c r="B1077" t="s">
        <v>609</v>
      </c>
      <c r="C1077" t="s">
        <v>139</v>
      </c>
      <c r="D1077" t="s">
        <v>140</v>
      </c>
      <c r="E1077" s="2">
        <v>2334</v>
      </c>
      <c r="F1077" t="s">
        <v>36</v>
      </c>
      <c r="G1077">
        <v>0</v>
      </c>
      <c r="H1077">
        <v>0</v>
      </c>
      <c r="I1077">
        <v>1.8172919999999999</v>
      </c>
    </row>
    <row r="1078" spans="1:9" x14ac:dyDescent="0.25">
      <c r="A1078">
        <v>2000420114</v>
      </c>
      <c r="B1078" t="s">
        <v>609</v>
      </c>
      <c r="C1078" t="s">
        <v>582</v>
      </c>
      <c r="D1078" t="s">
        <v>583</v>
      </c>
      <c r="E1078" s="2">
        <v>3750</v>
      </c>
      <c r="F1078" t="s">
        <v>36</v>
      </c>
      <c r="G1078">
        <v>0</v>
      </c>
      <c r="H1078" s="2">
        <v>0</v>
      </c>
      <c r="I1078">
        <v>1.58484</v>
      </c>
    </row>
    <row r="1079" spans="1:9" x14ac:dyDescent="0.25">
      <c r="A1079">
        <v>2000420115</v>
      </c>
      <c r="B1079" t="s">
        <v>610</v>
      </c>
      <c r="C1079" t="s">
        <v>130</v>
      </c>
      <c r="D1079" t="s">
        <v>131</v>
      </c>
      <c r="E1079" s="2">
        <v>699</v>
      </c>
      <c r="F1079" t="s">
        <v>36</v>
      </c>
      <c r="G1079">
        <v>151</v>
      </c>
      <c r="H1079">
        <v>12</v>
      </c>
      <c r="I1079">
        <v>1.8205009999999999</v>
      </c>
    </row>
    <row r="1080" spans="1:9" x14ac:dyDescent="0.25">
      <c r="A1080">
        <v>2000420115</v>
      </c>
      <c r="B1080" t="s">
        <v>610</v>
      </c>
      <c r="C1080" t="s">
        <v>137</v>
      </c>
      <c r="D1080" t="s">
        <v>138</v>
      </c>
      <c r="E1080" s="2">
        <v>0</v>
      </c>
      <c r="F1080" t="s">
        <v>36</v>
      </c>
      <c r="G1080">
        <v>0</v>
      </c>
      <c r="H1080" s="2">
        <v>1</v>
      </c>
      <c r="I1080">
        <v>2.2320000000000002</v>
      </c>
    </row>
    <row r="1081" spans="1:9" x14ac:dyDescent="0.25">
      <c r="A1081">
        <v>2000420115</v>
      </c>
      <c r="B1081" t="s">
        <v>610</v>
      </c>
      <c r="C1081" t="s">
        <v>151</v>
      </c>
      <c r="D1081" t="s">
        <v>152</v>
      </c>
      <c r="E1081" s="2">
        <v>0</v>
      </c>
      <c r="F1081" t="s">
        <v>36</v>
      </c>
      <c r="G1081">
        <v>0</v>
      </c>
      <c r="H1081">
        <v>50</v>
      </c>
      <c r="I1081">
        <v>1.9498</v>
      </c>
    </row>
    <row r="1082" spans="1:9" x14ac:dyDescent="0.25">
      <c r="A1082">
        <v>2000420115</v>
      </c>
      <c r="B1082" t="s">
        <v>610</v>
      </c>
      <c r="C1082" t="s">
        <v>139</v>
      </c>
      <c r="D1082" t="s">
        <v>140</v>
      </c>
      <c r="E1082" s="2">
        <v>1038</v>
      </c>
      <c r="F1082" t="s">
        <v>36</v>
      </c>
      <c r="G1082">
        <v>62</v>
      </c>
      <c r="H1082">
        <v>0</v>
      </c>
      <c r="I1082">
        <v>1.8213490000000001</v>
      </c>
    </row>
    <row r="1083" spans="1:9" x14ac:dyDescent="0.25">
      <c r="A1083">
        <v>2000420115</v>
      </c>
      <c r="B1083" t="s">
        <v>610</v>
      </c>
      <c r="C1083" t="s">
        <v>582</v>
      </c>
      <c r="D1083" t="s">
        <v>583</v>
      </c>
      <c r="E1083" s="2">
        <v>3800</v>
      </c>
      <c r="F1083" t="s">
        <v>36</v>
      </c>
      <c r="G1083">
        <v>0</v>
      </c>
      <c r="H1083">
        <v>0</v>
      </c>
      <c r="I1083">
        <v>1.5848390000000001</v>
      </c>
    </row>
    <row r="1084" spans="1:9" x14ac:dyDescent="0.25">
      <c r="A1084">
        <v>2000420116</v>
      </c>
      <c r="B1084" t="s">
        <v>611</v>
      </c>
      <c r="C1084" t="s">
        <v>130</v>
      </c>
      <c r="D1084" t="s">
        <v>131</v>
      </c>
      <c r="E1084" s="2">
        <v>542</v>
      </c>
      <c r="F1084" t="s">
        <v>36</v>
      </c>
      <c r="G1084">
        <v>354</v>
      </c>
      <c r="H1084" s="2">
        <v>0</v>
      </c>
      <c r="I1084">
        <v>1.8215870000000001</v>
      </c>
    </row>
    <row r="1085" spans="1:9" x14ac:dyDescent="0.25">
      <c r="A1085">
        <v>2000420116</v>
      </c>
      <c r="B1085" t="s">
        <v>611</v>
      </c>
      <c r="C1085" t="s">
        <v>137</v>
      </c>
      <c r="D1085" t="s">
        <v>138</v>
      </c>
      <c r="E1085" s="2">
        <v>0</v>
      </c>
      <c r="F1085" t="s">
        <v>36</v>
      </c>
      <c r="G1085">
        <v>0</v>
      </c>
      <c r="H1085">
        <v>1</v>
      </c>
      <c r="I1085">
        <v>2.2157140000000002</v>
      </c>
    </row>
    <row r="1086" spans="1:9" x14ac:dyDescent="0.25">
      <c r="A1086">
        <v>2000420116</v>
      </c>
      <c r="B1086" t="s">
        <v>611</v>
      </c>
      <c r="C1086" t="s">
        <v>151</v>
      </c>
      <c r="D1086" t="s">
        <v>152</v>
      </c>
      <c r="E1086" s="2">
        <v>0</v>
      </c>
      <c r="F1086" t="s">
        <v>36</v>
      </c>
      <c r="G1086" s="2">
        <v>0</v>
      </c>
      <c r="H1086">
        <v>200</v>
      </c>
      <c r="I1086">
        <v>1.9496500000000001</v>
      </c>
    </row>
    <row r="1087" spans="1:9" x14ac:dyDescent="0.25">
      <c r="A1087">
        <v>2000420116</v>
      </c>
      <c r="B1087" t="s">
        <v>611</v>
      </c>
      <c r="C1087" t="s">
        <v>139</v>
      </c>
      <c r="D1087" t="s">
        <v>140</v>
      </c>
      <c r="E1087" s="2">
        <v>947</v>
      </c>
      <c r="F1087" t="s">
        <v>36</v>
      </c>
      <c r="G1087">
        <v>0</v>
      </c>
      <c r="H1087">
        <v>0</v>
      </c>
      <c r="I1087">
        <v>1.8312139999999999</v>
      </c>
    </row>
    <row r="1088" spans="1:9" x14ac:dyDescent="0.25">
      <c r="A1088">
        <v>2000420116</v>
      </c>
      <c r="B1088" t="s">
        <v>611</v>
      </c>
      <c r="C1088" t="s">
        <v>582</v>
      </c>
      <c r="D1088" t="s">
        <v>583</v>
      </c>
      <c r="E1088" s="2">
        <v>2150</v>
      </c>
      <c r="F1088" t="s">
        <v>36</v>
      </c>
      <c r="G1088">
        <v>0</v>
      </c>
      <c r="H1088">
        <v>0</v>
      </c>
      <c r="I1088">
        <v>1.5848420000000001</v>
      </c>
    </row>
    <row r="1089" spans="1:9" x14ac:dyDescent="0.25">
      <c r="A1089">
        <v>2000420117</v>
      </c>
      <c r="B1089" t="s">
        <v>612</v>
      </c>
      <c r="C1089" t="s">
        <v>130</v>
      </c>
      <c r="D1089" t="s">
        <v>131</v>
      </c>
      <c r="E1089" s="2">
        <v>629</v>
      </c>
      <c r="F1089" t="s">
        <v>36</v>
      </c>
      <c r="G1089" s="2">
        <v>351</v>
      </c>
      <c r="H1089" s="2">
        <v>0</v>
      </c>
      <c r="I1089">
        <v>1.859253</v>
      </c>
    </row>
    <row r="1090" spans="1:9" x14ac:dyDescent="0.25">
      <c r="A1090">
        <v>2000420117</v>
      </c>
      <c r="B1090" t="s">
        <v>612</v>
      </c>
      <c r="C1090" t="s">
        <v>137</v>
      </c>
      <c r="D1090" t="s">
        <v>138</v>
      </c>
      <c r="E1090" s="2">
        <v>0</v>
      </c>
      <c r="F1090" t="s">
        <v>36</v>
      </c>
      <c r="G1090">
        <v>0</v>
      </c>
      <c r="H1090">
        <v>1</v>
      </c>
      <c r="I1090">
        <v>2.249333</v>
      </c>
    </row>
    <row r="1091" spans="1:9" x14ac:dyDescent="0.25">
      <c r="A1091">
        <v>2000420117</v>
      </c>
      <c r="B1091" t="s">
        <v>612</v>
      </c>
      <c r="C1091" t="s">
        <v>151</v>
      </c>
      <c r="D1091" t="s">
        <v>152</v>
      </c>
      <c r="E1091" s="2">
        <v>0</v>
      </c>
      <c r="F1091" t="s">
        <v>36</v>
      </c>
      <c r="G1091" s="2">
        <v>0</v>
      </c>
      <c r="H1091" s="2">
        <v>200</v>
      </c>
      <c r="I1091">
        <v>1.9487000000000001</v>
      </c>
    </row>
    <row r="1092" spans="1:9" x14ac:dyDescent="0.25">
      <c r="A1092">
        <v>2000420117</v>
      </c>
      <c r="B1092" t="s">
        <v>612</v>
      </c>
      <c r="C1092" t="s">
        <v>139</v>
      </c>
      <c r="D1092" t="s">
        <v>140</v>
      </c>
      <c r="E1092" s="2">
        <v>944</v>
      </c>
      <c r="F1092" t="s">
        <v>36</v>
      </c>
      <c r="G1092">
        <v>200</v>
      </c>
      <c r="H1092">
        <v>0</v>
      </c>
      <c r="I1092">
        <v>1.8397669999999999</v>
      </c>
    </row>
    <row r="1093" spans="1:9" x14ac:dyDescent="0.25">
      <c r="A1093">
        <v>2000420117</v>
      </c>
      <c r="B1093" t="s">
        <v>612</v>
      </c>
      <c r="C1093" t="s">
        <v>582</v>
      </c>
      <c r="D1093" t="s">
        <v>583</v>
      </c>
      <c r="E1093" s="2">
        <v>2900</v>
      </c>
      <c r="F1093" t="s">
        <v>36</v>
      </c>
      <c r="G1093">
        <v>0</v>
      </c>
      <c r="H1093">
        <v>0</v>
      </c>
      <c r="I1093">
        <v>1.5848409999999999</v>
      </c>
    </row>
    <row r="1094" spans="1:9" x14ac:dyDescent="0.25">
      <c r="A1094">
        <v>2000420118</v>
      </c>
      <c r="B1094" t="s">
        <v>613</v>
      </c>
      <c r="C1094" t="s">
        <v>130</v>
      </c>
      <c r="D1094" t="s">
        <v>131</v>
      </c>
      <c r="E1094" s="2">
        <v>1788</v>
      </c>
      <c r="F1094" t="s">
        <v>36</v>
      </c>
      <c r="G1094">
        <v>600</v>
      </c>
      <c r="H1094">
        <v>0</v>
      </c>
      <c r="I1094">
        <v>1.889122</v>
      </c>
    </row>
    <row r="1095" spans="1:9" x14ac:dyDescent="0.25">
      <c r="A1095">
        <v>2000420118</v>
      </c>
      <c r="B1095" t="s">
        <v>613</v>
      </c>
      <c r="C1095" t="s">
        <v>137</v>
      </c>
      <c r="D1095" t="s">
        <v>138</v>
      </c>
      <c r="E1095" s="2">
        <v>1</v>
      </c>
      <c r="F1095" t="s">
        <v>36</v>
      </c>
      <c r="G1095">
        <v>0</v>
      </c>
      <c r="H1095">
        <v>0</v>
      </c>
      <c r="I1095">
        <v>1.9</v>
      </c>
    </row>
    <row r="1096" spans="1:9" x14ac:dyDescent="0.25">
      <c r="A1096">
        <v>2000420118</v>
      </c>
      <c r="B1096" t="s">
        <v>613</v>
      </c>
      <c r="C1096" t="s">
        <v>151</v>
      </c>
      <c r="D1096" t="s">
        <v>152</v>
      </c>
      <c r="E1096" s="2">
        <v>0</v>
      </c>
      <c r="F1096" t="s">
        <v>36</v>
      </c>
      <c r="G1096">
        <v>0</v>
      </c>
      <c r="H1096">
        <v>500</v>
      </c>
      <c r="I1096">
        <v>1.8122799999999999</v>
      </c>
    </row>
    <row r="1097" spans="1:9" x14ac:dyDescent="0.25">
      <c r="A1097">
        <v>2000420118</v>
      </c>
      <c r="B1097" t="s">
        <v>613</v>
      </c>
      <c r="C1097" t="s">
        <v>139</v>
      </c>
      <c r="D1097" t="s">
        <v>140</v>
      </c>
      <c r="E1097" s="2">
        <v>6864</v>
      </c>
      <c r="F1097" t="s">
        <v>36</v>
      </c>
      <c r="G1097">
        <v>0</v>
      </c>
      <c r="H1097" s="2">
        <v>0</v>
      </c>
      <c r="I1097">
        <v>1.856954</v>
      </c>
    </row>
    <row r="1098" spans="1:9" x14ac:dyDescent="0.25">
      <c r="A1098">
        <v>2000420118</v>
      </c>
      <c r="B1098" t="s">
        <v>613</v>
      </c>
      <c r="C1098" t="s">
        <v>582</v>
      </c>
      <c r="D1098" t="s">
        <v>583</v>
      </c>
      <c r="E1098" s="2">
        <v>500</v>
      </c>
      <c r="F1098" t="s">
        <v>36</v>
      </c>
      <c r="G1098" s="2">
        <v>0</v>
      </c>
      <c r="H1098">
        <v>0</v>
      </c>
      <c r="I1098">
        <v>1.61856</v>
      </c>
    </row>
    <row r="1099" spans="1:9" x14ac:dyDescent="0.25">
      <c r="A1099">
        <v>2000420119</v>
      </c>
      <c r="B1099" t="s">
        <v>614</v>
      </c>
      <c r="C1099" t="s">
        <v>130</v>
      </c>
      <c r="D1099" t="s">
        <v>131</v>
      </c>
      <c r="E1099" s="2">
        <v>1231</v>
      </c>
      <c r="F1099" t="s">
        <v>36</v>
      </c>
      <c r="G1099">
        <v>742</v>
      </c>
      <c r="H1099" s="2">
        <v>2200</v>
      </c>
      <c r="I1099">
        <v>1.8890819999999999</v>
      </c>
    </row>
    <row r="1100" spans="1:9" x14ac:dyDescent="0.25">
      <c r="A1100">
        <v>2000420119</v>
      </c>
      <c r="B1100" t="s">
        <v>614</v>
      </c>
      <c r="C1100" t="s">
        <v>137</v>
      </c>
      <c r="D1100" t="s">
        <v>138</v>
      </c>
      <c r="E1100" s="2">
        <v>1</v>
      </c>
      <c r="F1100" t="s">
        <v>36</v>
      </c>
      <c r="G1100">
        <v>0</v>
      </c>
      <c r="H1100" s="2">
        <v>0</v>
      </c>
      <c r="I1100">
        <v>1.88</v>
      </c>
    </row>
    <row r="1101" spans="1:9" x14ac:dyDescent="0.25">
      <c r="A1101">
        <v>2000420119</v>
      </c>
      <c r="B1101" t="s">
        <v>614</v>
      </c>
      <c r="C1101" t="s">
        <v>151</v>
      </c>
      <c r="D1101" t="s">
        <v>152</v>
      </c>
      <c r="E1101" s="2">
        <v>0</v>
      </c>
      <c r="F1101" t="s">
        <v>36</v>
      </c>
      <c r="G1101" s="2">
        <v>0</v>
      </c>
      <c r="H1101">
        <v>692</v>
      </c>
      <c r="I1101">
        <v>1.8829039999999999</v>
      </c>
    </row>
    <row r="1102" spans="1:9" x14ac:dyDescent="0.25">
      <c r="A1102">
        <v>2000420119</v>
      </c>
      <c r="B1102" t="s">
        <v>614</v>
      </c>
      <c r="C1102" t="s">
        <v>139</v>
      </c>
      <c r="D1102" t="s">
        <v>140</v>
      </c>
      <c r="E1102" s="2">
        <v>3532</v>
      </c>
      <c r="F1102" t="s">
        <v>36</v>
      </c>
      <c r="G1102" s="2">
        <v>2200</v>
      </c>
      <c r="H1102">
        <v>0</v>
      </c>
      <c r="I1102">
        <v>1.902684</v>
      </c>
    </row>
    <row r="1103" spans="1:9" x14ac:dyDescent="0.25">
      <c r="A1103">
        <v>2000420120</v>
      </c>
      <c r="B1103" t="s">
        <v>615</v>
      </c>
      <c r="C1103" t="s">
        <v>130</v>
      </c>
      <c r="D1103" t="s">
        <v>131</v>
      </c>
      <c r="E1103" s="2">
        <v>27</v>
      </c>
      <c r="F1103" t="s">
        <v>36</v>
      </c>
      <c r="G1103">
        <v>50</v>
      </c>
      <c r="H1103">
        <v>0</v>
      </c>
      <c r="I1103">
        <v>2.025185</v>
      </c>
    </row>
    <row r="1104" spans="1:9" x14ac:dyDescent="0.25">
      <c r="A1104">
        <v>2000420120</v>
      </c>
      <c r="B1104" t="s">
        <v>615</v>
      </c>
      <c r="C1104" t="s">
        <v>137</v>
      </c>
      <c r="D1104" t="s">
        <v>138</v>
      </c>
      <c r="E1104" s="2">
        <v>1</v>
      </c>
      <c r="F1104" t="s">
        <v>36</v>
      </c>
      <c r="G1104" s="2">
        <v>0</v>
      </c>
      <c r="H1104">
        <v>0</v>
      </c>
      <c r="I1104">
        <v>2.0299999999999998</v>
      </c>
    </row>
    <row r="1105" spans="1:9" x14ac:dyDescent="0.25">
      <c r="A1105">
        <v>2000420120</v>
      </c>
      <c r="B1105" t="s">
        <v>615</v>
      </c>
      <c r="C1105" t="s">
        <v>139</v>
      </c>
      <c r="D1105" t="s">
        <v>140</v>
      </c>
      <c r="E1105" s="2">
        <v>681</v>
      </c>
      <c r="F1105" t="s">
        <v>36</v>
      </c>
      <c r="G1105">
        <v>100</v>
      </c>
      <c r="H1105" s="2">
        <v>0</v>
      </c>
      <c r="I1105">
        <v>1.9069020000000001</v>
      </c>
    </row>
    <row r="1106" spans="1:9" x14ac:dyDescent="0.25">
      <c r="A1106">
        <v>2000420120</v>
      </c>
      <c r="B1106" t="s">
        <v>615</v>
      </c>
      <c r="C1106" t="s">
        <v>582</v>
      </c>
      <c r="D1106" t="s">
        <v>583</v>
      </c>
      <c r="E1106" s="2">
        <v>550</v>
      </c>
      <c r="F1106" t="s">
        <v>36</v>
      </c>
      <c r="G1106">
        <v>0</v>
      </c>
      <c r="H1106">
        <v>0</v>
      </c>
      <c r="I1106">
        <v>1.6185639999999999</v>
      </c>
    </row>
    <row r="1107" spans="1:9" x14ac:dyDescent="0.25">
      <c r="A1107">
        <v>2000420121</v>
      </c>
      <c r="B1107" t="s">
        <v>616</v>
      </c>
      <c r="C1107" t="s">
        <v>130</v>
      </c>
      <c r="D1107" t="s">
        <v>131</v>
      </c>
      <c r="E1107" s="2">
        <v>910</v>
      </c>
      <c r="F1107" t="s">
        <v>36</v>
      </c>
      <c r="G1107" s="2">
        <v>2460</v>
      </c>
      <c r="H1107">
        <v>100</v>
      </c>
      <c r="I1107">
        <v>1.888879</v>
      </c>
    </row>
    <row r="1108" spans="1:9" x14ac:dyDescent="0.25">
      <c r="A1108">
        <v>2000420121</v>
      </c>
      <c r="B1108" t="s">
        <v>616</v>
      </c>
      <c r="C1108" t="s">
        <v>137</v>
      </c>
      <c r="D1108" t="s">
        <v>138</v>
      </c>
      <c r="E1108" s="2">
        <v>1</v>
      </c>
      <c r="F1108" t="s">
        <v>36</v>
      </c>
      <c r="G1108">
        <v>0</v>
      </c>
      <c r="H1108">
        <v>0</v>
      </c>
      <c r="I1108">
        <v>1.87</v>
      </c>
    </row>
    <row r="1109" spans="1:9" x14ac:dyDescent="0.25">
      <c r="A1109">
        <v>2000420121</v>
      </c>
      <c r="B1109" t="s">
        <v>616</v>
      </c>
      <c r="C1109" t="s">
        <v>151</v>
      </c>
      <c r="D1109" t="s">
        <v>152</v>
      </c>
      <c r="E1109" s="2">
        <v>0</v>
      </c>
      <c r="F1109" t="s">
        <v>36</v>
      </c>
      <c r="G1109" s="2">
        <v>0</v>
      </c>
      <c r="H1109" s="2">
        <v>2860</v>
      </c>
      <c r="I1109">
        <v>1.8682000000000001</v>
      </c>
    </row>
    <row r="1110" spans="1:9" x14ac:dyDescent="0.25">
      <c r="A1110">
        <v>2000420121</v>
      </c>
      <c r="B1110" t="s">
        <v>616</v>
      </c>
      <c r="C1110" t="s">
        <v>139</v>
      </c>
      <c r="D1110" t="s">
        <v>140</v>
      </c>
      <c r="E1110" s="2">
        <v>1618</v>
      </c>
      <c r="F1110" t="s">
        <v>36</v>
      </c>
      <c r="G1110">
        <v>550</v>
      </c>
      <c r="H1110" s="2">
        <v>0</v>
      </c>
      <c r="I1110">
        <v>1.890056</v>
      </c>
    </row>
    <row r="1111" spans="1:9" x14ac:dyDescent="0.25">
      <c r="A1111">
        <v>2000420121</v>
      </c>
      <c r="B1111" t="s">
        <v>616</v>
      </c>
      <c r="C1111" t="s">
        <v>582</v>
      </c>
      <c r="D1111" t="s">
        <v>583</v>
      </c>
      <c r="E1111" s="2">
        <v>1700</v>
      </c>
      <c r="F1111" t="s">
        <v>36</v>
      </c>
      <c r="G1111">
        <v>0</v>
      </c>
      <c r="H1111">
        <v>0</v>
      </c>
      <c r="I1111">
        <v>1.6185590000000001</v>
      </c>
    </row>
    <row r="1112" spans="1:9" x14ac:dyDescent="0.25">
      <c r="A1112">
        <v>2000430012</v>
      </c>
      <c r="B1112" t="s">
        <v>617</v>
      </c>
      <c r="C1112" t="s">
        <v>130</v>
      </c>
      <c r="D1112" t="s">
        <v>131</v>
      </c>
      <c r="E1112" s="2">
        <v>1040854</v>
      </c>
      <c r="F1112" t="s">
        <v>36</v>
      </c>
      <c r="G1112" s="2">
        <v>151</v>
      </c>
      <c r="H1112" s="2">
        <v>0</v>
      </c>
      <c r="I1112">
        <v>2.6783000000000001E-2</v>
      </c>
    </row>
    <row r="1113" spans="1:9" x14ac:dyDescent="0.25">
      <c r="A1113">
        <v>2000430012</v>
      </c>
      <c r="B1113" t="s">
        <v>617</v>
      </c>
      <c r="C1113" t="s">
        <v>137</v>
      </c>
      <c r="D1113" t="s">
        <v>138</v>
      </c>
      <c r="E1113" s="2">
        <v>0</v>
      </c>
      <c r="F1113" t="s">
        <v>36</v>
      </c>
      <c r="G1113">
        <v>0</v>
      </c>
      <c r="H1113">
        <v>51</v>
      </c>
      <c r="I1113">
        <v>3.5000000000000003E-2</v>
      </c>
    </row>
    <row r="1114" spans="1:9" x14ac:dyDescent="0.25">
      <c r="A1114">
        <v>2000430013</v>
      </c>
      <c r="B1114" t="s">
        <v>618</v>
      </c>
      <c r="C1114" t="s">
        <v>130</v>
      </c>
      <c r="D1114" t="s">
        <v>131</v>
      </c>
      <c r="E1114" s="2">
        <v>22150</v>
      </c>
      <c r="F1114" t="s">
        <v>36</v>
      </c>
      <c r="G1114">
        <v>0</v>
      </c>
      <c r="H1114" s="2">
        <v>0</v>
      </c>
      <c r="I1114">
        <v>2.4198000000000001E-2</v>
      </c>
    </row>
    <row r="1115" spans="1:9" x14ac:dyDescent="0.25">
      <c r="A1115">
        <v>2000440013</v>
      </c>
      <c r="B1115" t="s">
        <v>619</v>
      </c>
      <c r="C1115" t="s">
        <v>130</v>
      </c>
      <c r="D1115" t="s">
        <v>131</v>
      </c>
      <c r="E1115" s="2">
        <v>16500</v>
      </c>
      <c r="F1115" t="s">
        <v>36</v>
      </c>
      <c r="G1115" s="2">
        <v>0</v>
      </c>
      <c r="H1115">
        <v>0</v>
      </c>
      <c r="I1115">
        <v>0.188837</v>
      </c>
    </row>
    <row r="1116" spans="1:9" x14ac:dyDescent="0.25">
      <c r="A1116">
        <v>2000450001</v>
      </c>
      <c r="B1116" t="s">
        <v>620</v>
      </c>
      <c r="C1116" t="s">
        <v>126</v>
      </c>
      <c r="D1116" t="s">
        <v>127</v>
      </c>
      <c r="E1116" s="2">
        <v>3</v>
      </c>
      <c r="F1116" t="s">
        <v>36</v>
      </c>
      <c r="G1116">
        <v>0</v>
      </c>
      <c r="H1116">
        <v>0</v>
      </c>
      <c r="I1116">
        <v>12.993333</v>
      </c>
    </row>
    <row r="1117" spans="1:9" x14ac:dyDescent="0.25">
      <c r="A1117">
        <v>2000450004</v>
      </c>
      <c r="B1117" t="s">
        <v>621</v>
      </c>
      <c r="C1117" t="s">
        <v>126</v>
      </c>
      <c r="D1117" t="s">
        <v>127</v>
      </c>
      <c r="E1117" s="2">
        <v>9</v>
      </c>
      <c r="F1117" t="s">
        <v>36</v>
      </c>
      <c r="G1117">
        <v>0</v>
      </c>
      <c r="H1117">
        <v>0</v>
      </c>
      <c r="I1117">
        <v>10.001111</v>
      </c>
    </row>
    <row r="1118" spans="1:9" x14ac:dyDescent="0.25">
      <c r="A1118">
        <v>2000450005</v>
      </c>
      <c r="B1118" t="s">
        <v>622</v>
      </c>
      <c r="C1118" t="s">
        <v>126</v>
      </c>
      <c r="D1118" t="s">
        <v>127</v>
      </c>
      <c r="E1118" s="2">
        <v>3</v>
      </c>
      <c r="F1118" t="s">
        <v>36</v>
      </c>
      <c r="G1118" s="2">
        <v>0</v>
      </c>
      <c r="H1118" s="2">
        <v>0</v>
      </c>
      <c r="I1118">
        <v>15.326667</v>
      </c>
    </row>
    <row r="1119" spans="1:9" x14ac:dyDescent="0.25">
      <c r="A1119">
        <v>2000450006</v>
      </c>
      <c r="B1119" t="s">
        <v>623</v>
      </c>
      <c r="C1119" t="s">
        <v>126</v>
      </c>
      <c r="D1119" t="s">
        <v>127</v>
      </c>
      <c r="E1119" s="2">
        <v>2</v>
      </c>
      <c r="F1119" t="s">
        <v>36</v>
      </c>
      <c r="G1119">
        <v>0</v>
      </c>
      <c r="H1119">
        <v>0</v>
      </c>
      <c r="I1119">
        <v>21.355</v>
      </c>
    </row>
    <row r="1120" spans="1:9" x14ac:dyDescent="0.25">
      <c r="A1120">
        <v>2000450043</v>
      </c>
      <c r="B1120" t="s">
        <v>624</v>
      </c>
      <c r="C1120" t="s">
        <v>130</v>
      </c>
      <c r="D1120" t="s">
        <v>131</v>
      </c>
      <c r="E1120" s="2">
        <v>72</v>
      </c>
      <c r="F1120" t="s">
        <v>36</v>
      </c>
      <c r="G1120" s="2">
        <v>2814</v>
      </c>
      <c r="H1120">
        <v>0</v>
      </c>
      <c r="I1120">
        <v>7.0000000000000007E-2</v>
      </c>
    </row>
    <row r="1121" spans="1:9" x14ac:dyDescent="0.25">
      <c r="A1121">
        <v>2000450043</v>
      </c>
      <c r="B1121" t="s">
        <v>624</v>
      </c>
      <c r="C1121" t="s">
        <v>625</v>
      </c>
      <c r="D1121" t="s">
        <v>626</v>
      </c>
      <c r="E1121" s="2">
        <v>12</v>
      </c>
      <c r="F1121" t="s">
        <v>36</v>
      </c>
      <c r="G1121">
        <v>0</v>
      </c>
      <c r="H1121">
        <v>0</v>
      </c>
      <c r="I1121">
        <v>0.7</v>
      </c>
    </row>
    <row r="1122" spans="1:9" x14ac:dyDescent="0.25">
      <c r="A1122">
        <v>2000450043</v>
      </c>
      <c r="B1122" t="s">
        <v>624</v>
      </c>
      <c r="C1122" t="s">
        <v>137</v>
      </c>
      <c r="D1122" t="s">
        <v>138</v>
      </c>
      <c r="E1122" s="2">
        <v>39</v>
      </c>
      <c r="F1122" t="s">
        <v>36</v>
      </c>
      <c r="G1122">
        <v>0</v>
      </c>
      <c r="H1122" s="2">
        <v>0</v>
      </c>
      <c r="I1122">
        <v>0.27692299999999997</v>
      </c>
    </row>
    <row r="1123" spans="1:9" x14ac:dyDescent="0.25">
      <c r="A1123">
        <v>2000450044</v>
      </c>
      <c r="B1123" t="s">
        <v>627</v>
      </c>
      <c r="C1123" t="s">
        <v>130</v>
      </c>
      <c r="D1123" t="s">
        <v>131</v>
      </c>
      <c r="E1123" s="2">
        <v>1797</v>
      </c>
      <c r="F1123" t="s">
        <v>36</v>
      </c>
      <c r="G1123">
        <v>262</v>
      </c>
      <c r="H1123">
        <v>0</v>
      </c>
      <c r="I1123">
        <v>6.0429830000000004</v>
      </c>
    </row>
    <row r="1124" spans="1:9" x14ac:dyDescent="0.25">
      <c r="A1124">
        <v>2000450044</v>
      </c>
      <c r="B1124" t="s">
        <v>627</v>
      </c>
      <c r="C1124" t="s">
        <v>137</v>
      </c>
      <c r="D1124" t="s">
        <v>138</v>
      </c>
      <c r="E1124" s="2">
        <v>20</v>
      </c>
      <c r="F1124" t="s">
        <v>36</v>
      </c>
      <c r="G1124">
        <v>0</v>
      </c>
      <c r="H1124">
        <v>18</v>
      </c>
      <c r="I1124">
        <v>6.2504999999999997</v>
      </c>
    </row>
    <row r="1125" spans="1:9" x14ac:dyDescent="0.25">
      <c r="A1125">
        <v>2000450044</v>
      </c>
      <c r="B1125" t="s">
        <v>627</v>
      </c>
      <c r="C1125" t="s">
        <v>151</v>
      </c>
      <c r="D1125" t="s">
        <v>152</v>
      </c>
      <c r="E1125" s="2">
        <v>0</v>
      </c>
      <c r="F1125" t="s">
        <v>36</v>
      </c>
      <c r="G1125">
        <v>0</v>
      </c>
      <c r="H1125">
        <v>216</v>
      </c>
      <c r="I1125">
        <v>6.0428470000000001</v>
      </c>
    </row>
    <row r="1126" spans="1:9" x14ac:dyDescent="0.25">
      <c r="A1126">
        <v>2000450044</v>
      </c>
      <c r="B1126" t="s">
        <v>627</v>
      </c>
      <c r="C1126" t="s">
        <v>139</v>
      </c>
      <c r="D1126" t="s">
        <v>140</v>
      </c>
      <c r="E1126" s="2">
        <v>9594</v>
      </c>
      <c r="F1126" t="s">
        <v>36</v>
      </c>
      <c r="G1126">
        <v>0</v>
      </c>
      <c r="H1126">
        <v>0</v>
      </c>
      <c r="I1126">
        <v>6.0428309999999996</v>
      </c>
    </row>
    <row r="1127" spans="1:9" x14ac:dyDescent="0.25">
      <c r="A1127">
        <v>2000460022</v>
      </c>
      <c r="B1127" t="s">
        <v>628</v>
      </c>
      <c r="C1127" t="s">
        <v>126</v>
      </c>
      <c r="D1127" t="s">
        <v>127</v>
      </c>
      <c r="E1127" s="2">
        <v>2108</v>
      </c>
      <c r="F1127" t="s">
        <v>36</v>
      </c>
      <c r="G1127">
        <v>0</v>
      </c>
      <c r="H1127">
        <v>0</v>
      </c>
      <c r="I1127">
        <v>0.71963500000000002</v>
      </c>
    </row>
    <row r="1128" spans="1:9" x14ac:dyDescent="0.25">
      <c r="A1128">
        <v>2000460023</v>
      </c>
      <c r="B1128" t="s">
        <v>629</v>
      </c>
      <c r="C1128" t="s">
        <v>126</v>
      </c>
      <c r="D1128" t="s">
        <v>127</v>
      </c>
      <c r="E1128" s="2">
        <v>426</v>
      </c>
      <c r="F1128" t="s">
        <v>36</v>
      </c>
      <c r="G1128">
        <v>0</v>
      </c>
      <c r="H1128">
        <v>0</v>
      </c>
      <c r="I1128">
        <v>0.52204200000000001</v>
      </c>
    </row>
    <row r="1129" spans="1:9" x14ac:dyDescent="0.25">
      <c r="A1129">
        <v>2000460037</v>
      </c>
      <c r="B1129" t="s">
        <v>630</v>
      </c>
      <c r="C1129" t="s">
        <v>126</v>
      </c>
      <c r="D1129" t="s">
        <v>127</v>
      </c>
      <c r="E1129" s="2">
        <v>43</v>
      </c>
      <c r="F1129" t="s">
        <v>36</v>
      </c>
      <c r="G1129">
        <v>0</v>
      </c>
      <c r="H1129" s="2">
        <v>0</v>
      </c>
      <c r="I1129">
        <v>1.152558</v>
      </c>
    </row>
    <row r="1130" spans="1:9" x14ac:dyDescent="0.25">
      <c r="A1130">
        <v>2000460038</v>
      </c>
      <c r="B1130" t="s">
        <v>631</v>
      </c>
      <c r="C1130" t="s">
        <v>126</v>
      </c>
      <c r="D1130" t="s">
        <v>127</v>
      </c>
      <c r="E1130" s="2">
        <v>2</v>
      </c>
      <c r="F1130" t="s">
        <v>36</v>
      </c>
      <c r="G1130">
        <v>0</v>
      </c>
      <c r="H1130" s="2">
        <v>0</v>
      </c>
      <c r="I1130">
        <v>1.8049999999999999</v>
      </c>
    </row>
    <row r="1131" spans="1:9" x14ac:dyDescent="0.25">
      <c r="A1131">
        <v>2000460039</v>
      </c>
      <c r="B1131" t="s">
        <v>632</v>
      </c>
      <c r="C1131" t="s">
        <v>130</v>
      </c>
      <c r="D1131" t="s">
        <v>131</v>
      </c>
      <c r="E1131" s="2">
        <v>0</v>
      </c>
      <c r="F1131" t="s">
        <v>36</v>
      </c>
      <c r="G1131">
        <v>0</v>
      </c>
      <c r="H1131" s="2">
        <v>2352</v>
      </c>
      <c r="I1131">
        <v>0</v>
      </c>
    </row>
    <row r="1132" spans="1:9" x14ac:dyDescent="0.25">
      <c r="A1132">
        <v>2000460039</v>
      </c>
      <c r="B1132" t="s">
        <v>632</v>
      </c>
      <c r="C1132" t="s">
        <v>126</v>
      </c>
      <c r="D1132" t="s">
        <v>127</v>
      </c>
      <c r="E1132" s="2">
        <v>22</v>
      </c>
      <c r="F1132" t="s">
        <v>36</v>
      </c>
      <c r="G1132">
        <v>0</v>
      </c>
      <c r="H1132">
        <v>0</v>
      </c>
      <c r="I1132">
        <v>0.13909099999999999</v>
      </c>
    </row>
    <row r="1133" spans="1:9" x14ac:dyDescent="0.25">
      <c r="A1133">
        <v>2000460039</v>
      </c>
      <c r="B1133" t="s">
        <v>632</v>
      </c>
      <c r="C1133" t="s">
        <v>139</v>
      </c>
      <c r="D1133" t="s">
        <v>140</v>
      </c>
      <c r="E1133" s="2">
        <v>2352</v>
      </c>
      <c r="F1133" t="s">
        <v>36</v>
      </c>
      <c r="G1133" s="2">
        <v>2352</v>
      </c>
      <c r="H1133">
        <v>0</v>
      </c>
      <c r="I1133">
        <v>0.13897999999999999</v>
      </c>
    </row>
    <row r="1134" spans="1:9" x14ac:dyDescent="0.25">
      <c r="A1134">
        <v>2000460040</v>
      </c>
      <c r="B1134" t="s">
        <v>633</v>
      </c>
      <c r="C1134" t="s">
        <v>130</v>
      </c>
      <c r="D1134" t="s">
        <v>131</v>
      </c>
      <c r="E1134" s="2">
        <v>0</v>
      </c>
      <c r="F1134" t="s">
        <v>36</v>
      </c>
      <c r="G1134">
        <v>0</v>
      </c>
      <c r="H1134">
        <v>84</v>
      </c>
      <c r="I1134">
        <v>0</v>
      </c>
    </row>
    <row r="1135" spans="1:9" x14ac:dyDescent="0.25">
      <c r="A1135">
        <v>2000460040</v>
      </c>
      <c r="B1135" t="s">
        <v>633</v>
      </c>
      <c r="C1135" t="s">
        <v>126</v>
      </c>
      <c r="D1135" t="s">
        <v>127</v>
      </c>
      <c r="E1135" s="2">
        <v>29</v>
      </c>
      <c r="F1135" t="s">
        <v>36</v>
      </c>
      <c r="G1135">
        <v>0</v>
      </c>
      <c r="H1135">
        <v>0</v>
      </c>
      <c r="I1135">
        <v>0.75620699999999996</v>
      </c>
    </row>
    <row r="1136" spans="1:9" x14ac:dyDescent="0.25">
      <c r="A1136">
        <v>2000460040</v>
      </c>
      <c r="B1136" t="s">
        <v>633</v>
      </c>
      <c r="C1136" t="s">
        <v>139</v>
      </c>
      <c r="D1136" t="s">
        <v>140</v>
      </c>
      <c r="E1136" s="2">
        <v>84</v>
      </c>
      <c r="F1136" t="s">
        <v>36</v>
      </c>
      <c r="G1136">
        <v>84</v>
      </c>
      <c r="H1136" s="2">
        <v>0</v>
      </c>
      <c r="I1136">
        <v>0.75631000000000004</v>
      </c>
    </row>
    <row r="1137" spans="1:9" x14ac:dyDescent="0.25">
      <c r="A1137">
        <v>2000460041</v>
      </c>
      <c r="B1137" t="s">
        <v>634</v>
      </c>
      <c r="C1137" t="s">
        <v>130</v>
      </c>
      <c r="D1137" t="s">
        <v>131</v>
      </c>
      <c r="E1137" s="2">
        <v>42</v>
      </c>
      <c r="F1137" t="s">
        <v>36</v>
      </c>
      <c r="G1137" s="2">
        <v>4475</v>
      </c>
      <c r="H1137" s="2">
        <v>2772</v>
      </c>
      <c r="I1137">
        <v>0.88261900000000004</v>
      </c>
    </row>
    <row r="1138" spans="1:9" x14ac:dyDescent="0.25">
      <c r="A1138">
        <v>2000460041</v>
      </c>
      <c r="B1138" t="s">
        <v>634</v>
      </c>
      <c r="C1138" t="s">
        <v>126</v>
      </c>
      <c r="D1138" t="s">
        <v>127</v>
      </c>
      <c r="E1138" s="2">
        <v>12</v>
      </c>
      <c r="F1138" t="s">
        <v>36</v>
      </c>
      <c r="G1138">
        <v>0</v>
      </c>
      <c r="H1138">
        <v>0</v>
      </c>
      <c r="I1138">
        <v>0.88333300000000003</v>
      </c>
    </row>
    <row r="1139" spans="1:9" x14ac:dyDescent="0.25">
      <c r="A1139">
        <v>2000460041</v>
      </c>
      <c r="B1139" t="s">
        <v>634</v>
      </c>
      <c r="C1139" t="s">
        <v>139</v>
      </c>
      <c r="D1139" t="s">
        <v>140</v>
      </c>
      <c r="E1139" s="2">
        <v>4</v>
      </c>
      <c r="F1139" t="s">
        <v>36</v>
      </c>
      <c r="G1139" s="2">
        <v>2772</v>
      </c>
      <c r="H1139" s="2">
        <v>1181</v>
      </c>
      <c r="I1139">
        <v>0.88249999999999995</v>
      </c>
    </row>
    <row r="1140" spans="1:9" x14ac:dyDescent="0.25">
      <c r="A1140">
        <v>2000460042</v>
      </c>
      <c r="B1140" t="s">
        <v>635</v>
      </c>
      <c r="C1140" t="s">
        <v>130</v>
      </c>
      <c r="D1140" t="s">
        <v>131</v>
      </c>
      <c r="E1140" s="2">
        <v>8147</v>
      </c>
      <c r="F1140" t="s">
        <v>36</v>
      </c>
      <c r="G1140">
        <v>3</v>
      </c>
      <c r="H1140" s="2">
        <v>0</v>
      </c>
      <c r="I1140">
        <v>0.25200899999999998</v>
      </c>
    </row>
    <row r="1141" spans="1:9" x14ac:dyDescent="0.25">
      <c r="A1141">
        <v>2000460042</v>
      </c>
      <c r="B1141" t="s">
        <v>635</v>
      </c>
      <c r="C1141" t="s">
        <v>139</v>
      </c>
      <c r="D1141" t="s">
        <v>140</v>
      </c>
      <c r="E1141" s="2">
        <v>1457</v>
      </c>
      <c r="F1141" t="s">
        <v>36</v>
      </c>
      <c r="G1141">
        <v>0</v>
      </c>
      <c r="H1141">
        <v>0</v>
      </c>
      <c r="I1141">
        <v>0.21294399999999999</v>
      </c>
    </row>
    <row r="1142" spans="1:9" x14ac:dyDescent="0.25">
      <c r="A1142">
        <v>2000460043</v>
      </c>
      <c r="B1142" t="s">
        <v>636</v>
      </c>
      <c r="C1142" t="s">
        <v>126</v>
      </c>
      <c r="D1142" t="s">
        <v>127</v>
      </c>
      <c r="E1142" s="2">
        <v>104</v>
      </c>
      <c r="F1142" t="s">
        <v>36</v>
      </c>
      <c r="G1142">
        <v>0</v>
      </c>
      <c r="H1142">
        <v>0</v>
      </c>
      <c r="I1142">
        <v>0.49307699999999999</v>
      </c>
    </row>
    <row r="1143" spans="1:9" x14ac:dyDescent="0.25">
      <c r="A1143">
        <v>2000460045</v>
      </c>
      <c r="B1143" t="s">
        <v>637</v>
      </c>
      <c r="C1143" t="s">
        <v>126</v>
      </c>
      <c r="D1143" t="s">
        <v>127</v>
      </c>
      <c r="E1143" s="2">
        <v>15</v>
      </c>
      <c r="F1143" t="s">
        <v>36</v>
      </c>
      <c r="G1143">
        <v>0</v>
      </c>
      <c r="H1143">
        <v>0</v>
      </c>
      <c r="I1143">
        <v>0.63733300000000004</v>
      </c>
    </row>
    <row r="1144" spans="1:9" x14ac:dyDescent="0.25">
      <c r="A1144">
        <v>2000460046</v>
      </c>
      <c r="B1144" t="s">
        <v>638</v>
      </c>
      <c r="C1144" t="s">
        <v>126</v>
      </c>
      <c r="D1144" t="s">
        <v>127</v>
      </c>
      <c r="E1144" s="2">
        <v>13</v>
      </c>
      <c r="F1144" t="s">
        <v>36</v>
      </c>
      <c r="G1144">
        <v>0</v>
      </c>
      <c r="H1144">
        <v>0</v>
      </c>
      <c r="I1144">
        <v>0.753077</v>
      </c>
    </row>
    <row r="1145" spans="1:9" x14ac:dyDescent="0.25">
      <c r="A1145">
        <v>2000460047</v>
      </c>
      <c r="B1145" t="s">
        <v>639</v>
      </c>
      <c r="C1145" t="s">
        <v>126</v>
      </c>
      <c r="D1145" t="s">
        <v>127</v>
      </c>
      <c r="E1145" s="2">
        <v>67</v>
      </c>
      <c r="F1145" t="s">
        <v>36</v>
      </c>
      <c r="G1145">
        <v>0</v>
      </c>
      <c r="H1145">
        <v>0</v>
      </c>
      <c r="I1145">
        <v>1.3771640000000001</v>
      </c>
    </row>
    <row r="1146" spans="1:9" x14ac:dyDescent="0.25">
      <c r="A1146">
        <v>2000460048</v>
      </c>
      <c r="B1146" t="s">
        <v>640</v>
      </c>
      <c r="C1146" t="s">
        <v>130</v>
      </c>
      <c r="D1146" t="s">
        <v>131</v>
      </c>
      <c r="E1146" s="2">
        <v>24341</v>
      </c>
      <c r="F1146" t="s">
        <v>36</v>
      </c>
      <c r="G1146">
        <v>12</v>
      </c>
      <c r="H1146">
        <v>0</v>
      </c>
      <c r="I1146">
        <v>0.54973499999999997</v>
      </c>
    </row>
    <row r="1147" spans="1:9" x14ac:dyDescent="0.25">
      <c r="A1147">
        <v>2000460048</v>
      </c>
      <c r="B1147" t="s">
        <v>640</v>
      </c>
      <c r="C1147" t="s">
        <v>126</v>
      </c>
      <c r="D1147" t="s">
        <v>127</v>
      </c>
      <c r="E1147" s="2">
        <v>5</v>
      </c>
      <c r="F1147" t="s">
        <v>36</v>
      </c>
      <c r="G1147">
        <v>0</v>
      </c>
      <c r="H1147">
        <v>0</v>
      </c>
      <c r="I1147">
        <v>0.61</v>
      </c>
    </row>
    <row r="1148" spans="1:9" x14ac:dyDescent="0.25">
      <c r="A1148">
        <v>2000490001</v>
      </c>
      <c r="B1148" t="s">
        <v>641</v>
      </c>
      <c r="C1148" t="s">
        <v>167</v>
      </c>
      <c r="D1148" t="s">
        <v>168</v>
      </c>
      <c r="E1148" s="2">
        <v>31</v>
      </c>
      <c r="F1148" t="s">
        <v>642</v>
      </c>
      <c r="G1148">
        <v>0</v>
      </c>
      <c r="H1148">
        <v>0</v>
      </c>
      <c r="I1148">
        <v>13.256129</v>
      </c>
    </row>
    <row r="1149" spans="1:9" x14ac:dyDescent="0.25">
      <c r="A1149">
        <v>2000500017</v>
      </c>
      <c r="B1149" t="s">
        <v>643</v>
      </c>
      <c r="C1149" t="s">
        <v>130</v>
      </c>
      <c r="D1149" t="s">
        <v>131</v>
      </c>
      <c r="E1149" s="2">
        <v>25692</v>
      </c>
      <c r="F1149" t="s">
        <v>36</v>
      </c>
      <c r="G1149">
        <v>420</v>
      </c>
      <c r="H1149">
        <v>0</v>
      </c>
      <c r="I1149">
        <v>0.204489</v>
      </c>
    </row>
    <row r="1150" spans="1:9" x14ac:dyDescent="0.25">
      <c r="A1150">
        <v>2000500017</v>
      </c>
      <c r="B1150" t="s">
        <v>643</v>
      </c>
      <c r="C1150" t="s">
        <v>137</v>
      </c>
      <c r="D1150" t="s">
        <v>138</v>
      </c>
      <c r="E1150" s="2">
        <v>0</v>
      </c>
      <c r="F1150" t="s">
        <v>36</v>
      </c>
      <c r="G1150">
        <v>0</v>
      </c>
      <c r="H1150" s="2">
        <v>372</v>
      </c>
      <c r="I1150">
        <v>0.2</v>
      </c>
    </row>
    <row r="1151" spans="1:9" x14ac:dyDescent="0.25">
      <c r="A1151">
        <v>2000510009</v>
      </c>
      <c r="B1151" t="s">
        <v>644</v>
      </c>
      <c r="C1151" t="s">
        <v>130</v>
      </c>
      <c r="D1151" t="s">
        <v>131</v>
      </c>
      <c r="E1151" s="2">
        <v>0</v>
      </c>
      <c r="F1151" t="s">
        <v>36</v>
      </c>
      <c r="G1151">
        <v>3</v>
      </c>
      <c r="H1151" s="2">
        <v>0</v>
      </c>
      <c r="I1151">
        <v>6.0156590000000003</v>
      </c>
    </row>
    <row r="1152" spans="1:9" x14ac:dyDescent="0.25">
      <c r="A1152">
        <v>2000510009</v>
      </c>
      <c r="B1152" t="s">
        <v>644</v>
      </c>
      <c r="C1152" t="s">
        <v>167</v>
      </c>
      <c r="D1152" t="s">
        <v>168</v>
      </c>
      <c r="E1152" s="2">
        <v>2503</v>
      </c>
      <c r="F1152" t="s">
        <v>36</v>
      </c>
      <c r="G1152">
        <v>2</v>
      </c>
      <c r="H1152">
        <v>0</v>
      </c>
      <c r="I1152">
        <v>5.5977990000000002</v>
      </c>
    </row>
    <row r="1153" spans="1:9" x14ac:dyDescent="0.25">
      <c r="A1153">
        <v>2000510009</v>
      </c>
      <c r="B1153" t="s">
        <v>644</v>
      </c>
      <c r="C1153" t="s">
        <v>137</v>
      </c>
      <c r="D1153" t="s">
        <v>138</v>
      </c>
      <c r="E1153" s="2">
        <v>860</v>
      </c>
      <c r="F1153" t="s">
        <v>36</v>
      </c>
      <c r="G1153" s="2">
        <v>0</v>
      </c>
      <c r="H1153" s="2">
        <v>5</v>
      </c>
      <c r="I1153">
        <v>5.5554300000000003</v>
      </c>
    </row>
    <row r="1154" spans="1:9" x14ac:dyDescent="0.25">
      <c r="A1154">
        <v>2000510010</v>
      </c>
      <c r="B1154" t="s">
        <v>645</v>
      </c>
      <c r="C1154" t="s">
        <v>167</v>
      </c>
      <c r="D1154" t="s">
        <v>168</v>
      </c>
      <c r="E1154" s="2">
        <v>0</v>
      </c>
      <c r="F1154" t="s">
        <v>36</v>
      </c>
      <c r="G1154" s="2">
        <v>9</v>
      </c>
      <c r="H1154" s="2">
        <v>0</v>
      </c>
      <c r="I1154">
        <v>0.93727300000000002</v>
      </c>
    </row>
    <row r="1155" spans="1:9" x14ac:dyDescent="0.25">
      <c r="A1155">
        <v>2000510010</v>
      </c>
      <c r="B1155" t="s">
        <v>645</v>
      </c>
      <c r="C1155" t="s">
        <v>137</v>
      </c>
      <c r="D1155" t="s">
        <v>138</v>
      </c>
      <c r="E1155" s="2">
        <v>11</v>
      </c>
      <c r="F1155" t="s">
        <v>36</v>
      </c>
      <c r="G1155">
        <v>0</v>
      </c>
      <c r="H1155">
        <v>9</v>
      </c>
      <c r="I1155">
        <v>0.93727300000000002</v>
      </c>
    </row>
    <row r="1156" spans="1:9" x14ac:dyDescent="0.25">
      <c r="A1156">
        <v>2000530396</v>
      </c>
      <c r="B1156" t="s">
        <v>646</v>
      </c>
      <c r="C1156" t="s">
        <v>167</v>
      </c>
      <c r="D1156" t="s">
        <v>168</v>
      </c>
      <c r="E1156" s="2">
        <v>4980</v>
      </c>
      <c r="F1156" t="s">
        <v>36</v>
      </c>
      <c r="G1156">
        <v>0</v>
      </c>
      <c r="H1156" s="2">
        <v>0</v>
      </c>
      <c r="I1156">
        <v>2.4916000000000001E-2</v>
      </c>
    </row>
    <row r="1157" spans="1:9" x14ac:dyDescent="0.25">
      <c r="A1157">
        <v>2000530399</v>
      </c>
      <c r="B1157" t="s">
        <v>647</v>
      </c>
      <c r="C1157" t="s">
        <v>130</v>
      </c>
      <c r="D1157" t="s">
        <v>131</v>
      </c>
      <c r="E1157" s="2">
        <v>63</v>
      </c>
      <c r="F1157" t="s">
        <v>457</v>
      </c>
      <c r="G1157">
        <v>0</v>
      </c>
      <c r="H1157">
        <v>0</v>
      </c>
      <c r="I1157">
        <v>2.4450789999999998</v>
      </c>
    </row>
    <row r="1158" spans="1:9" x14ac:dyDescent="0.25">
      <c r="A1158">
        <v>2000530400</v>
      </c>
      <c r="B1158" t="s">
        <v>648</v>
      </c>
      <c r="C1158" t="s">
        <v>130</v>
      </c>
      <c r="D1158" t="s">
        <v>131</v>
      </c>
      <c r="E1158" s="2">
        <v>9</v>
      </c>
      <c r="F1158" t="s">
        <v>457</v>
      </c>
      <c r="G1158">
        <v>0</v>
      </c>
      <c r="H1158">
        <v>0</v>
      </c>
      <c r="I1158">
        <v>2.4811109999999998</v>
      </c>
    </row>
    <row r="1159" spans="1:9" x14ac:dyDescent="0.25">
      <c r="A1159">
        <v>2000530401</v>
      </c>
      <c r="B1159" t="s">
        <v>649</v>
      </c>
      <c r="C1159" t="s">
        <v>130</v>
      </c>
      <c r="D1159" t="s">
        <v>131</v>
      </c>
      <c r="E1159" s="2">
        <v>167</v>
      </c>
      <c r="F1159" t="s">
        <v>457</v>
      </c>
      <c r="G1159">
        <v>5</v>
      </c>
      <c r="H1159">
        <v>0</v>
      </c>
      <c r="I1159">
        <v>1.782216</v>
      </c>
    </row>
    <row r="1160" spans="1:9" x14ac:dyDescent="0.25">
      <c r="A1160">
        <v>2000530401</v>
      </c>
      <c r="B1160" t="s">
        <v>649</v>
      </c>
      <c r="C1160" t="s">
        <v>137</v>
      </c>
      <c r="D1160" t="s">
        <v>138</v>
      </c>
      <c r="E1160" s="2">
        <v>0</v>
      </c>
      <c r="F1160" t="s">
        <v>457</v>
      </c>
      <c r="G1160">
        <v>0</v>
      </c>
      <c r="H1160">
        <v>5</v>
      </c>
      <c r="I1160">
        <v>1.782143</v>
      </c>
    </row>
    <row r="1161" spans="1:9" x14ac:dyDescent="0.25">
      <c r="A1161">
        <v>2000530402</v>
      </c>
      <c r="B1161" t="s">
        <v>650</v>
      </c>
      <c r="C1161" t="s">
        <v>130</v>
      </c>
      <c r="D1161" t="s">
        <v>131</v>
      </c>
      <c r="E1161" s="2">
        <v>6</v>
      </c>
      <c r="F1161" t="s">
        <v>457</v>
      </c>
      <c r="G1161">
        <v>0</v>
      </c>
      <c r="H1161">
        <v>0</v>
      </c>
      <c r="I1161">
        <v>2.2316669999999998</v>
      </c>
    </row>
    <row r="1162" spans="1:9" x14ac:dyDescent="0.25">
      <c r="A1162">
        <v>2000530403</v>
      </c>
      <c r="B1162" t="s">
        <v>651</v>
      </c>
      <c r="C1162" t="s">
        <v>130</v>
      </c>
      <c r="D1162" t="s">
        <v>131</v>
      </c>
      <c r="E1162" s="2">
        <v>3</v>
      </c>
      <c r="F1162" t="s">
        <v>457</v>
      </c>
      <c r="G1162">
        <v>0</v>
      </c>
      <c r="H1162">
        <v>0</v>
      </c>
      <c r="I1162">
        <v>1.9366669999999999</v>
      </c>
    </row>
    <row r="1163" spans="1:9" x14ac:dyDescent="0.25">
      <c r="A1163">
        <v>2000530404</v>
      </c>
      <c r="B1163" t="s">
        <v>652</v>
      </c>
      <c r="C1163" t="s">
        <v>130</v>
      </c>
      <c r="D1163" t="s">
        <v>131</v>
      </c>
      <c r="E1163" s="2">
        <v>33</v>
      </c>
      <c r="F1163" t="s">
        <v>457</v>
      </c>
      <c r="G1163">
        <v>0</v>
      </c>
      <c r="H1163">
        <v>0</v>
      </c>
      <c r="I1163">
        <v>1.938485</v>
      </c>
    </row>
    <row r="1164" spans="1:9" x14ac:dyDescent="0.25">
      <c r="A1164">
        <v>2000530405</v>
      </c>
      <c r="B1164" t="s">
        <v>653</v>
      </c>
      <c r="C1164" t="s">
        <v>130</v>
      </c>
      <c r="D1164" t="s">
        <v>131</v>
      </c>
      <c r="E1164" s="2">
        <v>45</v>
      </c>
      <c r="F1164" t="s">
        <v>457</v>
      </c>
      <c r="G1164">
        <v>0</v>
      </c>
      <c r="H1164">
        <v>0</v>
      </c>
      <c r="I1164">
        <v>2.2308889999999999</v>
      </c>
    </row>
    <row r="1165" spans="1:9" x14ac:dyDescent="0.25">
      <c r="A1165">
        <v>2000530406</v>
      </c>
      <c r="B1165" t="s">
        <v>654</v>
      </c>
      <c r="C1165" t="s">
        <v>130</v>
      </c>
      <c r="D1165" t="s">
        <v>131</v>
      </c>
      <c r="E1165" s="2">
        <v>1901</v>
      </c>
      <c r="F1165" t="s">
        <v>457</v>
      </c>
      <c r="G1165">
        <v>0</v>
      </c>
      <c r="H1165">
        <v>0</v>
      </c>
      <c r="I1165">
        <v>1.781668</v>
      </c>
    </row>
    <row r="1166" spans="1:9" x14ac:dyDescent="0.25">
      <c r="A1166">
        <v>2000530407</v>
      </c>
      <c r="B1166" t="s">
        <v>655</v>
      </c>
      <c r="C1166" t="s">
        <v>130</v>
      </c>
      <c r="D1166" t="s">
        <v>131</v>
      </c>
      <c r="E1166" s="2">
        <v>35</v>
      </c>
      <c r="F1166" t="s">
        <v>457</v>
      </c>
      <c r="G1166">
        <v>0</v>
      </c>
      <c r="H1166">
        <v>0</v>
      </c>
      <c r="I1166">
        <v>1.7811429999999999</v>
      </c>
    </row>
    <row r="1167" spans="1:9" x14ac:dyDescent="0.25">
      <c r="A1167">
        <v>2000530407</v>
      </c>
      <c r="B1167" t="s">
        <v>655</v>
      </c>
      <c r="C1167" t="s">
        <v>126</v>
      </c>
      <c r="D1167" t="s">
        <v>127</v>
      </c>
      <c r="E1167" s="2">
        <v>1</v>
      </c>
      <c r="F1167" t="s">
        <v>457</v>
      </c>
      <c r="G1167">
        <v>0</v>
      </c>
      <c r="H1167">
        <v>0</v>
      </c>
      <c r="I1167">
        <v>1.78</v>
      </c>
    </row>
    <row r="1168" spans="1:9" x14ac:dyDescent="0.25">
      <c r="A1168">
        <v>2000530408</v>
      </c>
      <c r="B1168" t="s">
        <v>656</v>
      </c>
      <c r="C1168" t="s">
        <v>130</v>
      </c>
      <c r="D1168" t="s">
        <v>131</v>
      </c>
      <c r="E1168" s="2">
        <v>49</v>
      </c>
      <c r="F1168" t="s">
        <v>457</v>
      </c>
      <c r="G1168">
        <v>0</v>
      </c>
      <c r="H1168">
        <v>1</v>
      </c>
      <c r="I1168">
        <v>2.2181630000000001</v>
      </c>
    </row>
    <row r="1169" spans="1:9" x14ac:dyDescent="0.25">
      <c r="A1169">
        <v>2000530408</v>
      </c>
      <c r="B1169" t="s">
        <v>656</v>
      </c>
      <c r="C1169" t="s">
        <v>126</v>
      </c>
      <c r="D1169" t="s">
        <v>127</v>
      </c>
      <c r="E1169" s="2">
        <v>10</v>
      </c>
      <c r="F1169" t="s">
        <v>457</v>
      </c>
      <c r="G1169">
        <v>0</v>
      </c>
      <c r="H1169">
        <v>0</v>
      </c>
      <c r="I1169">
        <v>2.218</v>
      </c>
    </row>
    <row r="1170" spans="1:9" x14ac:dyDescent="0.25">
      <c r="A1170">
        <v>2000530409</v>
      </c>
      <c r="B1170" t="s">
        <v>657</v>
      </c>
      <c r="C1170" t="s">
        <v>130</v>
      </c>
      <c r="D1170" t="s">
        <v>131</v>
      </c>
      <c r="E1170" s="2">
        <v>41</v>
      </c>
      <c r="F1170" t="s">
        <v>457</v>
      </c>
      <c r="G1170">
        <v>0</v>
      </c>
      <c r="H1170">
        <v>0</v>
      </c>
      <c r="I1170">
        <v>2.2395119999999999</v>
      </c>
    </row>
    <row r="1171" spans="1:9" x14ac:dyDescent="0.25">
      <c r="A1171">
        <v>2000530411</v>
      </c>
      <c r="B1171" t="s">
        <v>658</v>
      </c>
      <c r="C1171" t="s">
        <v>130</v>
      </c>
      <c r="D1171" t="s">
        <v>131</v>
      </c>
      <c r="E1171" s="2">
        <v>19</v>
      </c>
      <c r="F1171" t="s">
        <v>457</v>
      </c>
      <c r="G1171">
        <v>0</v>
      </c>
      <c r="H1171">
        <v>0</v>
      </c>
      <c r="I1171">
        <v>2.473684</v>
      </c>
    </row>
    <row r="1172" spans="1:9" x14ac:dyDescent="0.25">
      <c r="A1172">
        <v>2000530411</v>
      </c>
      <c r="B1172" t="s">
        <v>658</v>
      </c>
      <c r="C1172" t="s">
        <v>126</v>
      </c>
      <c r="D1172" t="s">
        <v>127</v>
      </c>
      <c r="E1172" s="2">
        <v>0.5</v>
      </c>
      <c r="F1172" t="s">
        <v>457</v>
      </c>
      <c r="G1172">
        <v>0</v>
      </c>
      <c r="H1172">
        <v>0</v>
      </c>
      <c r="I1172">
        <v>2.48</v>
      </c>
    </row>
    <row r="1173" spans="1:9" x14ac:dyDescent="0.25">
      <c r="A1173">
        <v>2000530412</v>
      </c>
      <c r="B1173" t="s">
        <v>659</v>
      </c>
      <c r="C1173" t="s">
        <v>130</v>
      </c>
      <c r="D1173" t="s">
        <v>131</v>
      </c>
      <c r="E1173" s="2">
        <v>146</v>
      </c>
      <c r="F1173" t="s">
        <v>457</v>
      </c>
      <c r="G1173">
        <v>0</v>
      </c>
      <c r="H1173">
        <v>0</v>
      </c>
      <c r="I1173">
        <v>1.9186989999999999</v>
      </c>
    </row>
    <row r="1174" spans="1:9" x14ac:dyDescent="0.25">
      <c r="A1174">
        <v>2000530413</v>
      </c>
      <c r="B1174" t="s">
        <v>660</v>
      </c>
      <c r="C1174" t="s">
        <v>130</v>
      </c>
      <c r="D1174" t="s">
        <v>131</v>
      </c>
      <c r="E1174" s="2">
        <v>21</v>
      </c>
      <c r="F1174" t="s">
        <v>457</v>
      </c>
      <c r="G1174" s="2">
        <v>0</v>
      </c>
      <c r="H1174">
        <v>0</v>
      </c>
      <c r="I1174">
        <v>1.8119050000000001</v>
      </c>
    </row>
    <row r="1175" spans="1:9" x14ac:dyDescent="0.25">
      <c r="A1175">
        <v>2000530414</v>
      </c>
      <c r="B1175" t="s">
        <v>661</v>
      </c>
      <c r="C1175" t="s">
        <v>130</v>
      </c>
      <c r="D1175" t="s">
        <v>131</v>
      </c>
      <c r="E1175" s="2">
        <v>3</v>
      </c>
      <c r="F1175" t="s">
        <v>457</v>
      </c>
      <c r="G1175">
        <v>0</v>
      </c>
      <c r="H1175">
        <v>0</v>
      </c>
      <c r="I1175">
        <v>1.98</v>
      </c>
    </row>
    <row r="1176" spans="1:9" x14ac:dyDescent="0.25">
      <c r="A1176">
        <v>2000530415</v>
      </c>
      <c r="B1176" t="s">
        <v>662</v>
      </c>
      <c r="C1176" t="s">
        <v>130</v>
      </c>
      <c r="D1176" t="s">
        <v>131</v>
      </c>
      <c r="E1176" s="2">
        <v>15</v>
      </c>
      <c r="F1176" t="s">
        <v>457</v>
      </c>
      <c r="G1176">
        <v>0</v>
      </c>
      <c r="H1176" s="2">
        <v>0</v>
      </c>
      <c r="I1176">
        <v>2.2046670000000002</v>
      </c>
    </row>
    <row r="1177" spans="1:9" x14ac:dyDescent="0.25">
      <c r="A1177">
        <v>2000530416</v>
      </c>
      <c r="B1177" t="s">
        <v>663</v>
      </c>
      <c r="C1177" t="s">
        <v>130</v>
      </c>
      <c r="D1177" t="s">
        <v>131</v>
      </c>
      <c r="E1177" s="2">
        <v>6</v>
      </c>
      <c r="F1177" t="s">
        <v>457</v>
      </c>
      <c r="G1177" s="2">
        <v>0</v>
      </c>
      <c r="H1177">
        <v>0</v>
      </c>
      <c r="I1177">
        <v>2.2949999999999999</v>
      </c>
    </row>
    <row r="1178" spans="1:9" x14ac:dyDescent="0.25">
      <c r="A1178">
        <v>2000530418</v>
      </c>
      <c r="B1178" t="s">
        <v>664</v>
      </c>
      <c r="C1178" t="s">
        <v>130</v>
      </c>
      <c r="D1178" t="s">
        <v>131</v>
      </c>
      <c r="E1178" s="2">
        <v>1.4</v>
      </c>
      <c r="F1178" t="s">
        <v>457</v>
      </c>
      <c r="G1178">
        <v>28</v>
      </c>
      <c r="H1178">
        <v>0</v>
      </c>
      <c r="I1178">
        <v>5.3</v>
      </c>
    </row>
    <row r="1179" spans="1:9" x14ac:dyDescent="0.25">
      <c r="A1179">
        <v>2000530419</v>
      </c>
      <c r="B1179" t="s">
        <v>665</v>
      </c>
      <c r="C1179" t="s">
        <v>130</v>
      </c>
      <c r="D1179" t="s">
        <v>131</v>
      </c>
      <c r="E1179" s="2">
        <v>882.5</v>
      </c>
      <c r="F1179" t="s">
        <v>457</v>
      </c>
      <c r="G1179">
        <v>0</v>
      </c>
      <c r="H1179">
        <v>0</v>
      </c>
      <c r="I1179">
        <v>5.483841</v>
      </c>
    </row>
    <row r="1180" spans="1:9" x14ac:dyDescent="0.25">
      <c r="A1180">
        <v>2000530420</v>
      </c>
      <c r="B1180" t="s">
        <v>666</v>
      </c>
      <c r="C1180" t="s">
        <v>130</v>
      </c>
      <c r="D1180" t="s">
        <v>131</v>
      </c>
      <c r="E1180" s="2">
        <v>14</v>
      </c>
      <c r="F1180" t="s">
        <v>457</v>
      </c>
      <c r="G1180">
        <v>0</v>
      </c>
      <c r="H1180">
        <v>0</v>
      </c>
      <c r="I1180">
        <v>1.9371430000000001</v>
      </c>
    </row>
    <row r="1181" spans="1:9" x14ac:dyDescent="0.25">
      <c r="A1181">
        <v>2000530421</v>
      </c>
      <c r="B1181" t="s">
        <v>667</v>
      </c>
      <c r="C1181" t="s">
        <v>130</v>
      </c>
      <c r="D1181" t="s">
        <v>131</v>
      </c>
      <c r="E1181" s="2">
        <v>95</v>
      </c>
      <c r="F1181" t="s">
        <v>500</v>
      </c>
      <c r="G1181">
        <v>0</v>
      </c>
      <c r="H1181">
        <v>0</v>
      </c>
      <c r="I1181">
        <v>2.9692630000000002</v>
      </c>
    </row>
    <row r="1182" spans="1:9" x14ac:dyDescent="0.25">
      <c r="A1182">
        <v>2000530421</v>
      </c>
      <c r="B1182" t="s">
        <v>667</v>
      </c>
      <c r="C1182" t="s">
        <v>126</v>
      </c>
      <c r="D1182" t="s">
        <v>127</v>
      </c>
      <c r="E1182" s="2">
        <v>1</v>
      </c>
      <c r="F1182" t="s">
        <v>500</v>
      </c>
      <c r="G1182">
        <v>0</v>
      </c>
      <c r="H1182">
        <v>0</v>
      </c>
      <c r="I1182">
        <v>2.97</v>
      </c>
    </row>
    <row r="1183" spans="1:9" x14ac:dyDescent="0.25">
      <c r="A1183">
        <v>2000530422</v>
      </c>
      <c r="B1183" t="s">
        <v>668</v>
      </c>
      <c r="C1183" t="s">
        <v>130</v>
      </c>
      <c r="D1183" t="s">
        <v>131</v>
      </c>
      <c r="E1183" s="2">
        <v>86</v>
      </c>
      <c r="F1183" t="s">
        <v>500</v>
      </c>
      <c r="G1183">
        <v>0</v>
      </c>
      <c r="H1183" s="2">
        <v>0</v>
      </c>
      <c r="I1183">
        <v>2.3645350000000001</v>
      </c>
    </row>
    <row r="1184" spans="1:9" x14ac:dyDescent="0.25">
      <c r="A1184">
        <v>2000530422</v>
      </c>
      <c r="B1184" t="s">
        <v>668</v>
      </c>
      <c r="C1184" t="s">
        <v>126</v>
      </c>
      <c r="D1184" t="s">
        <v>127</v>
      </c>
      <c r="E1184" s="2">
        <v>1</v>
      </c>
      <c r="F1184" t="s">
        <v>500</v>
      </c>
      <c r="G1184">
        <v>0</v>
      </c>
      <c r="H1184">
        <v>0</v>
      </c>
      <c r="I1184">
        <v>2.36</v>
      </c>
    </row>
    <row r="1185" spans="1:9" x14ac:dyDescent="0.25">
      <c r="A1185">
        <v>2000530423</v>
      </c>
      <c r="B1185" t="s">
        <v>669</v>
      </c>
      <c r="C1185" t="s">
        <v>130</v>
      </c>
      <c r="D1185" t="s">
        <v>131</v>
      </c>
      <c r="E1185" s="2">
        <v>57</v>
      </c>
      <c r="F1185" t="s">
        <v>500</v>
      </c>
      <c r="G1185">
        <v>0</v>
      </c>
      <c r="H1185" s="2">
        <v>0</v>
      </c>
      <c r="I1185">
        <v>3.1070180000000001</v>
      </c>
    </row>
    <row r="1186" spans="1:9" x14ac:dyDescent="0.25">
      <c r="A1186">
        <v>2000530424</v>
      </c>
      <c r="B1186" t="s">
        <v>670</v>
      </c>
      <c r="C1186" t="s">
        <v>130</v>
      </c>
      <c r="D1186" t="s">
        <v>131</v>
      </c>
      <c r="E1186" s="2">
        <v>48</v>
      </c>
      <c r="F1186" t="s">
        <v>500</v>
      </c>
      <c r="G1186">
        <v>0</v>
      </c>
      <c r="H1186" s="2">
        <v>0</v>
      </c>
      <c r="I1186">
        <v>3.0237500000000002</v>
      </c>
    </row>
    <row r="1187" spans="1:9" x14ac:dyDescent="0.25">
      <c r="A1187">
        <v>2000530425</v>
      </c>
      <c r="B1187" t="s">
        <v>671</v>
      </c>
      <c r="C1187" t="s">
        <v>130</v>
      </c>
      <c r="D1187" t="s">
        <v>131</v>
      </c>
      <c r="E1187" s="2">
        <v>7</v>
      </c>
      <c r="F1187" t="s">
        <v>500</v>
      </c>
      <c r="G1187">
        <v>0</v>
      </c>
      <c r="H1187" s="2">
        <v>0</v>
      </c>
      <c r="I1187">
        <v>8.2171430000000001</v>
      </c>
    </row>
    <row r="1188" spans="1:9" x14ac:dyDescent="0.25">
      <c r="A1188">
        <v>2000530427</v>
      </c>
      <c r="B1188" t="s">
        <v>672</v>
      </c>
      <c r="C1188" t="s">
        <v>130</v>
      </c>
      <c r="D1188" t="s">
        <v>131</v>
      </c>
      <c r="E1188" s="2">
        <v>1</v>
      </c>
      <c r="F1188" t="s">
        <v>500</v>
      </c>
      <c r="G1188">
        <v>0</v>
      </c>
      <c r="H1188" s="2">
        <v>0</v>
      </c>
      <c r="I1188">
        <v>7.82</v>
      </c>
    </row>
    <row r="1189" spans="1:9" x14ac:dyDescent="0.25">
      <c r="A1189" s="1">
        <v>2000530428</v>
      </c>
      <c r="B1189" s="1" t="s">
        <v>673</v>
      </c>
      <c r="C1189" s="1" t="s">
        <v>130</v>
      </c>
      <c r="D1189" s="1" t="s">
        <v>131</v>
      </c>
      <c r="E1189" s="3">
        <v>114</v>
      </c>
      <c r="F1189" s="1" t="s">
        <v>500</v>
      </c>
      <c r="G1189" s="1">
        <v>0</v>
      </c>
      <c r="H1189" s="1">
        <v>0</v>
      </c>
      <c r="I1189" s="1">
        <v>8.1348249999999993</v>
      </c>
    </row>
    <row r="1190" spans="1:9" x14ac:dyDescent="0.25">
      <c r="A1190">
        <v>2000530429</v>
      </c>
      <c r="B1190" t="s">
        <v>674</v>
      </c>
      <c r="C1190" t="s">
        <v>130</v>
      </c>
      <c r="D1190" t="s">
        <v>131</v>
      </c>
      <c r="E1190" s="2">
        <v>14</v>
      </c>
      <c r="F1190" t="s">
        <v>500</v>
      </c>
      <c r="G1190">
        <v>0</v>
      </c>
      <c r="H1190">
        <v>0</v>
      </c>
      <c r="I1190">
        <v>8.1464289999999995</v>
      </c>
    </row>
    <row r="1191" spans="1:9" x14ac:dyDescent="0.25">
      <c r="A1191">
        <v>2000530430</v>
      </c>
      <c r="B1191" t="s">
        <v>675</v>
      </c>
      <c r="C1191" t="s">
        <v>130</v>
      </c>
      <c r="D1191" t="s">
        <v>131</v>
      </c>
      <c r="E1191" s="2">
        <v>6</v>
      </c>
      <c r="F1191" t="s">
        <v>500</v>
      </c>
      <c r="G1191">
        <v>0</v>
      </c>
      <c r="H1191">
        <v>0</v>
      </c>
      <c r="I1191">
        <v>7.94</v>
      </c>
    </row>
    <row r="1192" spans="1:9" x14ac:dyDescent="0.25">
      <c r="A1192">
        <v>2000530431</v>
      </c>
      <c r="B1192" t="s">
        <v>676</v>
      </c>
      <c r="C1192" t="s">
        <v>130</v>
      </c>
      <c r="D1192" t="s">
        <v>131</v>
      </c>
      <c r="E1192" s="2">
        <v>2</v>
      </c>
      <c r="F1192" t="s">
        <v>457</v>
      </c>
      <c r="G1192">
        <v>0</v>
      </c>
      <c r="H1192" s="2">
        <v>0</v>
      </c>
      <c r="I1192">
        <v>3.5750000000000002</v>
      </c>
    </row>
    <row r="1193" spans="1:9" x14ac:dyDescent="0.25">
      <c r="A1193">
        <v>2000530432</v>
      </c>
      <c r="B1193" t="s">
        <v>677</v>
      </c>
      <c r="C1193" t="s">
        <v>130</v>
      </c>
      <c r="D1193" t="s">
        <v>131</v>
      </c>
      <c r="E1193" s="2">
        <v>1</v>
      </c>
      <c r="F1193" t="s">
        <v>457</v>
      </c>
      <c r="G1193">
        <v>0</v>
      </c>
      <c r="H1193">
        <v>0</v>
      </c>
      <c r="I1193">
        <v>3.57</v>
      </c>
    </row>
    <row r="1194" spans="1:9" x14ac:dyDescent="0.25">
      <c r="A1194">
        <v>2000530433</v>
      </c>
      <c r="B1194" t="s">
        <v>678</v>
      </c>
      <c r="C1194" t="s">
        <v>130</v>
      </c>
      <c r="D1194" t="s">
        <v>131</v>
      </c>
      <c r="E1194" s="2">
        <v>10</v>
      </c>
      <c r="F1194" t="s">
        <v>457</v>
      </c>
      <c r="G1194" s="2">
        <v>0</v>
      </c>
      <c r="H1194">
        <v>0</v>
      </c>
      <c r="I1194">
        <v>3.5750000000000002</v>
      </c>
    </row>
    <row r="1195" spans="1:9" x14ac:dyDescent="0.25">
      <c r="A1195">
        <v>2000530434</v>
      </c>
      <c r="B1195" t="s">
        <v>679</v>
      </c>
      <c r="C1195" t="s">
        <v>130</v>
      </c>
      <c r="D1195" t="s">
        <v>131</v>
      </c>
      <c r="E1195" s="2">
        <v>4</v>
      </c>
      <c r="F1195" t="s">
        <v>457</v>
      </c>
      <c r="G1195">
        <v>0</v>
      </c>
      <c r="H1195">
        <v>0</v>
      </c>
      <c r="I1195">
        <v>3.5750000000000002</v>
      </c>
    </row>
    <row r="1196" spans="1:9" x14ac:dyDescent="0.25">
      <c r="A1196">
        <v>2000530435</v>
      </c>
      <c r="B1196" t="s">
        <v>680</v>
      </c>
      <c r="C1196" t="s">
        <v>130</v>
      </c>
      <c r="D1196" t="s">
        <v>131</v>
      </c>
      <c r="E1196" s="2">
        <v>5</v>
      </c>
      <c r="F1196" t="s">
        <v>457</v>
      </c>
      <c r="G1196">
        <v>0</v>
      </c>
      <c r="H1196">
        <v>0</v>
      </c>
      <c r="I1196">
        <v>3.5739999999999998</v>
      </c>
    </row>
    <row r="1197" spans="1:9" x14ac:dyDescent="0.25">
      <c r="A1197">
        <v>2000530436</v>
      </c>
      <c r="B1197" t="s">
        <v>681</v>
      </c>
      <c r="C1197" t="s">
        <v>130</v>
      </c>
      <c r="D1197" t="s">
        <v>131</v>
      </c>
      <c r="E1197" s="2">
        <v>10</v>
      </c>
      <c r="F1197" t="s">
        <v>457</v>
      </c>
      <c r="G1197">
        <v>0</v>
      </c>
      <c r="H1197">
        <v>0</v>
      </c>
      <c r="I1197">
        <v>3.5750000000000002</v>
      </c>
    </row>
    <row r="1198" spans="1:9" x14ac:dyDescent="0.25">
      <c r="A1198">
        <v>2000530437</v>
      </c>
      <c r="B1198" t="s">
        <v>682</v>
      </c>
      <c r="C1198" t="s">
        <v>130</v>
      </c>
      <c r="D1198" t="s">
        <v>131</v>
      </c>
      <c r="E1198" s="2">
        <v>4</v>
      </c>
      <c r="F1198" t="s">
        <v>457</v>
      </c>
      <c r="G1198">
        <v>0</v>
      </c>
      <c r="H1198">
        <v>0</v>
      </c>
      <c r="I1198">
        <v>3.5750000000000002</v>
      </c>
    </row>
    <row r="1199" spans="1:9" x14ac:dyDescent="0.25">
      <c r="A1199">
        <v>2000530438</v>
      </c>
      <c r="B1199" t="s">
        <v>683</v>
      </c>
      <c r="C1199" t="s">
        <v>130</v>
      </c>
      <c r="D1199" t="s">
        <v>131</v>
      </c>
      <c r="E1199" s="2">
        <v>25</v>
      </c>
      <c r="F1199" t="s">
        <v>457</v>
      </c>
      <c r="G1199">
        <v>0</v>
      </c>
      <c r="H1199">
        <v>0</v>
      </c>
      <c r="I1199">
        <v>3.5743999999999998</v>
      </c>
    </row>
    <row r="1200" spans="1:9" x14ac:dyDescent="0.25">
      <c r="A1200">
        <v>2000530439</v>
      </c>
      <c r="B1200" t="s">
        <v>684</v>
      </c>
      <c r="C1200" t="s">
        <v>130</v>
      </c>
      <c r="D1200" t="s">
        <v>131</v>
      </c>
      <c r="E1200" s="2">
        <v>1</v>
      </c>
      <c r="F1200" t="s">
        <v>457</v>
      </c>
      <c r="G1200">
        <v>0</v>
      </c>
      <c r="H1200">
        <v>0</v>
      </c>
      <c r="I1200">
        <v>3.57</v>
      </c>
    </row>
    <row r="1201" spans="1:9" x14ac:dyDescent="0.25">
      <c r="A1201">
        <v>2000530441</v>
      </c>
      <c r="B1201" t="s">
        <v>685</v>
      </c>
      <c r="C1201" t="s">
        <v>130</v>
      </c>
      <c r="D1201" t="s">
        <v>131</v>
      </c>
      <c r="E1201" s="2">
        <v>2</v>
      </c>
      <c r="F1201" t="s">
        <v>457</v>
      </c>
      <c r="G1201">
        <v>0</v>
      </c>
      <c r="H1201">
        <v>0</v>
      </c>
      <c r="I1201">
        <v>3.5750000000000002</v>
      </c>
    </row>
    <row r="1202" spans="1:9" x14ac:dyDescent="0.25">
      <c r="A1202">
        <v>2000530442</v>
      </c>
      <c r="B1202" t="s">
        <v>686</v>
      </c>
      <c r="C1202" t="s">
        <v>130</v>
      </c>
      <c r="D1202" t="s">
        <v>131</v>
      </c>
      <c r="E1202" s="2">
        <v>4</v>
      </c>
      <c r="F1202" t="s">
        <v>457</v>
      </c>
      <c r="G1202">
        <v>0</v>
      </c>
      <c r="H1202">
        <v>0</v>
      </c>
      <c r="I1202">
        <v>3.5750000000000002</v>
      </c>
    </row>
    <row r="1203" spans="1:9" x14ac:dyDescent="0.25">
      <c r="A1203">
        <v>2000530443</v>
      </c>
      <c r="B1203" t="s">
        <v>687</v>
      </c>
      <c r="C1203" t="s">
        <v>130</v>
      </c>
      <c r="D1203" t="s">
        <v>131</v>
      </c>
      <c r="E1203" s="2">
        <v>20</v>
      </c>
      <c r="F1203" t="s">
        <v>457</v>
      </c>
      <c r="G1203">
        <v>0</v>
      </c>
      <c r="H1203" s="2">
        <v>0</v>
      </c>
      <c r="I1203">
        <v>3.5745</v>
      </c>
    </row>
    <row r="1204" spans="1:9" x14ac:dyDescent="0.25">
      <c r="A1204">
        <v>2000530444</v>
      </c>
      <c r="B1204" t="s">
        <v>688</v>
      </c>
      <c r="C1204" t="s">
        <v>130</v>
      </c>
      <c r="D1204" t="s">
        <v>131</v>
      </c>
      <c r="E1204" s="2">
        <v>1</v>
      </c>
      <c r="F1204" t="s">
        <v>457</v>
      </c>
      <c r="G1204">
        <v>0</v>
      </c>
      <c r="H1204">
        <v>0</v>
      </c>
      <c r="I1204">
        <v>3.57</v>
      </c>
    </row>
    <row r="1205" spans="1:9" x14ac:dyDescent="0.25">
      <c r="A1205">
        <v>2000530445</v>
      </c>
      <c r="B1205" t="s">
        <v>689</v>
      </c>
      <c r="C1205" t="s">
        <v>130</v>
      </c>
      <c r="D1205" t="s">
        <v>131</v>
      </c>
      <c r="E1205" s="2">
        <v>2</v>
      </c>
      <c r="F1205" t="s">
        <v>457</v>
      </c>
      <c r="G1205">
        <v>0</v>
      </c>
      <c r="H1205">
        <v>0</v>
      </c>
      <c r="I1205">
        <v>3.5750000000000002</v>
      </c>
    </row>
    <row r="1206" spans="1:9" x14ac:dyDescent="0.25">
      <c r="A1206">
        <v>2000530446</v>
      </c>
      <c r="B1206" t="s">
        <v>690</v>
      </c>
      <c r="C1206" t="s">
        <v>130</v>
      </c>
      <c r="D1206" t="s">
        <v>131</v>
      </c>
      <c r="E1206" s="2">
        <v>0</v>
      </c>
      <c r="F1206" t="s">
        <v>491</v>
      </c>
      <c r="G1206">
        <v>0</v>
      </c>
      <c r="H1206">
        <v>20</v>
      </c>
      <c r="I1206">
        <v>0</v>
      </c>
    </row>
    <row r="1207" spans="1:9" x14ac:dyDescent="0.25">
      <c r="A1207">
        <v>2000530446</v>
      </c>
      <c r="B1207" t="s">
        <v>690</v>
      </c>
      <c r="C1207" t="s">
        <v>126</v>
      </c>
      <c r="D1207" t="s">
        <v>127</v>
      </c>
      <c r="E1207" s="2">
        <v>20</v>
      </c>
      <c r="F1207" t="s">
        <v>491</v>
      </c>
      <c r="G1207">
        <v>0</v>
      </c>
      <c r="H1207" s="2">
        <v>0</v>
      </c>
      <c r="I1207">
        <v>7.0934999999999997</v>
      </c>
    </row>
    <row r="1208" spans="1:9" x14ac:dyDescent="0.25">
      <c r="A1208">
        <v>2000530446</v>
      </c>
      <c r="B1208" t="s">
        <v>690</v>
      </c>
      <c r="C1208" t="s">
        <v>139</v>
      </c>
      <c r="D1208" t="s">
        <v>140</v>
      </c>
      <c r="E1208" s="2">
        <v>20</v>
      </c>
      <c r="F1208" t="s">
        <v>491</v>
      </c>
      <c r="G1208">
        <v>20</v>
      </c>
      <c r="H1208">
        <v>0</v>
      </c>
      <c r="I1208">
        <v>7.0934999999999997</v>
      </c>
    </row>
    <row r="1209" spans="1:9" x14ac:dyDescent="0.25">
      <c r="A1209">
        <v>2000530447</v>
      </c>
      <c r="B1209" t="s">
        <v>691</v>
      </c>
      <c r="C1209" t="s">
        <v>130</v>
      </c>
      <c r="D1209" t="s">
        <v>131</v>
      </c>
      <c r="E1209" s="2">
        <v>0</v>
      </c>
      <c r="F1209" t="s">
        <v>491</v>
      </c>
      <c r="G1209" s="2">
        <v>0</v>
      </c>
      <c r="H1209">
        <v>12</v>
      </c>
      <c r="I1209">
        <v>0</v>
      </c>
    </row>
    <row r="1210" spans="1:9" x14ac:dyDescent="0.25">
      <c r="A1210">
        <v>2000530447</v>
      </c>
      <c r="B1210" t="s">
        <v>691</v>
      </c>
      <c r="C1210" t="s">
        <v>126</v>
      </c>
      <c r="D1210" t="s">
        <v>127</v>
      </c>
      <c r="E1210" s="2">
        <v>12</v>
      </c>
      <c r="F1210" t="s">
        <v>491</v>
      </c>
      <c r="G1210">
        <v>0</v>
      </c>
      <c r="H1210">
        <v>0</v>
      </c>
      <c r="I1210">
        <v>7.0758330000000003</v>
      </c>
    </row>
    <row r="1211" spans="1:9" x14ac:dyDescent="0.25">
      <c r="A1211">
        <v>2000530447</v>
      </c>
      <c r="B1211" t="s">
        <v>691</v>
      </c>
      <c r="C1211" t="s">
        <v>139</v>
      </c>
      <c r="D1211" t="s">
        <v>140</v>
      </c>
      <c r="E1211" s="2">
        <v>12</v>
      </c>
      <c r="F1211" t="s">
        <v>491</v>
      </c>
      <c r="G1211">
        <v>12</v>
      </c>
      <c r="H1211">
        <v>0</v>
      </c>
      <c r="I1211">
        <v>7.0758330000000003</v>
      </c>
    </row>
    <row r="1212" spans="1:9" x14ac:dyDescent="0.25">
      <c r="A1212">
        <v>2000530448</v>
      </c>
      <c r="B1212" t="s">
        <v>692</v>
      </c>
      <c r="C1212" t="s">
        <v>130</v>
      </c>
      <c r="D1212" t="s">
        <v>131</v>
      </c>
      <c r="E1212" s="2">
        <v>0</v>
      </c>
      <c r="F1212" t="s">
        <v>491</v>
      </c>
      <c r="G1212">
        <v>0</v>
      </c>
      <c r="H1212">
        <v>22</v>
      </c>
      <c r="I1212">
        <v>0</v>
      </c>
    </row>
    <row r="1213" spans="1:9" x14ac:dyDescent="0.25">
      <c r="A1213">
        <v>2000530448</v>
      </c>
      <c r="B1213" t="s">
        <v>692</v>
      </c>
      <c r="C1213" t="s">
        <v>126</v>
      </c>
      <c r="D1213" t="s">
        <v>127</v>
      </c>
      <c r="E1213" s="2">
        <v>22</v>
      </c>
      <c r="F1213" t="s">
        <v>491</v>
      </c>
      <c r="G1213">
        <v>0</v>
      </c>
      <c r="H1213">
        <v>0</v>
      </c>
      <c r="I1213">
        <v>7.0981820000000004</v>
      </c>
    </row>
    <row r="1214" spans="1:9" x14ac:dyDescent="0.25">
      <c r="A1214">
        <v>2000530448</v>
      </c>
      <c r="B1214" t="s">
        <v>692</v>
      </c>
      <c r="C1214" t="s">
        <v>139</v>
      </c>
      <c r="D1214" t="s">
        <v>140</v>
      </c>
      <c r="E1214" s="2">
        <v>22</v>
      </c>
      <c r="F1214" t="s">
        <v>491</v>
      </c>
      <c r="G1214">
        <v>22</v>
      </c>
      <c r="H1214">
        <v>0</v>
      </c>
      <c r="I1214">
        <v>7.1</v>
      </c>
    </row>
    <row r="1215" spans="1:9" x14ac:dyDescent="0.25">
      <c r="A1215">
        <v>2000530449</v>
      </c>
      <c r="B1215" t="s">
        <v>693</v>
      </c>
      <c r="C1215" t="s">
        <v>130</v>
      </c>
      <c r="D1215" t="s">
        <v>131</v>
      </c>
      <c r="E1215" s="2">
        <v>0</v>
      </c>
      <c r="F1215" t="s">
        <v>491</v>
      </c>
      <c r="G1215">
        <v>0</v>
      </c>
      <c r="H1215">
        <v>11</v>
      </c>
      <c r="I1215">
        <v>0</v>
      </c>
    </row>
    <row r="1216" spans="1:9" x14ac:dyDescent="0.25">
      <c r="A1216">
        <v>2000530449</v>
      </c>
      <c r="B1216" t="s">
        <v>693</v>
      </c>
      <c r="C1216" t="s">
        <v>126</v>
      </c>
      <c r="D1216" t="s">
        <v>127</v>
      </c>
      <c r="E1216" s="2">
        <v>11</v>
      </c>
      <c r="F1216" t="s">
        <v>491</v>
      </c>
      <c r="G1216">
        <v>0</v>
      </c>
      <c r="H1216">
        <v>0</v>
      </c>
      <c r="I1216">
        <v>8.02</v>
      </c>
    </row>
    <row r="1217" spans="1:9" x14ac:dyDescent="0.25">
      <c r="A1217">
        <v>2000530449</v>
      </c>
      <c r="B1217" t="s">
        <v>693</v>
      </c>
      <c r="C1217" t="s">
        <v>139</v>
      </c>
      <c r="D1217" t="s">
        <v>140</v>
      </c>
      <c r="E1217" s="2">
        <v>11</v>
      </c>
      <c r="F1217" t="s">
        <v>491</v>
      </c>
      <c r="G1217">
        <v>11</v>
      </c>
      <c r="H1217">
        <v>0</v>
      </c>
      <c r="I1217">
        <v>8.02</v>
      </c>
    </row>
    <row r="1218" spans="1:9" x14ac:dyDescent="0.25">
      <c r="A1218">
        <v>2000530450</v>
      </c>
      <c r="B1218" t="s">
        <v>694</v>
      </c>
      <c r="C1218" t="s">
        <v>130</v>
      </c>
      <c r="D1218" t="s">
        <v>131</v>
      </c>
      <c r="E1218" s="2">
        <v>0</v>
      </c>
      <c r="F1218" t="s">
        <v>491</v>
      </c>
      <c r="G1218" s="2">
        <v>0</v>
      </c>
      <c r="H1218">
        <v>15</v>
      </c>
      <c r="I1218">
        <v>0</v>
      </c>
    </row>
    <row r="1219" spans="1:9" x14ac:dyDescent="0.25">
      <c r="A1219">
        <v>2000530450</v>
      </c>
      <c r="B1219" t="s">
        <v>694</v>
      </c>
      <c r="C1219" t="s">
        <v>126</v>
      </c>
      <c r="D1219" t="s">
        <v>127</v>
      </c>
      <c r="E1219" s="2">
        <v>15</v>
      </c>
      <c r="F1219" t="s">
        <v>491</v>
      </c>
      <c r="G1219">
        <v>0</v>
      </c>
      <c r="H1219">
        <v>0</v>
      </c>
      <c r="I1219">
        <v>7.0653329999999999</v>
      </c>
    </row>
    <row r="1220" spans="1:9" x14ac:dyDescent="0.25">
      <c r="A1220">
        <v>2000530450</v>
      </c>
      <c r="B1220" t="s">
        <v>694</v>
      </c>
      <c r="C1220" t="s">
        <v>139</v>
      </c>
      <c r="D1220" t="s">
        <v>140</v>
      </c>
      <c r="E1220" s="2">
        <v>15</v>
      </c>
      <c r="F1220" t="s">
        <v>491</v>
      </c>
      <c r="G1220">
        <v>15</v>
      </c>
      <c r="H1220">
        <v>0</v>
      </c>
      <c r="I1220">
        <v>7.0653329999999999</v>
      </c>
    </row>
    <row r="1221" spans="1:9" x14ac:dyDescent="0.25">
      <c r="A1221">
        <v>2000530451</v>
      </c>
      <c r="B1221" t="s">
        <v>695</v>
      </c>
      <c r="C1221" t="s">
        <v>130</v>
      </c>
      <c r="D1221" t="s">
        <v>131</v>
      </c>
      <c r="E1221" s="2">
        <v>0</v>
      </c>
      <c r="F1221" t="s">
        <v>491</v>
      </c>
      <c r="G1221">
        <v>0</v>
      </c>
      <c r="H1221">
        <v>21</v>
      </c>
      <c r="I1221">
        <v>0</v>
      </c>
    </row>
    <row r="1222" spans="1:9" x14ac:dyDescent="0.25">
      <c r="A1222">
        <v>2000530451</v>
      </c>
      <c r="B1222" t="s">
        <v>695</v>
      </c>
      <c r="C1222" t="s">
        <v>126</v>
      </c>
      <c r="D1222" t="s">
        <v>127</v>
      </c>
      <c r="E1222" s="2">
        <v>21</v>
      </c>
      <c r="F1222" t="s">
        <v>491</v>
      </c>
      <c r="G1222">
        <v>0</v>
      </c>
      <c r="H1222">
        <v>0</v>
      </c>
      <c r="I1222">
        <v>7.0295240000000003</v>
      </c>
    </row>
    <row r="1223" spans="1:9" x14ac:dyDescent="0.25">
      <c r="A1223">
        <v>2000530451</v>
      </c>
      <c r="B1223" t="s">
        <v>695</v>
      </c>
      <c r="C1223" t="s">
        <v>139</v>
      </c>
      <c r="D1223" t="s">
        <v>140</v>
      </c>
      <c r="E1223" s="2">
        <v>21</v>
      </c>
      <c r="F1223" t="s">
        <v>491</v>
      </c>
      <c r="G1223">
        <v>21</v>
      </c>
      <c r="H1223">
        <v>0</v>
      </c>
      <c r="I1223">
        <v>7.03</v>
      </c>
    </row>
    <row r="1224" spans="1:9" x14ac:dyDescent="0.25">
      <c r="A1224">
        <v>2000530452</v>
      </c>
      <c r="B1224" t="s">
        <v>696</v>
      </c>
      <c r="C1224" t="s">
        <v>130</v>
      </c>
      <c r="D1224" t="s">
        <v>131</v>
      </c>
      <c r="E1224" s="2">
        <v>0</v>
      </c>
      <c r="F1224" t="s">
        <v>491</v>
      </c>
      <c r="G1224">
        <v>0</v>
      </c>
      <c r="H1224" s="2">
        <v>155</v>
      </c>
      <c r="I1224">
        <v>0</v>
      </c>
    </row>
    <row r="1225" spans="1:9" x14ac:dyDescent="0.25">
      <c r="A1225">
        <v>2000530452</v>
      </c>
      <c r="B1225" t="s">
        <v>696</v>
      </c>
      <c r="C1225" t="s">
        <v>126</v>
      </c>
      <c r="D1225" t="s">
        <v>127</v>
      </c>
      <c r="E1225" s="2">
        <v>155</v>
      </c>
      <c r="F1225" t="s">
        <v>491</v>
      </c>
      <c r="G1225" s="2">
        <v>0</v>
      </c>
      <c r="H1225">
        <v>0</v>
      </c>
      <c r="I1225">
        <v>6.8353549999999998</v>
      </c>
    </row>
    <row r="1226" spans="1:9" x14ac:dyDescent="0.25">
      <c r="A1226">
        <v>2000530452</v>
      </c>
      <c r="B1226" t="s">
        <v>696</v>
      </c>
      <c r="C1226" t="s">
        <v>139</v>
      </c>
      <c r="D1226" t="s">
        <v>140</v>
      </c>
      <c r="E1226" s="2">
        <v>155</v>
      </c>
      <c r="F1226" t="s">
        <v>491</v>
      </c>
      <c r="G1226">
        <v>155</v>
      </c>
      <c r="H1226">
        <v>0</v>
      </c>
      <c r="I1226">
        <v>6.8353549999999998</v>
      </c>
    </row>
    <row r="1227" spans="1:9" x14ac:dyDescent="0.25">
      <c r="A1227">
        <v>2000530453</v>
      </c>
      <c r="B1227" t="s">
        <v>697</v>
      </c>
      <c r="C1227" t="s">
        <v>130</v>
      </c>
      <c r="D1227" t="s">
        <v>131</v>
      </c>
      <c r="E1227" s="2">
        <v>0</v>
      </c>
      <c r="F1227" t="s">
        <v>491</v>
      </c>
      <c r="G1227">
        <v>0</v>
      </c>
      <c r="H1227">
        <v>22</v>
      </c>
      <c r="I1227">
        <v>0</v>
      </c>
    </row>
    <row r="1228" spans="1:9" x14ac:dyDescent="0.25">
      <c r="A1228">
        <v>2000530453</v>
      </c>
      <c r="B1228" t="s">
        <v>697</v>
      </c>
      <c r="C1228" t="s">
        <v>126</v>
      </c>
      <c r="D1228" t="s">
        <v>127</v>
      </c>
      <c r="E1228" s="2">
        <v>22</v>
      </c>
      <c r="F1228" t="s">
        <v>491</v>
      </c>
      <c r="G1228">
        <v>0</v>
      </c>
      <c r="H1228">
        <v>0</v>
      </c>
      <c r="I1228">
        <v>6.8354549999999996</v>
      </c>
    </row>
    <row r="1229" spans="1:9" x14ac:dyDescent="0.25">
      <c r="A1229">
        <v>2000530453</v>
      </c>
      <c r="B1229" t="s">
        <v>697</v>
      </c>
      <c r="C1229" t="s">
        <v>139</v>
      </c>
      <c r="D1229" t="s">
        <v>140</v>
      </c>
      <c r="E1229" s="2">
        <v>22</v>
      </c>
      <c r="F1229" t="s">
        <v>491</v>
      </c>
      <c r="G1229">
        <v>22</v>
      </c>
      <c r="H1229">
        <v>0</v>
      </c>
      <c r="I1229">
        <v>6.835</v>
      </c>
    </row>
    <row r="1230" spans="1:9" x14ac:dyDescent="0.25">
      <c r="A1230">
        <v>2000530454</v>
      </c>
      <c r="B1230" t="s">
        <v>698</v>
      </c>
      <c r="C1230" t="s">
        <v>130</v>
      </c>
      <c r="D1230" t="s">
        <v>131</v>
      </c>
      <c r="E1230" s="2">
        <v>0</v>
      </c>
      <c r="F1230" t="s">
        <v>491</v>
      </c>
      <c r="G1230">
        <v>0</v>
      </c>
      <c r="H1230">
        <v>12</v>
      </c>
      <c r="I1230">
        <v>0</v>
      </c>
    </row>
    <row r="1231" spans="1:9" x14ac:dyDescent="0.25">
      <c r="A1231">
        <v>2000530454</v>
      </c>
      <c r="B1231" t="s">
        <v>698</v>
      </c>
      <c r="C1231" t="s">
        <v>126</v>
      </c>
      <c r="D1231" t="s">
        <v>127</v>
      </c>
      <c r="E1231" s="2">
        <v>12</v>
      </c>
      <c r="F1231" t="s">
        <v>491</v>
      </c>
      <c r="G1231">
        <v>0</v>
      </c>
      <c r="H1231">
        <v>0</v>
      </c>
      <c r="I1231">
        <v>6.835</v>
      </c>
    </row>
    <row r="1232" spans="1:9" x14ac:dyDescent="0.25">
      <c r="A1232">
        <v>2000530454</v>
      </c>
      <c r="B1232" t="s">
        <v>698</v>
      </c>
      <c r="C1232" t="s">
        <v>139</v>
      </c>
      <c r="D1232" t="s">
        <v>140</v>
      </c>
      <c r="E1232" s="2">
        <v>12</v>
      </c>
      <c r="F1232" t="s">
        <v>491</v>
      </c>
      <c r="G1232">
        <v>12</v>
      </c>
      <c r="H1232">
        <v>0</v>
      </c>
      <c r="I1232">
        <v>6.835</v>
      </c>
    </row>
    <row r="1233" spans="1:9" x14ac:dyDescent="0.25">
      <c r="A1233">
        <v>2000530455</v>
      </c>
      <c r="B1233" t="s">
        <v>699</v>
      </c>
      <c r="C1233" t="s">
        <v>130</v>
      </c>
      <c r="D1233" t="s">
        <v>131</v>
      </c>
      <c r="E1233" s="2">
        <v>0</v>
      </c>
      <c r="F1233" t="s">
        <v>491</v>
      </c>
      <c r="G1233">
        <v>0</v>
      </c>
      <c r="H1233">
        <v>110</v>
      </c>
      <c r="I1233">
        <v>0</v>
      </c>
    </row>
    <row r="1234" spans="1:9" x14ac:dyDescent="0.25">
      <c r="A1234">
        <v>2000530455</v>
      </c>
      <c r="B1234" t="s">
        <v>699</v>
      </c>
      <c r="C1234" t="s">
        <v>126</v>
      </c>
      <c r="D1234" t="s">
        <v>127</v>
      </c>
      <c r="E1234" s="2">
        <v>110</v>
      </c>
      <c r="F1234" t="s">
        <v>491</v>
      </c>
      <c r="G1234">
        <v>0</v>
      </c>
      <c r="H1234" s="2">
        <v>0</v>
      </c>
      <c r="I1234">
        <v>6.8353640000000002</v>
      </c>
    </row>
    <row r="1235" spans="1:9" x14ac:dyDescent="0.25">
      <c r="A1235">
        <v>2000530455</v>
      </c>
      <c r="B1235" t="s">
        <v>699</v>
      </c>
      <c r="C1235" t="s">
        <v>139</v>
      </c>
      <c r="D1235" t="s">
        <v>140</v>
      </c>
      <c r="E1235" s="2">
        <v>110</v>
      </c>
      <c r="F1235" t="s">
        <v>491</v>
      </c>
      <c r="G1235">
        <v>110</v>
      </c>
      <c r="H1235">
        <v>0</v>
      </c>
      <c r="I1235">
        <v>6.8353640000000002</v>
      </c>
    </row>
    <row r="1236" spans="1:9" x14ac:dyDescent="0.25">
      <c r="A1236">
        <v>2000530456</v>
      </c>
      <c r="B1236" t="s">
        <v>700</v>
      </c>
      <c r="C1236" t="s">
        <v>130</v>
      </c>
      <c r="D1236" t="s">
        <v>131</v>
      </c>
      <c r="E1236" s="2">
        <v>0</v>
      </c>
      <c r="F1236" t="s">
        <v>491</v>
      </c>
      <c r="G1236">
        <v>0</v>
      </c>
      <c r="H1236">
        <v>9</v>
      </c>
      <c r="I1236">
        <v>0</v>
      </c>
    </row>
    <row r="1237" spans="1:9" x14ac:dyDescent="0.25">
      <c r="A1237">
        <v>2000530456</v>
      </c>
      <c r="B1237" t="s">
        <v>700</v>
      </c>
      <c r="C1237" t="s">
        <v>126</v>
      </c>
      <c r="D1237" t="s">
        <v>127</v>
      </c>
      <c r="E1237" s="2">
        <v>9</v>
      </c>
      <c r="F1237" t="s">
        <v>491</v>
      </c>
      <c r="G1237">
        <v>0</v>
      </c>
      <c r="H1237">
        <v>0</v>
      </c>
      <c r="I1237">
        <v>6.8355560000000004</v>
      </c>
    </row>
    <row r="1238" spans="1:9" x14ac:dyDescent="0.25">
      <c r="A1238">
        <v>2000530456</v>
      </c>
      <c r="B1238" t="s">
        <v>700</v>
      </c>
      <c r="C1238" t="s">
        <v>139</v>
      </c>
      <c r="D1238" t="s">
        <v>140</v>
      </c>
      <c r="E1238" s="2">
        <v>9</v>
      </c>
      <c r="F1238" t="s">
        <v>491</v>
      </c>
      <c r="G1238">
        <v>9</v>
      </c>
      <c r="H1238">
        <v>0</v>
      </c>
      <c r="I1238">
        <v>6.8355560000000004</v>
      </c>
    </row>
    <row r="1239" spans="1:9" x14ac:dyDescent="0.25">
      <c r="A1239">
        <v>2000530457</v>
      </c>
      <c r="B1239" t="s">
        <v>701</v>
      </c>
      <c r="C1239" t="s">
        <v>130</v>
      </c>
      <c r="D1239" t="s">
        <v>131</v>
      </c>
      <c r="E1239" s="2">
        <v>0</v>
      </c>
      <c r="F1239" t="s">
        <v>491</v>
      </c>
      <c r="G1239">
        <v>0</v>
      </c>
      <c r="H1239">
        <v>4</v>
      </c>
      <c r="I1239">
        <v>0</v>
      </c>
    </row>
    <row r="1240" spans="1:9" x14ac:dyDescent="0.25">
      <c r="A1240">
        <v>2000530457</v>
      </c>
      <c r="B1240" t="s">
        <v>701</v>
      </c>
      <c r="C1240" t="s">
        <v>126</v>
      </c>
      <c r="D1240" t="s">
        <v>127</v>
      </c>
      <c r="E1240" s="2">
        <v>4</v>
      </c>
      <c r="F1240" t="s">
        <v>491</v>
      </c>
      <c r="G1240">
        <v>0</v>
      </c>
      <c r="H1240">
        <v>0</v>
      </c>
      <c r="I1240">
        <v>6.835</v>
      </c>
    </row>
    <row r="1241" spans="1:9" x14ac:dyDescent="0.25">
      <c r="A1241">
        <v>2000530457</v>
      </c>
      <c r="B1241" t="s">
        <v>701</v>
      </c>
      <c r="C1241" t="s">
        <v>139</v>
      </c>
      <c r="D1241" t="s">
        <v>140</v>
      </c>
      <c r="E1241" s="2">
        <v>4</v>
      </c>
      <c r="F1241" t="s">
        <v>491</v>
      </c>
      <c r="G1241">
        <v>4</v>
      </c>
      <c r="H1241">
        <v>0</v>
      </c>
      <c r="I1241">
        <v>6.835</v>
      </c>
    </row>
    <row r="1242" spans="1:9" x14ac:dyDescent="0.25">
      <c r="A1242">
        <v>2000530459</v>
      </c>
      <c r="B1242" t="s">
        <v>702</v>
      </c>
      <c r="C1242" t="s">
        <v>130</v>
      </c>
      <c r="D1242" t="s">
        <v>131</v>
      </c>
      <c r="E1242" s="2">
        <v>11</v>
      </c>
      <c r="F1242" t="s">
        <v>509</v>
      </c>
      <c r="G1242">
        <v>0</v>
      </c>
      <c r="H1242">
        <v>0</v>
      </c>
      <c r="I1242">
        <v>2.94</v>
      </c>
    </row>
    <row r="1243" spans="1:9" x14ac:dyDescent="0.25">
      <c r="A1243">
        <v>2000530460</v>
      </c>
      <c r="B1243" t="s">
        <v>703</v>
      </c>
      <c r="C1243" t="s">
        <v>130</v>
      </c>
      <c r="D1243" t="s">
        <v>131</v>
      </c>
      <c r="E1243" s="2">
        <v>130</v>
      </c>
      <c r="F1243" t="s">
        <v>509</v>
      </c>
      <c r="G1243">
        <v>0</v>
      </c>
      <c r="H1243">
        <v>0</v>
      </c>
      <c r="I1243">
        <v>3.1844619999999999</v>
      </c>
    </row>
    <row r="1244" spans="1:9" x14ac:dyDescent="0.25">
      <c r="A1244">
        <v>2000530461</v>
      </c>
      <c r="B1244" t="s">
        <v>704</v>
      </c>
      <c r="C1244" t="s">
        <v>130</v>
      </c>
      <c r="D1244" t="s">
        <v>131</v>
      </c>
      <c r="E1244" s="2">
        <v>21</v>
      </c>
      <c r="F1244" t="s">
        <v>509</v>
      </c>
      <c r="G1244">
        <v>0</v>
      </c>
      <c r="H1244">
        <v>0</v>
      </c>
      <c r="I1244">
        <v>3.1833330000000002</v>
      </c>
    </row>
    <row r="1245" spans="1:9" x14ac:dyDescent="0.25">
      <c r="A1245">
        <v>2000530462</v>
      </c>
      <c r="B1245" t="s">
        <v>705</v>
      </c>
      <c r="C1245" t="s">
        <v>130</v>
      </c>
      <c r="D1245" t="s">
        <v>131</v>
      </c>
      <c r="E1245" s="2">
        <v>36</v>
      </c>
      <c r="F1245" t="s">
        <v>509</v>
      </c>
      <c r="G1245">
        <v>0</v>
      </c>
      <c r="H1245">
        <v>0</v>
      </c>
      <c r="I1245">
        <v>3.1844440000000001</v>
      </c>
    </row>
    <row r="1246" spans="1:9" x14ac:dyDescent="0.25">
      <c r="A1246">
        <v>2000530463</v>
      </c>
      <c r="B1246" t="s">
        <v>706</v>
      </c>
      <c r="C1246" t="s">
        <v>130</v>
      </c>
      <c r="D1246" t="s">
        <v>131</v>
      </c>
      <c r="E1246" s="2">
        <v>5</v>
      </c>
      <c r="F1246" t="s">
        <v>509</v>
      </c>
      <c r="G1246">
        <v>0</v>
      </c>
      <c r="H1246">
        <v>0</v>
      </c>
      <c r="I1246">
        <v>2.5760000000000001</v>
      </c>
    </row>
    <row r="1247" spans="1:9" x14ac:dyDescent="0.25">
      <c r="A1247">
        <v>2000530464</v>
      </c>
      <c r="B1247" t="s">
        <v>707</v>
      </c>
      <c r="C1247" t="s">
        <v>130</v>
      </c>
      <c r="D1247" t="s">
        <v>131</v>
      </c>
      <c r="E1247" s="2">
        <v>2</v>
      </c>
      <c r="F1247" t="s">
        <v>509</v>
      </c>
      <c r="G1247">
        <v>0</v>
      </c>
      <c r="H1247">
        <v>0</v>
      </c>
      <c r="I1247">
        <v>2.35</v>
      </c>
    </row>
    <row r="1248" spans="1:9" x14ac:dyDescent="0.25">
      <c r="A1248">
        <v>2000530465</v>
      </c>
      <c r="B1248" t="s">
        <v>708</v>
      </c>
      <c r="C1248" t="s">
        <v>130</v>
      </c>
      <c r="D1248" t="s">
        <v>131</v>
      </c>
      <c r="E1248" s="2">
        <v>28</v>
      </c>
      <c r="F1248" t="s">
        <v>509</v>
      </c>
      <c r="G1248" s="2">
        <v>0</v>
      </c>
      <c r="H1248">
        <v>0</v>
      </c>
      <c r="I1248">
        <v>2.344643</v>
      </c>
    </row>
    <row r="1249" spans="1:9" x14ac:dyDescent="0.25">
      <c r="A1249">
        <v>2000530466</v>
      </c>
      <c r="B1249" t="s">
        <v>709</v>
      </c>
      <c r="C1249" t="s">
        <v>130</v>
      </c>
      <c r="D1249" t="s">
        <v>131</v>
      </c>
      <c r="E1249" s="2">
        <v>3</v>
      </c>
      <c r="F1249" t="s">
        <v>509</v>
      </c>
      <c r="G1249">
        <v>0</v>
      </c>
      <c r="H1249">
        <v>0</v>
      </c>
      <c r="I1249">
        <v>2.1800000000000002</v>
      </c>
    </row>
    <row r="1250" spans="1:9" x14ac:dyDescent="0.25">
      <c r="A1250">
        <v>2000530467</v>
      </c>
      <c r="B1250" t="s">
        <v>710</v>
      </c>
      <c r="C1250" t="s">
        <v>130</v>
      </c>
      <c r="D1250" t="s">
        <v>131</v>
      </c>
      <c r="E1250" s="2">
        <v>3</v>
      </c>
      <c r="F1250" t="s">
        <v>509</v>
      </c>
      <c r="G1250">
        <v>0</v>
      </c>
      <c r="H1250">
        <v>0</v>
      </c>
      <c r="I1250">
        <v>2.35</v>
      </c>
    </row>
    <row r="1251" spans="1:9" x14ac:dyDescent="0.25">
      <c r="A1251">
        <v>2000530468</v>
      </c>
      <c r="B1251" t="s">
        <v>711</v>
      </c>
      <c r="C1251" t="s">
        <v>130</v>
      </c>
      <c r="D1251" t="s">
        <v>131</v>
      </c>
      <c r="E1251" s="2">
        <v>3</v>
      </c>
      <c r="F1251" t="s">
        <v>509</v>
      </c>
      <c r="G1251">
        <v>0</v>
      </c>
      <c r="H1251">
        <v>0</v>
      </c>
      <c r="I1251">
        <v>2.1800000000000002</v>
      </c>
    </row>
    <row r="1252" spans="1:9" x14ac:dyDescent="0.25">
      <c r="A1252">
        <v>2000530469</v>
      </c>
      <c r="B1252" t="s">
        <v>712</v>
      </c>
      <c r="C1252" t="s">
        <v>130</v>
      </c>
      <c r="D1252" t="s">
        <v>131</v>
      </c>
      <c r="E1252" s="2">
        <v>1</v>
      </c>
      <c r="F1252" t="s">
        <v>509</v>
      </c>
      <c r="G1252">
        <v>0</v>
      </c>
      <c r="H1252">
        <v>0</v>
      </c>
      <c r="I1252">
        <v>2.58</v>
      </c>
    </row>
    <row r="1253" spans="1:9" x14ac:dyDescent="0.25">
      <c r="A1253">
        <v>2000530470</v>
      </c>
      <c r="B1253" t="s">
        <v>713</v>
      </c>
      <c r="C1253" t="s">
        <v>130</v>
      </c>
      <c r="D1253" t="s">
        <v>131</v>
      </c>
      <c r="E1253" s="2">
        <v>682</v>
      </c>
      <c r="F1253" t="s">
        <v>509</v>
      </c>
      <c r="G1253">
        <v>976</v>
      </c>
      <c r="H1253">
        <v>0</v>
      </c>
      <c r="I1253">
        <v>2.2187679999999999</v>
      </c>
    </row>
    <row r="1254" spans="1:9" x14ac:dyDescent="0.25">
      <c r="A1254">
        <v>2000530470</v>
      </c>
      <c r="B1254" t="s">
        <v>713</v>
      </c>
      <c r="C1254" t="s">
        <v>137</v>
      </c>
      <c r="D1254" t="s">
        <v>138</v>
      </c>
      <c r="E1254" s="2">
        <v>1</v>
      </c>
      <c r="F1254" t="s">
        <v>509</v>
      </c>
      <c r="G1254" s="2">
        <v>0</v>
      </c>
      <c r="H1254">
        <v>1</v>
      </c>
      <c r="I1254">
        <v>2.2200000000000002</v>
      </c>
    </row>
    <row r="1255" spans="1:9" x14ac:dyDescent="0.25">
      <c r="A1255">
        <v>2000530470</v>
      </c>
      <c r="B1255" t="s">
        <v>713</v>
      </c>
      <c r="C1255" t="s">
        <v>151</v>
      </c>
      <c r="D1255" t="s">
        <v>152</v>
      </c>
      <c r="E1255" s="2">
        <v>2704</v>
      </c>
      <c r="F1255" t="s">
        <v>509</v>
      </c>
      <c r="G1255" s="2">
        <v>0</v>
      </c>
      <c r="H1255">
        <v>0</v>
      </c>
      <c r="I1255">
        <v>2.2187649999999999</v>
      </c>
    </row>
    <row r="1256" spans="1:9" x14ac:dyDescent="0.25">
      <c r="A1256">
        <v>2000530475</v>
      </c>
      <c r="B1256" t="s">
        <v>714</v>
      </c>
      <c r="C1256" t="s">
        <v>130</v>
      </c>
      <c r="D1256" t="s">
        <v>131</v>
      </c>
      <c r="E1256" s="2">
        <v>1</v>
      </c>
      <c r="F1256" t="s">
        <v>500</v>
      </c>
      <c r="G1256" s="2">
        <v>0</v>
      </c>
      <c r="H1256">
        <v>0</v>
      </c>
      <c r="I1256">
        <v>2.57</v>
      </c>
    </row>
    <row r="1257" spans="1:9" x14ac:dyDescent="0.25">
      <c r="A1257">
        <v>2000530476</v>
      </c>
      <c r="B1257" t="s">
        <v>715</v>
      </c>
      <c r="C1257" t="s">
        <v>130</v>
      </c>
      <c r="D1257" t="s">
        <v>131</v>
      </c>
      <c r="E1257" s="2">
        <v>1</v>
      </c>
      <c r="F1257" t="s">
        <v>500</v>
      </c>
      <c r="G1257">
        <v>0</v>
      </c>
      <c r="H1257">
        <v>0</v>
      </c>
      <c r="I1257">
        <v>2.5299999999999998</v>
      </c>
    </row>
    <row r="1258" spans="1:9" x14ac:dyDescent="0.25">
      <c r="A1258">
        <v>2000530477</v>
      </c>
      <c r="B1258" t="s">
        <v>716</v>
      </c>
      <c r="C1258" t="s">
        <v>130</v>
      </c>
      <c r="D1258" t="s">
        <v>131</v>
      </c>
      <c r="E1258" s="2">
        <v>34</v>
      </c>
      <c r="F1258" t="s">
        <v>500</v>
      </c>
      <c r="G1258" s="2">
        <v>0</v>
      </c>
      <c r="H1258">
        <v>0</v>
      </c>
      <c r="I1258">
        <v>2.5473530000000002</v>
      </c>
    </row>
    <row r="1259" spans="1:9" x14ac:dyDescent="0.25">
      <c r="A1259">
        <v>2000530485</v>
      </c>
      <c r="B1259" t="s">
        <v>717</v>
      </c>
      <c r="C1259" t="s">
        <v>130</v>
      </c>
      <c r="D1259" t="s">
        <v>131</v>
      </c>
      <c r="E1259" s="2">
        <v>34323</v>
      </c>
      <c r="F1259" t="s">
        <v>36</v>
      </c>
      <c r="G1259">
        <v>28</v>
      </c>
      <c r="H1259" s="2">
        <v>0</v>
      </c>
      <c r="I1259">
        <v>0.141572</v>
      </c>
    </row>
    <row r="1260" spans="1:9" x14ac:dyDescent="0.25">
      <c r="A1260">
        <v>2000530485</v>
      </c>
      <c r="B1260" t="s">
        <v>717</v>
      </c>
      <c r="C1260" t="s">
        <v>126</v>
      </c>
      <c r="D1260" t="s">
        <v>127</v>
      </c>
      <c r="E1260" s="2">
        <v>100</v>
      </c>
      <c r="F1260" t="s">
        <v>36</v>
      </c>
      <c r="G1260">
        <v>0</v>
      </c>
      <c r="H1260">
        <v>0</v>
      </c>
      <c r="I1260">
        <v>0.1416</v>
      </c>
    </row>
    <row r="1261" spans="1:9" x14ac:dyDescent="0.25">
      <c r="A1261">
        <v>2000530485</v>
      </c>
      <c r="B1261" t="s">
        <v>717</v>
      </c>
      <c r="C1261" t="s">
        <v>137</v>
      </c>
      <c r="D1261" t="s">
        <v>138</v>
      </c>
      <c r="E1261" s="2">
        <v>0</v>
      </c>
      <c r="F1261" t="s">
        <v>36</v>
      </c>
      <c r="G1261">
        <v>0</v>
      </c>
      <c r="H1261" s="2">
        <v>25</v>
      </c>
      <c r="I1261">
        <v>0.141567</v>
      </c>
    </row>
    <row r="1262" spans="1:9" x14ac:dyDescent="0.25">
      <c r="A1262">
        <v>2000530486</v>
      </c>
      <c r="B1262" t="s">
        <v>718</v>
      </c>
      <c r="C1262" t="s">
        <v>130</v>
      </c>
      <c r="D1262" t="s">
        <v>131</v>
      </c>
      <c r="E1262" s="2">
        <v>3072</v>
      </c>
      <c r="F1262" t="s">
        <v>719</v>
      </c>
      <c r="G1262">
        <v>3</v>
      </c>
      <c r="H1262" s="2">
        <v>0</v>
      </c>
      <c r="I1262">
        <v>10.492197000000001</v>
      </c>
    </row>
    <row r="1263" spans="1:9" x14ac:dyDescent="0.25">
      <c r="A1263">
        <v>2000530486</v>
      </c>
      <c r="B1263" t="s">
        <v>718</v>
      </c>
      <c r="C1263" t="s">
        <v>137</v>
      </c>
      <c r="D1263" t="s">
        <v>138</v>
      </c>
      <c r="E1263" s="2">
        <v>3</v>
      </c>
      <c r="F1263" t="s">
        <v>719</v>
      </c>
      <c r="G1263">
        <v>0</v>
      </c>
      <c r="H1263">
        <v>3</v>
      </c>
      <c r="I1263">
        <v>10.49</v>
      </c>
    </row>
    <row r="1264" spans="1:9" x14ac:dyDescent="0.25">
      <c r="A1264">
        <v>2000530489</v>
      </c>
      <c r="B1264" t="s">
        <v>720</v>
      </c>
      <c r="C1264" t="s">
        <v>130</v>
      </c>
      <c r="D1264" t="s">
        <v>131</v>
      </c>
      <c r="E1264" s="2">
        <v>3</v>
      </c>
      <c r="F1264" t="s">
        <v>457</v>
      </c>
      <c r="G1264">
        <v>377</v>
      </c>
      <c r="H1264">
        <v>0</v>
      </c>
      <c r="I1264">
        <v>1.443333</v>
      </c>
    </row>
    <row r="1265" spans="1:9" x14ac:dyDescent="0.25">
      <c r="A1265">
        <v>2000530489</v>
      </c>
      <c r="B1265" t="s">
        <v>720</v>
      </c>
      <c r="C1265" t="s">
        <v>137</v>
      </c>
      <c r="D1265" t="s">
        <v>138</v>
      </c>
      <c r="E1265" s="2">
        <v>2</v>
      </c>
      <c r="F1265" t="s">
        <v>457</v>
      </c>
      <c r="G1265">
        <v>0</v>
      </c>
      <c r="H1265">
        <v>7</v>
      </c>
      <c r="I1265">
        <v>1.4450000000000001</v>
      </c>
    </row>
    <row r="1266" spans="1:9" x14ac:dyDescent="0.25">
      <c r="A1266">
        <v>2000530489</v>
      </c>
      <c r="B1266" t="s">
        <v>720</v>
      </c>
      <c r="C1266" t="s">
        <v>151</v>
      </c>
      <c r="D1266" t="s">
        <v>152</v>
      </c>
      <c r="E1266" s="2">
        <v>0</v>
      </c>
      <c r="F1266" t="s">
        <v>457</v>
      </c>
      <c r="G1266">
        <v>0</v>
      </c>
      <c r="H1266">
        <v>360</v>
      </c>
      <c r="I1266">
        <v>1.4335</v>
      </c>
    </row>
    <row r="1267" spans="1:9" x14ac:dyDescent="0.25">
      <c r="A1267">
        <v>2000530489</v>
      </c>
      <c r="B1267" t="s">
        <v>720</v>
      </c>
      <c r="C1267" t="s">
        <v>139</v>
      </c>
      <c r="D1267" t="s">
        <v>140</v>
      </c>
      <c r="E1267" s="2">
        <v>6478</v>
      </c>
      <c r="F1267" t="s">
        <v>457</v>
      </c>
      <c r="G1267">
        <v>0</v>
      </c>
      <c r="H1267">
        <v>0</v>
      </c>
      <c r="I1267">
        <v>1.433287</v>
      </c>
    </row>
    <row r="1268" spans="1:9" x14ac:dyDescent="0.25">
      <c r="A1268">
        <v>2000530490</v>
      </c>
      <c r="B1268" t="s">
        <v>721</v>
      </c>
      <c r="C1268" t="s">
        <v>130</v>
      </c>
      <c r="D1268" t="s">
        <v>131</v>
      </c>
      <c r="E1268" s="2">
        <v>36</v>
      </c>
      <c r="F1268" t="s">
        <v>457</v>
      </c>
      <c r="G1268">
        <v>0</v>
      </c>
      <c r="H1268">
        <v>0</v>
      </c>
      <c r="I1268">
        <v>1.927778</v>
      </c>
    </row>
    <row r="1269" spans="1:9" x14ac:dyDescent="0.25">
      <c r="A1269">
        <v>2000530490</v>
      </c>
      <c r="B1269" t="s">
        <v>721</v>
      </c>
      <c r="C1269" t="s">
        <v>139</v>
      </c>
      <c r="D1269" t="s">
        <v>140</v>
      </c>
      <c r="E1269" s="2">
        <v>1397</v>
      </c>
      <c r="F1269" t="s">
        <v>457</v>
      </c>
      <c r="G1269" s="2">
        <v>0</v>
      </c>
      <c r="H1269" s="2">
        <v>0</v>
      </c>
      <c r="I1269">
        <v>1.4954829999999999</v>
      </c>
    </row>
    <row r="1270" spans="1:9" x14ac:dyDescent="0.25">
      <c r="A1270">
        <v>2000530491</v>
      </c>
      <c r="B1270" t="s">
        <v>722</v>
      </c>
      <c r="C1270" t="s">
        <v>130</v>
      </c>
      <c r="D1270" t="s">
        <v>131</v>
      </c>
      <c r="E1270" s="2">
        <v>12.2</v>
      </c>
      <c r="F1270" t="s">
        <v>457</v>
      </c>
      <c r="G1270">
        <v>360</v>
      </c>
      <c r="H1270">
        <v>0</v>
      </c>
      <c r="I1270">
        <v>1.9360660000000001</v>
      </c>
    </row>
    <row r="1271" spans="1:9" x14ac:dyDescent="0.25">
      <c r="A1271">
        <v>2000530491</v>
      </c>
      <c r="B1271" t="s">
        <v>722</v>
      </c>
      <c r="C1271" t="s">
        <v>126</v>
      </c>
      <c r="D1271" t="s">
        <v>127</v>
      </c>
      <c r="E1271" s="2">
        <v>661.5</v>
      </c>
      <c r="F1271" t="s">
        <v>457</v>
      </c>
      <c r="G1271">
        <v>0</v>
      </c>
      <c r="H1271">
        <v>0</v>
      </c>
      <c r="I1271">
        <v>2.0695990000000002</v>
      </c>
    </row>
    <row r="1272" spans="1:9" x14ac:dyDescent="0.25">
      <c r="A1272">
        <v>2000530491</v>
      </c>
      <c r="B1272" t="s">
        <v>722</v>
      </c>
      <c r="C1272" t="s">
        <v>151</v>
      </c>
      <c r="D1272" t="s">
        <v>152</v>
      </c>
      <c r="E1272" s="2">
        <v>0</v>
      </c>
      <c r="F1272" t="s">
        <v>457</v>
      </c>
      <c r="G1272">
        <v>0</v>
      </c>
      <c r="H1272">
        <v>360</v>
      </c>
      <c r="I1272">
        <v>1.4822919999999999</v>
      </c>
    </row>
    <row r="1273" spans="1:9" x14ac:dyDescent="0.25">
      <c r="A1273">
        <v>2000530491</v>
      </c>
      <c r="B1273" t="s">
        <v>722</v>
      </c>
      <c r="C1273" t="s">
        <v>139</v>
      </c>
      <c r="D1273" t="s">
        <v>140</v>
      </c>
      <c r="E1273" s="2">
        <v>3341</v>
      </c>
      <c r="F1273" t="s">
        <v>457</v>
      </c>
      <c r="G1273" s="2">
        <v>0</v>
      </c>
      <c r="H1273">
        <v>0</v>
      </c>
      <c r="I1273">
        <v>1.4128050000000001</v>
      </c>
    </row>
    <row r="1274" spans="1:9" x14ac:dyDescent="0.25">
      <c r="A1274">
        <v>2000530492</v>
      </c>
      <c r="B1274" t="s">
        <v>723</v>
      </c>
      <c r="C1274" t="s">
        <v>130</v>
      </c>
      <c r="D1274" t="s">
        <v>131</v>
      </c>
      <c r="E1274" s="2">
        <v>191.6</v>
      </c>
      <c r="F1274" t="s">
        <v>457</v>
      </c>
      <c r="G1274">
        <v>0</v>
      </c>
      <c r="H1274">
        <v>0</v>
      </c>
      <c r="I1274">
        <v>1.560543</v>
      </c>
    </row>
    <row r="1275" spans="1:9" x14ac:dyDescent="0.25">
      <c r="A1275">
        <v>2000530492</v>
      </c>
      <c r="B1275" t="s">
        <v>723</v>
      </c>
      <c r="C1275" t="s">
        <v>139</v>
      </c>
      <c r="D1275" t="s">
        <v>140</v>
      </c>
      <c r="E1275" s="2">
        <v>2171</v>
      </c>
      <c r="F1275" t="s">
        <v>457</v>
      </c>
      <c r="G1275">
        <v>0</v>
      </c>
      <c r="H1275">
        <v>0</v>
      </c>
      <c r="I1275">
        <v>1.4316580000000001</v>
      </c>
    </row>
    <row r="1276" spans="1:9" x14ac:dyDescent="0.25">
      <c r="A1276">
        <v>2000530493</v>
      </c>
      <c r="B1276" t="s">
        <v>724</v>
      </c>
      <c r="C1276" t="s">
        <v>130</v>
      </c>
      <c r="D1276" t="s">
        <v>131</v>
      </c>
      <c r="E1276" s="2">
        <v>18</v>
      </c>
      <c r="F1276" t="s">
        <v>457</v>
      </c>
      <c r="G1276">
        <v>0</v>
      </c>
      <c r="H1276">
        <v>0</v>
      </c>
      <c r="I1276">
        <v>1.93</v>
      </c>
    </row>
    <row r="1277" spans="1:9" x14ac:dyDescent="0.25">
      <c r="A1277">
        <v>2000530493</v>
      </c>
      <c r="B1277" t="s">
        <v>724</v>
      </c>
      <c r="C1277" t="s">
        <v>139</v>
      </c>
      <c r="D1277" t="s">
        <v>140</v>
      </c>
      <c r="E1277" s="2">
        <v>1314</v>
      </c>
      <c r="F1277" t="s">
        <v>457</v>
      </c>
      <c r="G1277">
        <v>0</v>
      </c>
      <c r="H1277">
        <v>0</v>
      </c>
      <c r="I1277">
        <v>1.442161</v>
      </c>
    </row>
    <row r="1278" spans="1:9" x14ac:dyDescent="0.25">
      <c r="A1278">
        <v>2000530494</v>
      </c>
      <c r="B1278" t="s">
        <v>725</v>
      </c>
      <c r="C1278" t="s">
        <v>130</v>
      </c>
      <c r="D1278" t="s">
        <v>131</v>
      </c>
      <c r="E1278" s="2">
        <v>24</v>
      </c>
      <c r="F1278" t="s">
        <v>457</v>
      </c>
      <c r="G1278">
        <v>100</v>
      </c>
      <c r="H1278">
        <v>0</v>
      </c>
      <c r="I1278">
        <v>1.94</v>
      </c>
    </row>
    <row r="1279" spans="1:9" x14ac:dyDescent="0.25">
      <c r="A1279">
        <v>2000530494</v>
      </c>
      <c r="B1279" t="s">
        <v>725</v>
      </c>
      <c r="C1279" t="s">
        <v>151</v>
      </c>
      <c r="D1279" t="s">
        <v>152</v>
      </c>
      <c r="E1279" s="2">
        <v>0</v>
      </c>
      <c r="F1279" t="s">
        <v>457</v>
      </c>
      <c r="G1279">
        <v>0</v>
      </c>
      <c r="H1279">
        <v>100</v>
      </c>
      <c r="I1279">
        <v>1.4823</v>
      </c>
    </row>
    <row r="1280" spans="1:9" x14ac:dyDescent="0.25">
      <c r="A1280">
        <v>2000530494</v>
      </c>
      <c r="B1280" t="s">
        <v>725</v>
      </c>
      <c r="C1280" t="s">
        <v>139</v>
      </c>
      <c r="D1280" t="s">
        <v>140</v>
      </c>
      <c r="E1280" s="2">
        <v>1927</v>
      </c>
      <c r="F1280" t="s">
        <v>457</v>
      </c>
      <c r="G1280">
        <v>0</v>
      </c>
      <c r="H1280">
        <v>0</v>
      </c>
      <c r="I1280">
        <v>1.4316040000000001</v>
      </c>
    </row>
    <row r="1281" spans="1:9" x14ac:dyDescent="0.25">
      <c r="A1281">
        <v>2000530495</v>
      </c>
      <c r="B1281" t="s">
        <v>726</v>
      </c>
      <c r="C1281" t="s">
        <v>130</v>
      </c>
      <c r="D1281" t="s">
        <v>131</v>
      </c>
      <c r="E1281" s="2">
        <v>0</v>
      </c>
      <c r="F1281" t="s">
        <v>457</v>
      </c>
      <c r="G1281">
        <v>75</v>
      </c>
      <c r="H1281">
        <v>0</v>
      </c>
      <c r="I1281">
        <v>0</v>
      </c>
    </row>
    <row r="1282" spans="1:9" x14ac:dyDescent="0.25">
      <c r="A1282">
        <v>2000530496</v>
      </c>
      <c r="B1282" t="s">
        <v>727</v>
      </c>
      <c r="C1282" t="s">
        <v>130</v>
      </c>
      <c r="D1282" t="s">
        <v>131</v>
      </c>
      <c r="E1282" s="2">
        <v>0</v>
      </c>
      <c r="F1282" t="s">
        <v>457</v>
      </c>
      <c r="G1282">
        <v>105</v>
      </c>
      <c r="H1282">
        <v>0</v>
      </c>
      <c r="I1282">
        <v>0</v>
      </c>
    </row>
    <row r="1283" spans="1:9" x14ac:dyDescent="0.25">
      <c r="A1283">
        <v>2000530496</v>
      </c>
      <c r="B1283" t="s">
        <v>727</v>
      </c>
      <c r="C1283" t="s">
        <v>126</v>
      </c>
      <c r="D1283" t="s">
        <v>127</v>
      </c>
      <c r="E1283" s="2">
        <v>2398</v>
      </c>
      <c r="F1283" t="s">
        <v>457</v>
      </c>
      <c r="G1283">
        <v>0</v>
      </c>
      <c r="H1283">
        <v>0</v>
      </c>
      <c r="I1283">
        <v>1.9903040000000001</v>
      </c>
    </row>
    <row r="1284" spans="1:9" x14ac:dyDescent="0.25">
      <c r="A1284">
        <v>2000530496</v>
      </c>
      <c r="B1284" t="s">
        <v>727</v>
      </c>
      <c r="C1284" t="s">
        <v>151</v>
      </c>
      <c r="D1284" t="s">
        <v>152</v>
      </c>
      <c r="E1284" s="2">
        <v>0</v>
      </c>
      <c r="F1284" t="s">
        <v>457</v>
      </c>
      <c r="G1284">
        <v>0</v>
      </c>
      <c r="H1284">
        <v>40</v>
      </c>
      <c r="I1284">
        <v>1.4089</v>
      </c>
    </row>
    <row r="1285" spans="1:9" x14ac:dyDescent="0.25">
      <c r="A1285">
        <v>2000530496</v>
      </c>
      <c r="B1285" t="s">
        <v>727</v>
      </c>
      <c r="C1285" t="s">
        <v>139</v>
      </c>
      <c r="D1285" t="s">
        <v>140</v>
      </c>
      <c r="E1285" s="2">
        <v>13</v>
      </c>
      <c r="F1285" t="s">
        <v>457</v>
      </c>
      <c r="G1285">
        <v>0</v>
      </c>
      <c r="H1285">
        <v>0</v>
      </c>
      <c r="I1285">
        <v>1.41</v>
      </c>
    </row>
    <row r="1286" spans="1:9" x14ac:dyDescent="0.25">
      <c r="A1286">
        <v>2000530497</v>
      </c>
      <c r="B1286" t="s">
        <v>728</v>
      </c>
      <c r="C1286" t="s">
        <v>130</v>
      </c>
      <c r="D1286" t="s">
        <v>131</v>
      </c>
      <c r="E1286" s="2">
        <v>13</v>
      </c>
      <c r="F1286" t="s">
        <v>457</v>
      </c>
      <c r="G1286">
        <v>5</v>
      </c>
      <c r="H1286">
        <v>0</v>
      </c>
      <c r="I1286">
        <v>1.5346150000000001</v>
      </c>
    </row>
    <row r="1287" spans="1:9" x14ac:dyDescent="0.25">
      <c r="A1287">
        <v>2000530497</v>
      </c>
      <c r="B1287" t="s">
        <v>728</v>
      </c>
      <c r="C1287" t="s">
        <v>139</v>
      </c>
      <c r="D1287" t="s">
        <v>140</v>
      </c>
      <c r="E1287" s="2">
        <v>1260</v>
      </c>
      <c r="F1287" t="s">
        <v>457</v>
      </c>
      <c r="G1287">
        <v>0</v>
      </c>
      <c r="H1287">
        <v>0</v>
      </c>
      <c r="I1287">
        <v>1.4335</v>
      </c>
    </row>
    <row r="1288" spans="1:9" x14ac:dyDescent="0.25">
      <c r="A1288">
        <v>2000530498</v>
      </c>
      <c r="B1288" t="s">
        <v>729</v>
      </c>
      <c r="C1288" t="s">
        <v>130</v>
      </c>
      <c r="D1288" t="s">
        <v>131</v>
      </c>
      <c r="E1288" s="2">
        <v>16</v>
      </c>
      <c r="F1288" t="s">
        <v>457</v>
      </c>
      <c r="G1288">
        <v>120</v>
      </c>
      <c r="H1288">
        <v>0</v>
      </c>
      <c r="I1288">
        <v>1.931875</v>
      </c>
    </row>
    <row r="1289" spans="1:9" x14ac:dyDescent="0.25">
      <c r="A1289">
        <v>2000530498</v>
      </c>
      <c r="B1289" t="s">
        <v>729</v>
      </c>
      <c r="C1289" t="s">
        <v>151</v>
      </c>
      <c r="D1289" t="s">
        <v>152</v>
      </c>
      <c r="E1289" s="2">
        <v>0</v>
      </c>
      <c r="F1289" t="s">
        <v>457</v>
      </c>
      <c r="G1289">
        <v>0</v>
      </c>
      <c r="H1289" s="2">
        <v>120</v>
      </c>
      <c r="I1289">
        <v>1.49275</v>
      </c>
    </row>
    <row r="1290" spans="1:9" x14ac:dyDescent="0.25">
      <c r="A1290">
        <v>2000530498</v>
      </c>
      <c r="B1290" t="s">
        <v>729</v>
      </c>
      <c r="C1290" t="s">
        <v>139</v>
      </c>
      <c r="D1290" t="s">
        <v>140</v>
      </c>
      <c r="E1290" s="2">
        <v>1109</v>
      </c>
      <c r="F1290" t="s">
        <v>457</v>
      </c>
      <c r="G1290">
        <v>0</v>
      </c>
      <c r="H1290">
        <v>0</v>
      </c>
      <c r="I1290">
        <v>1.4376469999999999</v>
      </c>
    </row>
    <row r="1291" spans="1:9" x14ac:dyDescent="0.25">
      <c r="A1291">
        <v>2000530499</v>
      </c>
      <c r="B1291" t="s">
        <v>730</v>
      </c>
      <c r="C1291" t="s">
        <v>199</v>
      </c>
      <c r="D1291" t="s">
        <v>200</v>
      </c>
      <c r="E1291" s="2">
        <v>120</v>
      </c>
      <c r="F1291" t="s">
        <v>457</v>
      </c>
      <c r="G1291">
        <v>0</v>
      </c>
      <c r="H1291" s="2">
        <v>0</v>
      </c>
      <c r="I1291">
        <v>1.45</v>
      </c>
    </row>
    <row r="1292" spans="1:9" x14ac:dyDescent="0.25">
      <c r="A1292">
        <v>2000530499</v>
      </c>
      <c r="B1292" t="s">
        <v>730</v>
      </c>
      <c r="C1292" t="s">
        <v>130</v>
      </c>
      <c r="D1292" t="s">
        <v>131</v>
      </c>
      <c r="E1292" s="2">
        <v>157</v>
      </c>
      <c r="F1292" t="s">
        <v>457</v>
      </c>
      <c r="G1292">
        <v>262</v>
      </c>
      <c r="H1292">
        <v>0</v>
      </c>
      <c r="I1292">
        <v>1.4824839999999999</v>
      </c>
    </row>
    <row r="1293" spans="1:9" x14ac:dyDescent="0.25">
      <c r="A1293">
        <v>2000530499</v>
      </c>
      <c r="B1293" t="s">
        <v>730</v>
      </c>
      <c r="C1293" t="s">
        <v>142</v>
      </c>
      <c r="D1293" t="s">
        <v>143</v>
      </c>
      <c r="E1293" s="2">
        <v>0</v>
      </c>
      <c r="F1293" t="s">
        <v>457</v>
      </c>
      <c r="G1293">
        <v>0</v>
      </c>
      <c r="H1293">
        <v>252</v>
      </c>
      <c r="I1293">
        <v>1.4824999999999999</v>
      </c>
    </row>
    <row r="1294" spans="1:9" x14ac:dyDescent="0.25">
      <c r="A1294">
        <v>2000530499</v>
      </c>
      <c r="B1294" t="s">
        <v>730</v>
      </c>
      <c r="C1294" t="s">
        <v>139</v>
      </c>
      <c r="D1294" t="s">
        <v>140</v>
      </c>
      <c r="E1294" s="2">
        <v>2369</v>
      </c>
      <c r="F1294" t="s">
        <v>457</v>
      </c>
      <c r="G1294">
        <v>0</v>
      </c>
      <c r="H1294" s="2">
        <v>0</v>
      </c>
      <c r="I1294">
        <v>1.411</v>
      </c>
    </row>
    <row r="1295" spans="1:9" x14ac:dyDescent="0.25">
      <c r="A1295">
        <v>2000530500</v>
      </c>
      <c r="B1295" t="s">
        <v>731</v>
      </c>
      <c r="C1295" t="s">
        <v>130</v>
      </c>
      <c r="D1295" t="s">
        <v>131</v>
      </c>
      <c r="E1295" s="2">
        <v>132</v>
      </c>
      <c r="F1295" t="s">
        <v>457</v>
      </c>
      <c r="G1295">
        <v>5</v>
      </c>
      <c r="H1295">
        <v>0</v>
      </c>
      <c r="I1295">
        <v>1.933333</v>
      </c>
    </row>
    <row r="1296" spans="1:9" x14ac:dyDescent="0.25">
      <c r="A1296">
        <v>2000530500</v>
      </c>
      <c r="B1296" t="s">
        <v>731</v>
      </c>
      <c r="C1296" t="s">
        <v>139</v>
      </c>
      <c r="D1296" t="s">
        <v>140</v>
      </c>
      <c r="E1296" s="2">
        <v>1758</v>
      </c>
      <c r="F1296" t="s">
        <v>457</v>
      </c>
      <c r="G1296">
        <v>0</v>
      </c>
      <c r="H1296">
        <v>0</v>
      </c>
      <c r="I1296">
        <v>1.442787</v>
      </c>
    </row>
    <row r="1297" spans="1:9" x14ac:dyDescent="0.25">
      <c r="A1297">
        <v>2000530501</v>
      </c>
      <c r="B1297" t="s">
        <v>732</v>
      </c>
      <c r="C1297" t="s">
        <v>130</v>
      </c>
      <c r="D1297" t="s">
        <v>131</v>
      </c>
      <c r="E1297" s="2">
        <v>0.4</v>
      </c>
      <c r="F1297" t="s">
        <v>457</v>
      </c>
      <c r="G1297">
        <v>81</v>
      </c>
      <c r="H1297">
        <v>0</v>
      </c>
      <c r="I1297">
        <v>1.5</v>
      </c>
    </row>
    <row r="1298" spans="1:9" x14ac:dyDescent="0.25">
      <c r="A1298">
        <v>2000530501</v>
      </c>
      <c r="B1298" t="s">
        <v>732</v>
      </c>
      <c r="C1298" t="s">
        <v>137</v>
      </c>
      <c r="D1298" t="s">
        <v>138</v>
      </c>
      <c r="E1298" s="2">
        <v>2</v>
      </c>
      <c r="F1298" t="s">
        <v>457</v>
      </c>
      <c r="G1298">
        <v>0</v>
      </c>
      <c r="H1298">
        <v>1</v>
      </c>
      <c r="I1298">
        <v>1.43</v>
      </c>
    </row>
    <row r="1299" spans="1:9" x14ac:dyDescent="0.25">
      <c r="A1299">
        <v>2000530501</v>
      </c>
      <c r="B1299" t="s">
        <v>732</v>
      </c>
      <c r="C1299" t="s">
        <v>151</v>
      </c>
      <c r="D1299" t="s">
        <v>152</v>
      </c>
      <c r="E1299" s="2">
        <v>0</v>
      </c>
      <c r="F1299" t="s">
        <v>457</v>
      </c>
      <c r="G1299">
        <v>0</v>
      </c>
      <c r="H1299">
        <v>80</v>
      </c>
      <c r="I1299">
        <v>1.5007140000000001</v>
      </c>
    </row>
    <row r="1300" spans="1:9" x14ac:dyDescent="0.25">
      <c r="A1300">
        <v>2000530501</v>
      </c>
      <c r="B1300" t="s">
        <v>732</v>
      </c>
      <c r="C1300" t="s">
        <v>139</v>
      </c>
      <c r="D1300" t="s">
        <v>140</v>
      </c>
      <c r="E1300" s="2">
        <v>8062</v>
      </c>
      <c r="F1300" t="s">
        <v>457</v>
      </c>
      <c r="G1300">
        <v>0</v>
      </c>
      <c r="H1300">
        <v>0</v>
      </c>
      <c r="I1300">
        <v>1.432734</v>
      </c>
    </row>
    <row r="1301" spans="1:9" x14ac:dyDescent="0.25">
      <c r="A1301">
        <v>2000530502</v>
      </c>
      <c r="B1301" t="s">
        <v>733</v>
      </c>
      <c r="C1301" t="s">
        <v>130</v>
      </c>
      <c r="D1301" t="s">
        <v>131</v>
      </c>
      <c r="E1301" s="2">
        <v>15</v>
      </c>
      <c r="F1301" t="s">
        <v>457</v>
      </c>
      <c r="G1301">
        <v>5</v>
      </c>
      <c r="H1301">
        <v>0</v>
      </c>
      <c r="I1301">
        <v>1.93</v>
      </c>
    </row>
    <row r="1302" spans="1:9" x14ac:dyDescent="0.25">
      <c r="A1302">
        <v>2000530502</v>
      </c>
      <c r="B1302" t="s">
        <v>733</v>
      </c>
      <c r="C1302" t="s">
        <v>139</v>
      </c>
      <c r="D1302" t="s">
        <v>140</v>
      </c>
      <c r="E1302" s="2">
        <v>1435</v>
      </c>
      <c r="F1302" t="s">
        <v>457</v>
      </c>
      <c r="G1302">
        <v>0</v>
      </c>
      <c r="H1302">
        <v>0</v>
      </c>
      <c r="I1302">
        <v>1.445875</v>
      </c>
    </row>
    <row r="1303" spans="1:9" x14ac:dyDescent="0.25">
      <c r="A1303">
        <v>2000530503</v>
      </c>
      <c r="B1303" t="s">
        <v>734</v>
      </c>
      <c r="C1303" t="s">
        <v>130</v>
      </c>
      <c r="D1303" t="s">
        <v>131</v>
      </c>
      <c r="E1303" s="2">
        <v>0</v>
      </c>
      <c r="F1303" t="s">
        <v>457</v>
      </c>
      <c r="G1303">
        <v>100</v>
      </c>
      <c r="H1303">
        <v>0</v>
      </c>
      <c r="I1303">
        <v>1.9375</v>
      </c>
    </row>
    <row r="1304" spans="1:9" x14ac:dyDescent="0.25">
      <c r="A1304">
        <v>2000530503</v>
      </c>
      <c r="B1304" t="s">
        <v>734</v>
      </c>
      <c r="C1304" t="s">
        <v>151</v>
      </c>
      <c r="D1304" t="s">
        <v>152</v>
      </c>
      <c r="E1304" s="2">
        <v>0</v>
      </c>
      <c r="F1304" t="s">
        <v>457</v>
      </c>
      <c r="G1304">
        <v>0</v>
      </c>
      <c r="H1304">
        <v>100</v>
      </c>
      <c r="I1304">
        <v>1.4744999999999999</v>
      </c>
    </row>
    <row r="1305" spans="1:9" x14ac:dyDescent="0.25">
      <c r="A1305">
        <v>2000530503</v>
      </c>
      <c r="B1305" t="s">
        <v>734</v>
      </c>
      <c r="C1305" t="s">
        <v>139</v>
      </c>
      <c r="D1305" t="s">
        <v>140</v>
      </c>
      <c r="E1305" s="2">
        <v>2481</v>
      </c>
      <c r="F1305" t="s">
        <v>457</v>
      </c>
      <c r="G1305">
        <v>0</v>
      </c>
      <c r="H1305">
        <v>0</v>
      </c>
      <c r="I1305">
        <v>1.4397979999999999</v>
      </c>
    </row>
    <row r="1306" spans="1:9" x14ac:dyDescent="0.25">
      <c r="A1306">
        <v>2000530504</v>
      </c>
      <c r="B1306" t="s">
        <v>735</v>
      </c>
      <c r="C1306" t="s">
        <v>130</v>
      </c>
      <c r="D1306" t="s">
        <v>131</v>
      </c>
      <c r="E1306" s="2">
        <v>12</v>
      </c>
      <c r="F1306" t="s">
        <v>457</v>
      </c>
      <c r="G1306">
        <v>0</v>
      </c>
      <c r="H1306">
        <v>0</v>
      </c>
      <c r="I1306">
        <v>1.931667</v>
      </c>
    </row>
    <row r="1307" spans="1:9" x14ac:dyDescent="0.25">
      <c r="A1307">
        <v>2000530504</v>
      </c>
      <c r="B1307" t="s">
        <v>735</v>
      </c>
      <c r="C1307" t="s">
        <v>139</v>
      </c>
      <c r="D1307" t="s">
        <v>140</v>
      </c>
      <c r="E1307" s="2">
        <v>2113</v>
      </c>
      <c r="F1307" t="s">
        <v>457</v>
      </c>
      <c r="G1307">
        <v>0</v>
      </c>
      <c r="H1307">
        <v>0</v>
      </c>
      <c r="I1307">
        <v>2.1352530000000001</v>
      </c>
    </row>
    <row r="1308" spans="1:9" x14ac:dyDescent="0.25">
      <c r="A1308">
        <v>2000530505</v>
      </c>
      <c r="B1308" t="s">
        <v>736</v>
      </c>
      <c r="C1308" t="s">
        <v>130</v>
      </c>
      <c r="D1308" t="s">
        <v>131</v>
      </c>
      <c r="E1308" s="2">
        <v>1948</v>
      </c>
      <c r="F1308" t="s">
        <v>457</v>
      </c>
      <c r="G1308">
        <v>0</v>
      </c>
      <c r="H1308">
        <v>0</v>
      </c>
      <c r="I1308">
        <v>1.755503</v>
      </c>
    </row>
    <row r="1309" spans="1:9" x14ac:dyDescent="0.25">
      <c r="A1309">
        <v>2000530505</v>
      </c>
      <c r="B1309" t="s">
        <v>736</v>
      </c>
      <c r="C1309" t="s">
        <v>139</v>
      </c>
      <c r="D1309" t="s">
        <v>140</v>
      </c>
      <c r="E1309" s="2">
        <v>2567</v>
      </c>
      <c r="F1309" t="s">
        <v>457</v>
      </c>
      <c r="G1309">
        <v>0</v>
      </c>
      <c r="H1309">
        <v>0</v>
      </c>
      <c r="I1309">
        <v>1.422353</v>
      </c>
    </row>
    <row r="1310" spans="1:9" x14ac:dyDescent="0.25">
      <c r="A1310">
        <v>2000530506</v>
      </c>
      <c r="B1310" t="s">
        <v>737</v>
      </c>
      <c r="C1310" t="s">
        <v>130</v>
      </c>
      <c r="D1310" t="s">
        <v>131</v>
      </c>
      <c r="E1310" s="2">
        <v>20</v>
      </c>
      <c r="F1310" t="s">
        <v>457</v>
      </c>
      <c r="G1310">
        <v>0</v>
      </c>
      <c r="H1310">
        <v>0</v>
      </c>
      <c r="I1310">
        <v>1.9279999999999999</v>
      </c>
    </row>
    <row r="1311" spans="1:9" x14ac:dyDescent="0.25">
      <c r="A1311">
        <v>2000530506</v>
      </c>
      <c r="B1311" t="s">
        <v>737</v>
      </c>
      <c r="C1311" t="s">
        <v>139</v>
      </c>
      <c r="D1311" t="s">
        <v>140</v>
      </c>
      <c r="E1311" s="2">
        <v>1389</v>
      </c>
      <c r="F1311" t="s">
        <v>457</v>
      </c>
      <c r="G1311">
        <v>0</v>
      </c>
      <c r="H1311">
        <v>0</v>
      </c>
      <c r="I1311">
        <v>1.442534</v>
      </c>
    </row>
    <row r="1312" spans="1:9" x14ac:dyDescent="0.25">
      <c r="A1312">
        <v>2000530507</v>
      </c>
      <c r="B1312" t="s">
        <v>738</v>
      </c>
      <c r="C1312" t="s">
        <v>137</v>
      </c>
      <c r="D1312" t="s">
        <v>138</v>
      </c>
      <c r="E1312" s="2">
        <v>3</v>
      </c>
      <c r="F1312" t="s">
        <v>457</v>
      </c>
      <c r="G1312">
        <v>0</v>
      </c>
      <c r="H1312">
        <v>0</v>
      </c>
      <c r="I1312">
        <v>1.463333</v>
      </c>
    </row>
    <row r="1313" spans="1:9" x14ac:dyDescent="0.25">
      <c r="A1313">
        <v>2000530507</v>
      </c>
      <c r="B1313" t="s">
        <v>738</v>
      </c>
      <c r="C1313" t="s">
        <v>139</v>
      </c>
      <c r="D1313" t="s">
        <v>140</v>
      </c>
      <c r="E1313" s="2">
        <v>5094</v>
      </c>
      <c r="F1313" t="s">
        <v>457</v>
      </c>
      <c r="G1313">
        <v>0</v>
      </c>
      <c r="H1313">
        <v>0</v>
      </c>
      <c r="I1313">
        <v>1.432212</v>
      </c>
    </row>
    <row r="1314" spans="1:9" x14ac:dyDescent="0.25">
      <c r="A1314">
        <v>2000530508</v>
      </c>
      <c r="B1314" t="s">
        <v>739</v>
      </c>
      <c r="C1314" t="s">
        <v>130</v>
      </c>
      <c r="D1314" t="s">
        <v>131</v>
      </c>
      <c r="E1314" s="2">
        <v>91</v>
      </c>
      <c r="F1314" t="s">
        <v>457</v>
      </c>
      <c r="G1314">
        <v>20</v>
      </c>
      <c r="H1314">
        <v>0</v>
      </c>
      <c r="I1314">
        <v>1.741538</v>
      </c>
    </row>
    <row r="1315" spans="1:9" x14ac:dyDescent="0.25">
      <c r="A1315">
        <v>2000530508</v>
      </c>
      <c r="B1315" t="s">
        <v>739</v>
      </c>
      <c r="C1315" t="s">
        <v>151</v>
      </c>
      <c r="D1315" t="s">
        <v>152</v>
      </c>
      <c r="E1315" s="2">
        <v>0</v>
      </c>
      <c r="F1315" t="s">
        <v>457</v>
      </c>
      <c r="G1315">
        <v>0</v>
      </c>
      <c r="H1315">
        <v>20</v>
      </c>
      <c r="I1315">
        <v>1.7415</v>
      </c>
    </row>
    <row r="1316" spans="1:9" x14ac:dyDescent="0.25">
      <c r="A1316">
        <v>2000530508</v>
      </c>
      <c r="B1316" t="s">
        <v>739</v>
      </c>
      <c r="C1316" t="s">
        <v>139</v>
      </c>
      <c r="D1316" t="s">
        <v>140</v>
      </c>
      <c r="E1316" s="2">
        <v>635</v>
      </c>
      <c r="F1316" t="s">
        <v>457</v>
      </c>
      <c r="G1316" s="2">
        <v>0</v>
      </c>
      <c r="H1316" s="2">
        <v>0</v>
      </c>
      <c r="I1316">
        <v>1.6229290000000001</v>
      </c>
    </row>
    <row r="1317" spans="1:9" x14ac:dyDescent="0.25">
      <c r="A1317">
        <v>2000530509</v>
      </c>
      <c r="B1317" t="s">
        <v>740</v>
      </c>
      <c r="C1317" t="s">
        <v>130</v>
      </c>
      <c r="D1317" t="s">
        <v>131</v>
      </c>
      <c r="E1317" s="2">
        <v>1</v>
      </c>
      <c r="F1317" t="s">
        <v>457</v>
      </c>
      <c r="G1317">
        <v>5</v>
      </c>
      <c r="H1317">
        <v>0</v>
      </c>
      <c r="I1317">
        <v>1.55</v>
      </c>
    </row>
    <row r="1318" spans="1:9" x14ac:dyDescent="0.25">
      <c r="A1318">
        <v>2000530509</v>
      </c>
      <c r="B1318" t="s">
        <v>740</v>
      </c>
      <c r="C1318" t="s">
        <v>139</v>
      </c>
      <c r="D1318" t="s">
        <v>140</v>
      </c>
      <c r="E1318" s="2">
        <v>702</v>
      </c>
      <c r="F1318" t="s">
        <v>457</v>
      </c>
      <c r="G1318">
        <v>0</v>
      </c>
      <c r="H1318">
        <v>0</v>
      </c>
      <c r="I1318">
        <v>1.432877</v>
      </c>
    </row>
    <row r="1319" spans="1:9" x14ac:dyDescent="0.25">
      <c r="A1319">
        <v>2000540015</v>
      </c>
      <c r="B1319" t="s">
        <v>741</v>
      </c>
      <c r="C1319" t="s">
        <v>130</v>
      </c>
      <c r="D1319" t="s">
        <v>131</v>
      </c>
      <c r="E1319" s="2">
        <v>6</v>
      </c>
      <c r="F1319" t="s">
        <v>742</v>
      </c>
      <c r="G1319">
        <v>117</v>
      </c>
      <c r="H1319" s="2">
        <v>21888</v>
      </c>
      <c r="I1319">
        <v>4.5933330000000003</v>
      </c>
    </row>
    <row r="1320" spans="1:9" x14ac:dyDescent="0.25">
      <c r="A1320">
        <v>2000540015</v>
      </c>
      <c r="B1320" t="s">
        <v>741</v>
      </c>
      <c r="C1320" t="s">
        <v>126</v>
      </c>
      <c r="D1320" t="s">
        <v>127</v>
      </c>
      <c r="E1320" s="2">
        <v>90</v>
      </c>
      <c r="F1320" t="s">
        <v>742</v>
      </c>
      <c r="G1320">
        <v>0</v>
      </c>
      <c r="H1320">
        <v>0</v>
      </c>
      <c r="I1320">
        <v>5.2290000000000001</v>
      </c>
    </row>
    <row r="1321" spans="1:9" x14ac:dyDescent="0.25">
      <c r="A1321">
        <v>2000540015</v>
      </c>
      <c r="B1321" t="s">
        <v>741</v>
      </c>
      <c r="C1321" t="s">
        <v>137</v>
      </c>
      <c r="D1321" t="s">
        <v>138</v>
      </c>
      <c r="E1321" s="2">
        <v>0</v>
      </c>
      <c r="F1321" t="s">
        <v>742</v>
      </c>
      <c r="G1321">
        <v>0</v>
      </c>
      <c r="H1321">
        <v>3</v>
      </c>
      <c r="I1321">
        <v>4.8972730000000002</v>
      </c>
    </row>
    <row r="1322" spans="1:9" x14ac:dyDescent="0.25">
      <c r="A1322">
        <v>2000540015</v>
      </c>
      <c r="B1322" t="s">
        <v>741</v>
      </c>
      <c r="C1322" t="s">
        <v>151</v>
      </c>
      <c r="D1322" t="s">
        <v>152</v>
      </c>
      <c r="E1322" s="2">
        <v>1556</v>
      </c>
      <c r="F1322" t="s">
        <v>742</v>
      </c>
      <c r="G1322">
        <v>0</v>
      </c>
      <c r="H1322">
        <v>0</v>
      </c>
      <c r="I1322">
        <v>4.5924100000000001</v>
      </c>
    </row>
    <row r="1323" spans="1:9" x14ac:dyDescent="0.25">
      <c r="A1323">
        <v>2000540015</v>
      </c>
      <c r="B1323" t="s">
        <v>741</v>
      </c>
      <c r="C1323" t="s">
        <v>139</v>
      </c>
      <c r="D1323" t="s">
        <v>140</v>
      </c>
      <c r="E1323" s="2">
        <v>1896</v>
      </c>
      <c r="F1323" t="s">
        <v>742</v>
      </c>
      <c r="G1323" s="2">
        <v>21888</v>
      </c>
      <c r="H1323">
        <v>0</v>
      </c>
      <c r="I1323">
        <v>4.5782590000000001</v>
      </c>
    </row>
    <row r="1324" spans="1:9" x14ac:dyDescent="0.25">
      <c r="A1324">
        <v>2000540016</v>
      </c>
      <c r="B1324" t="s">
        <v>743</v>
      </c>
      <c r="C1324" t="s">
        <v>130</v>
      </c>
      <c r="D1324" t="s">
        <v>131</v>
      </c>
      <c r="E1324" s="2">
        <v>0</v>
      </c>
      <c r="F1324" t="s">
        <v>742</v>
      </c>
      <c r="G1324">
        <v>522</v>
      </c>
      <c r="H1324" s="2">
        <v>42312</v>
      </c>
      <c r="I1324">
        <v>2.9449999999999998</v>
      </c>
    </row>
    <row r="1325" spans="1:9" x14ac:dyDescent="0.25">
      <c r="A1325">
        <v>2000540016</v>
      </c>
      <c r="B1325" t="s">
        <v>743</v>
      </c>
      <c r="C1325" t="s">
        <v>126</v>
      </c>
      <c r="D1325" t="s">
        <v>127</v>
      </c>
      <c r="E1325" s="2">
        <v>1</v>
      </c>
      <c r="F1325" t="s">
        <v>742</v>
      </c>
      <c r="G1325">
        <v>0</v>
      </c>
      <c r="H1325">
        <v>0</v>
      </c>
      <c r="I1325">
        <v>3.36</v>
      </c>
    </row>
    <row r="1326" spans="1:9" x14ac:dyDescent="0.25">
      <c r="A1326">
        <v>2000540016</v>
      </c>
      <c r="B1326" t="s">
        <v>743</v>
      </c>
      <c r="C1326" t="s">
        <v>137</v>
      </c>
      <c r="D1326" t="s">
        <v>138</v>
      </c>
      <c r="E1326" s="2">
        <v>13</v>
      </c>
      <c r="F1326" t="s">
        <v>742</v>
      </c>
      <c r="G1326">
        <v>0</v>
      </c>
      <c r="H1326">
        <v>0</v>
      </c>
      <c r="I1326">
        <v>3.0715379999999999</v>
      </c>
    </row>
    <row r="1327" spans="1:9" x14ac:dyDescent="0.25">
      <c r="A1327">
        <v>2000540016</v>
      </c>
      <c r="B1327" t="s">
        <v>743</v>
      </c>
      <c r="C1327" t="s">
        <v>151</v>
      </c>
      <c r="D1327" t="s">
        <v>152</v>
      </c>
      <c r="E1327" s="2">
        <v>2056</v>
      </c>
      <c r="F1327" t="s">
        <v>742</v>
      </c>
      <c r="G1327">
        <v>0</v>
      </c>
      <c r="H1327">
        <v>0</v>
      </c>
      <c r="I1327">
        <v>2.9451260000000001</v>
      </c>
    </row>
    <row r="1328" spans="1:9" x14ac:dyDescent="0.25">
      <c r="A1328">
        <v>2000540016</v>
      </c>
      <c r="B1328" t="s">
        <v>743</v>
      </c>
      <c r="C1328" t="s">
        <v>139</v>
      </c>
      <c r="D1328" t="s">
        <v>140</v>
      </c>
      <c r="E1328" s="2">
        <v>18008</v>
      </c>
      <c r="F1328" t="s">
        <v>742</v>
      </c>
      <c r="G1328" s="2">
        <v>42312</v>
      </c>
      <c r="H1328">
        <v>0</v>
      </c>
      <c r="I1328">
        <v>2.9417399999999998</v>
      </c>
    </row>
    <row r="1329" spans="1:9" x14ac:dyDescent="0.25">
      <c r="A1329">
        <v>2000540021</v>
      </c>
      <c r="B1329" t="s">
        <v>744</v>
      </c>
      <c r="C1329" t="s">
        <v>130</v>
      </c>
      <c r="D1329" t="s">
        <v>131</v>
      </c>
      <c r="E1329" s="2">
        <v>6</v>
      </c>
      <c r="F1329" t="s">
        <v>742</v>
      </c>
      <c r="G1329">
        <v>25</v>
      </c>
      <c r="H1329" s="2">
        <v>5616</v>
      </c>
      <c r="I1329">
        <v>3.023333</v>
      </c>
    </row>
    <row r="1330" spans="1:9" x14ac:dyDescent="0.25">
      <c r="A1330">
        <v>2000540021</v>
      </c>
      <c r="B1330" t="s">
        <v>744</v>
      </c>
      <c r="C1330" t="s">
        <v>137</v>
      </c>
      <c r="D1330" t="s">
        <v>138</v>
      </c>
      <c r="E1330" s="2">
        <v>3</v>
      </c>
      <c r="F1330" t="s">
        <v>742</v>
      </c>
      <c r="G1330">
        <v>0</v>
      </c>
      <c r="H1330">
        <v>0</v>
      </c>
      <c r="I1330">
        <v>3.02</v>
      </c>
    </row>
    <row r="1331" spans="1:9" x14ac:dyDescent="0.25">
      <c r="A1331">
        <v>2000540021</v>
      </c>
      <c r="B1331" t="s">
        <v>744</v>
      </c>
      <c r="C1331" t="s">
        <v>139</v>
      </c>
      <c r="D1331" t="s">
        <v>140</v>
      </c>
      <c r="E1331" s="2">
        <v>4841</v>
      </c>
      <c r="F1331" t="s">
        <v>742</v>
      </c>
      <c r="G1331" s="2">
        <v>5616</v>
      </c>
      <c r="H1331">
        <v>0</v>
      </c>
      <c r="I1331">
        <v>3.018583</v>
      </c>
    </row>
    <row r="1332" spans="1:9" x14ac:dyDescent="0.25">
      <c r="A1332">
        <v>2000540022</v>
      </c>
      <c r="B1332" t="s">
        <v>745</v>
      </c>
      <c r="C1332" t="s">
        <v>130</v>
      </c>
      <c r="D1332" t="s">
        <v>131</v>
      </c>
      <c r="E1332" s="2">
        <v>376</v>
      </c>
      <c r="F1332" t="s">
        <v>230</v>
      </c>
      <c r="G1332">
        <v>0</v>
      </c>
      <c r="H1332" s="2">
        <v>4032</v>
      </c>
      <c r="I1332">
        <v>2.6814360000000002</v>
      </c>
    </row>
    <row r="1333" spans="1:9" x14ac:dyDescent="0.25">
      <c r="A1333">
        <v>2000540022</v>
      </c>
      <c r="B1333" t="s">
        <v>745</v>
      </c>
      <c r="C1333" t="s">
        <v>137</v>
      </c>
      <c r="D1333" t="s">
        <v>138</v>
      </c>
      <c r="E1333" s="2">
        <v>3</v>
      </c>
      <c r="F1333" t="s">
        <v>230</v>
      </c>
      <c r="G1333">
        <v>0</v>
      </c>
      <c r="H1333">
        <v>0</v>
      </c>
      <c r="I1333">
        <v>2.68</v>
      </c>
    </row>
    <row r="1334" spans="1:9" x14ac:dyDescent="0.25">
      <c r="A1334">
        <v>2000540022</v>
      </c>
      <c r="B1334" t="s">
        <v>745</v>
      </c>
      <c r="C1334" t="s">
        <v>139</v>
      </c>
      <c r="D1334" t="s">
        <v>140</v>
      </c>
      <c r="E1334" s="2">
        <v>2631</v>
      </c>
      <c r="F1334" t="s">
        <v>230</v>
      </c>
      <c r="G1334" s="2">
        <v>4032</v>
      </c>
      <c r="H1334" s="2">
        <v>0</v>
      </c>
      <c r="I1334">
        <v>2.6813419999999999</v>
      </c>
    </row>
    <row r="1335" spans="1:9" x14ac:dyDescent="0.25">
      <c r="A1335">
        <v>2000540023</v>
      </c>
      <c r="B1335" t="s">
        <v>746</v>
      </c>
      <c r="C1335" t="s">
        <v>130</v>
      </c>
      <c r="D1335" t="s">
        <v>131</v>
      </c>
      <c r="E1335" s="2">
        <v>317</v>
      </c>
      <c r="F1335" t="s">
        <v>230</v>
      </c>
      <c r="G1335">
        <v>0</v>
      </c>
      <c r="H1335" s="2">
        <v>4032</v>
      </c>
      <c r="I1335">
        <v>2.6813560000000001</v>
      </c>
    </row>
    <row r="1336" spans="1:9" x14ac:dyDescent="0.25">
      <c r="A1336">
        <v>2000540023</v>
      </c>
      <c r="B1336" t="s">
        <v>746</v>
      </c>
      <c r="C1336" t="s">
        <v>139</v>
      </c>
      <c r="D1336" t="s">
        <v>140</v>
      </c>
      <c r="E1336" s="2">
        <v>2919</v>
      </c>
      <c r="F1336" t="s">
        <v>230</v>
      </c>
      <c r="G1336" s="2">
        <v>4032</v>
      </c>
      <c r="H1336">
        <v>0</v>
      </c>
      <c r="I1336">
        <v>2.6812499999999999</v>
      </c>
    </row>
    <row r="1337" spans="1:9" x14ac:dyDescent="0.25">
      <c r="A1337">
        <v>2000540024</v>
      </c>
      <c r="B1337" t="s">
        <v>747</v>
      </c>
      <c r="C1337" t="s">
        <v>130</v>
      </c>
      <c r="D1337" t="s">
        <v>131</v>
      </c>
      <c r="E1337" s="2">
        <v>331</v>
      </c>
      <c r="F1337" t="s">
        <v>230</v>
      </c>
      <c r="G1337">
        <v>0</v>
      </c>
      <c r="H1337" s="2">
        <v>4032</v>
      </c>
      <c r="I1337">
        <v>2.6820539999999999</v>
      </c>
    </row>
    <row r="1338" spans="1:9" x14ac:dyDescent="0.25">
      <c r="A1338">
        <v>2000540024</v>
      </c>
      <c r="B1338" t="s">
        <v>747</v>
      </c>
      <c r="C1338" t="s">
        <v>139</v>
      </c>
      <c r="D1338" t="s">
        <v>140</v>
      </c>
      <c r="E1338" s="2">
        <v>2664</v>
      </c>
      <c r="F1338" t="s">
        <v>230</v>
      </c>
      <c r="G1338" s="2">
        <v>4032</v>
      </c>
      <c r="H1338">
        <v>0</v>
      </c>
      <c r="I1338">
        <v>2.6820529999999998</v>
      </c>
    </row>
    <row r="1339" spans="1:9" x14ac:dyDescent="0.25">
      <c r="A1339">
        <v>2000540025</v>
      </c>
      <c r="B1339" t="s">
        <v>748</v>
      </c>
      <c r="C1339" t="s">
        <v>130</v>
      </c>
      <c r="D1339" t="s">
        <v>131</v>
      </c>
      <c r="E1339" s="2">
        <v>339</v>
      </c>
      <c r="F1339" t="s">
        <v>230</v>
      </c>
      <c r="G1339">
        <v>0</v>
      </c>
      <c r="H1339" s="2">
        <v>4032</v>
      </c>
      <c r="I1339">
        <v>2.6860179999999998</v>
      </c>
    </row>
    <row r="1340" spans="1:9" x14ac:dyDescent="0.25">
      <c r="A1340">
        <v>2000540025</v>
      </c>
      <c r="B1340" t="s">
        <v>748</v>
      </c>
      <c r="C1340" t="s">
        <v>137</v>
      </c>
      <c r="D1340" t="s">
        <v>138</v>
      </c>
      <c r="E1340" s="2">
        <v>3</v>
      </c>
      <c r="F1340" t="s">
        <v>230</v>
      </c>
      <c r="G1340">
        <v>0</v>
      </c>
      <c r="H1340">
        <v>0</v>
      </c>
      <c r="I1340">
        <v>2.69</v>
      </c>
    </row>
    <row r="1341" spans="1:9" x14ac:dyDescent="0.25">
      <c r="A1341">
        <v>2000540025</v>
      </c>
      <c r="B1341" t="s">
        <v>748</v>
      </c>
      <c r="C1341" t="s">
        <v>139</v>
      </c>
      <c r="D1341" t="s">
        <v>140</v>
      </c>
      <c r="E1341" s="2">
        <v>2667</v>
      </c>
      <c r="F1341" t="s">
        <v>230</v>
      </c>
      <c r="G1341" s="2">
        <v>4032</v>
      </c>
      <c r="H1341">
        <v>0</v>
      </c>
      <c r="I1341">
        <v>2.6861079999999999</v>
      </c>
    </row>
    <row r="1342" spans="1:9" x14ac:dyDescent="0.25">
      <c r="A1342">
        <v>2000550006</v>
      </c>
      <c r="B1342" t="s">
        <v>749</v>
      </c>
      <c r="C1342" t="s">
        <v>126</v>
      </c>
      <c r="D1342" t="s">
        <v>127</v>
      </c>
      <c r="E1342" s="2">
        <v>6</v>
      </c>
      <c r="F1342" t="s">
        <v>36</v>
      </c>
      <c r="G1342">
        <v>0</v>
      </c>
      <c r="H1342">
        <v>0</v>
      </c>
      <c r="I1342">
        <v>2.1916669999999998</v>
      </c>
    </row>
    <row r="1343" spans="1:9" x14ac:dyDescent="0.25">
      <c r="A1343">
        <v>2000550007</v>
      </c>
      <c r="B1343" t="s">
        <v>750</v>
      </c>
      <c r="C1343" t="s">
        <v>126</v>
      </c>
      <c r="D1343" t="s">
        <v>127</v>
      </c>
      <c r="E1343" s="2">
        <v>17</v>
      </c>
      <c r="F1343" t="s">
        <v>36</v>
      </c>
      <c r="G1343" s="2">
        <v>0</v>
      </c>
      <c r="H1343">
        <v>0</v>
      </c>
      <c r="I1343">
        <v>2.1594120000000001</v>
      </c>
    </row>
    <row r="1344" spans="1:9" x14ac:dyDescent="0.25">
      <c r="A1344">
        <v>2000550010</v>
      </c>
      <c r="B1344" t="s">
        <v>751</v>
      </c>
      <c r="C1344" t="s">
        <v>126</v>
      </c>
      <c r="D1344" t="s">
        <v>127</v>
      </c>
      <c r="E1344" s="2">
        <v>149</v>
      </c>
      <c r="F1344" t="s">
        <v>36</v>
      </c>
      <c r="G1344">
        <v>0</v>
      </c>
      <c r="H1344">
        <v>0</v>
      </c>
      <c r="I1344">
        <v>2.7941609999999999</v>
      </c>
    </row>
    <row r="1345" spans="1:9" x14ac:dyDescent="0.25">
      <c r="A1345">
        <v>2000550011</v>
      </c>
      <c r="B1345" t="s">
        <v>752</v>
      </c>
      <c r="C1345" t="s">
        <v>126</v>
      </c>
      <c r="D1345" t="s">
        <v>127</v>
      </c>
      <c r="E1345" s="2">
        <v>3</v>
      </c>
      <c r="F1345" t="s">
        <v>36</v>
      </c>
      <c r="G1345">
        <v>0</v>
      </c>
      <c r="H1345">
        <v>0</v>
      </c>
      <c r="I1345">
        <v>2.806667</v>
      </c>
    </row>
    <row r="1346" spans="1:9" x14ac:dyDescent="0.25">
      <c r="A1346">
        <v>2000550014</v>
      </c>
      <c r="B1346" t="s">
        <v>753</v>
      </c>
      <c r="C1346" t="s">
        <v>126</v>
      </c>
      <c r="D1346" t="s">
        <v>127</v>
      </c>
      <c r="E1346" s="2">
        <v>2</v>
      </c>
      <c r="F1346" t="s">
        <v>36</v>
      </c>
      <c r="G1346">
        <v>0</v>
      </c>
      <c r="H1346">
        <v>0</v>
      </c>
      <c r="I1346">
        <v>1.7050000000000001</v>
      </c>
    </row>
    <row r="1347" spans="1:9" x14ac:dyDescent="0.25">
      <c r="A1347">
        <v>2000550015</v>
      </c>
      <c r="B1347" t="s">
        <v>754</v>
      </c>
      <c r="C1347" t="s">
        <v>126</v>
      </c>
      <c r="D1347" t="s">
        <v>127</v>
      </c>
      <c r="E1347" s="2">
        <v>150</v>
      </c>
      <c r="F1347" t="s">
        <v>36</v>
      </c>
      <c r="G1347">
        <v>0</v>
      </c>
      <c r="H1347">
        <v>0</v>
      </c>
      <c r="I1347">
        <v>1.7387330000000001</v>
      </c>
    </row>
    <row r="1348" spans="1:9" x14ac:dyDescent="0.25">
      <c r="A1348">
        <v>2000550025</v>
      </c>
      <c r="B1348" t="s">
        <v>755</v>
      </c>
      <c r="C1348" t="s">
        <v>126</v>
      </c>
      <c r="D1348" t="s">
        <v>127</v>
      </c>
      <c r="E1348" s="2">
        <v>3</v>
      </c>
      <c r="F1348" t="s">
        <v>36</v>
      </c>
      <c r="G1348">
        <v>0</v>
      </c>
      <c r="H1348">
        <v>0</v>
      </c>
      <c r="I1348">
        <v>6.26</v>
      </c>
    </row>
    <row r="1349" spans="1:9" x14ac:dyDescent="0.25">
      <c r="A1349">
        <v>2000550026</v>
      </c>
      <c r="B1349" t="s">
        <v>756</v>
      </c>
      <c r="C1349" t="s">
        <v>126</v>
      </c>
      <c r="D1349" t="s">
        <v>127</v>
      </c>
      <c r="E1349" s="2">
        <v>48</v>
      </c>
      <c r="F1349" t="s">
        <v>36</v>
      </c>
      <c r="G1349">
        <v>0</v>
      </c>
      <c r="H1349">
        <v>0</v>
      </c>
      <c r="I1349">
        <v>6.516667</v>
      </c>
    </row>
    <row r="1350" spans="1:9" x14ac:dyDescent="0.25">
      <c r="A1350">
        <v>2000550042</v>
      </c>
      <c r="B1350" t="s">
        <v>757</v>
      </c>
      <c r="C1350" t="s">
        <v>126</v>
      </c>
      <c r="D1350" t="s">
        <v>127</v>
      </c>
      <c r="E1350" s="2">
        <v>16</v>
      </c>
      <c r="F1350" t="s">
        <v>36</v>
      </c>
      <c r="G1350" s="2">
        <v>0</v>
      </c>
      <c r="H1350">
        <v>0</v>
      </c>
      <c r="I1350">
        <v>2.9981249999999999</v>
      </c>
    </row>
    <row r="1351" spans="1:9" x14ac:dyDescent="0.25">
      <c r="A1351">
        <v>2000550056</v>
      </c>
      <c r="B1351" t="s">
        <v>758</v>
      </c>
      <c r="C1351" t="s">
        <v>126</v>
      </c>
      <c r="D1351" t="s">
        <v>127</v>
      </c>
      <c r="E1351" s="2">
        <v>1</v>
      </c>
      <c r="F1351" t="s">
        <v>36</v>
      </c>
      <c r="G1351">
        <v>0</v>
      </c>
      <c r="H1351">
        <v>0</v>
      </c>
      <c r="I1351">
        <v>20.58</v>
      </c>
    </row>
    <row r="1352" spans="1:9" x14ac:dyDescent="0.25">
      <c r="A1352">
        <v>2000550059</v>
      </c>
      <c r="B1352" t="s">
        <v>759</v>
      </c>
      <c r="C1352" t="s">
        <v>126</v>
      </c>
      <c r="D1352" t="s">
        <v>127</v>
      </c>
      <c r="E1352" s="2">
        <v>25</v>
      </c>
      <c r="F1352" t="s">
        <v>36</v>
      </c>
      <c r="G1352">
        <v>0</v>
      </c>
      <c r="H1352">
        <v>0</v>
      </c>
      <c r="I1352">
        <v>157.76159999999999</v>
      </c>
    </row>
    <row r="1353" spans="1:9" x14ac:dyDescent="0.25">
      <c r="A1353">
        <v>2000550060</v>
      </c>
      <c r="B1353" t="s">
        <v>760</v>
      </c>
      <c r="C1353" t="s">
        <v>130</v>
      </c>
      <c r="D1353" t="s">
        <v>131</v>
      </c>
      <c r="E1353" s="2">
        <v>1804</v>
      </c>
      <c r="F1353" t="s">
        <v>36</v>
      </c>
      <c r="G1353">
        <v>0</v>
      </c>
      <c r="H1353">
        <v>0</v>
      </c>
      <c r="I1353">
        <v>1.8299110000000001</v>
      </c>
    </row>
    <row r="1354" spans="1:9" x14ac:dyDescent="0.25">
      <c r="A1354">
        <v>2000550060</v>
      </c>
      <c r="B1354" t="s">
        <v>760</v>
      </c>
      <c r="C1354" t="s">
        <v>126</v>
      </c>
      <c r="D1354" t="s">
        <v>127</v>
      </c>
      <c r="E1354" s="2">
        <v>4</v>
      </c>
      <c r="F1354" t="s">
        <v>36</v>
      </c>
      <c r="G1354">
        <v>0</v>
      </c>
      <c r="H1354">
        <v>0</v>
      </c>
      <c r="I1354">
        <v>1.8325</v>
      </c>
    </row>
    <row r="1355" spans="1:9" x14ac:dyDescent="0.25">
      <c r="A1355">
        <v>2000550061</v>
      </c>
      <c r="B1355" t="s">
        <v>761</v>
      </c>
      <c r="C1355" t="s">
        <v>130</v>
      </c>
      <c r="D1355" t="s">
        <v>131</v>
      </c>
      <c r="E1355" s="2">
        <v>364</v>
      </c>
      <c r="F1355" t="s">
        <v>36</v>
      </c>
      <c r="G1355">
        <v>6</v>
      </c>
      <c r="H1355">
        <v>0</v>
      </c>
      <c r="I1355">
        <v>1.8022800000000001</v>
      </c>
    </row>
    <row r="1356" spans="1:9" x14ac:dyDescent="0.25">
      <c r="A1356">
        <v>2000550061</v>
      </c>
      <c r="B1356" t="s">
        <v>761</v>
      </c>
      <c r="C1356" t="s">
        <v>126</v>
      </c>
      <c r="D1356" t="s">
        <v>127</v>
      </c>
      <c r="E1356" s="2">
        <v>17</v>
      </c>
      <c r="F1356" t="s">
        <v>36</v>
      </c>
      <c r="G1356">
        <v>0</v>
      </c>
      <c r="H1356">
        <v>0</v>
      </c>
      <c r="I1356">
        <v>1.8317650000000001</v>
      </c>
    </row>
    <row r="1357" spans="1:9" x14ac:dyDescent="0.25">
      <c r="A1357">
        <v>2000550061</v>
      </c>
      <c r="B1357" t="s">
        <v>761</v>
      </c>
      <c r="C1357" t="s">
        <v>137</v>
      </c>
      <c r="D1357" t="s">
        <v>138</v>
      </c>
      <c r="E1357" s="2">
        <v>0</v>
      </c>
      <c r="F1357" t="s">
        <v>36</v>
      </c>
      <c r="G1357">
        <v>0</v>
      </c>
      <c r="H1357">
        <v>6</v>
      </c>
      <c r="I1357">
        <v>1.807742</v>
      </c>
    </row>
    <row r="1358" spans="1:9" x14ac:dyDescent="0.25">
      <c r="A1358">
        <v>2000550062</v>
      </c>
      <c r="B1358" t="s">
        <v>762</v>
      </c>
      <c r="C1358" t="s">
        <v>130</v>
      </c>
      <c r="D1358" t="s">
        <v>131</v>
      </c>
      <c r="E1358" s="2">
        <v>426</v>
      </c>
      <c r="F1358" t="s">
        <v>36</v>
      </c>
      <c r="G1358">
        <v>24</v>
      </c>
      <c r="H1358">
        <v>1</v>
      </c>
      <c r="I1358">
        <v>3.8355160000000001</v>
      </c>
    </row>
    <row r="1359" spans="1:9" x14ac:dyDescent="0.25">
      <c r="A1359">
        <v>2000550062</v>
      </c>
      <c r="B1359" t="s">
        <v>762</v>
      </c>
      <c r="C1359" t="s">
        <v>126</v>
      </c>
      <c r="D1359" t="s">
        <v>127</v>
      </c>
      <c r="E1359" s="2">
        <v>1</v>
      </c>
      <c r="F1359" t="s">
        <v>36</v>
      </c>
      <c r="G1359" s="2">
        <v>0</v>
      </c>
      <c r="H1359">
        <v>0</v>
      </c>
      <c r="I1359">
        <v>3.84</v>
      </c>
    </row>
    <row r="1360" spans="1:9" x14ac:dyDescent="0.25">
      <c r="A1360">
        <v>2000550063</v>
      </c>
      <c r="B1360" t="s">
        <v>763</v>
      </c>
      <c r="C1360" t="s">
        <v>130</v>
      </c>
      <c r="D1360" t="s">
        <v>131</v>
      </c>
      <c r="E1360" s="2">
        <v>28</v>
      </c>
      <c r="F1360" t="s">
        <v>36</v>
      </c>
      <c r="G1360">
        <v>114</v>
      </c>
      <c r="H1360">
        <v>0</v>
      </c>
      <c r="I1360">
        <v>3.89</v>
      </c>
    </row>
    <row r="1361" spans="1:9" x14ac:dyDescent="0.25">
      <c r="A1361">
        <v>2000550063</v>
      </c>
      <c r="B1361" t="s">
        <v>763</v>
      </c>
      <c r="C1361" t="s">
        <v>126</v>
      </c>
      <c r="D1361" t="s">
        <v>127</v>
      </c>
      <c r="E1361" s="2">
        <v>3</v>
      </c>
      <c r="F1361" t="s">
        <v>36</v>
      </c>
      <c r="G1361">
        <v>0</v>
      </c>
      <c r="H1361">
        <v>0</v>
      </c>
      <c r="I1361">
        <v>3.89</v>
      </c>
    </row>
    <row r="1362" spans="1:9" x14ac:dyDescent="0.25">
      <c r="A1362">
        <v>2000550064</v>
      </c>
      <c r="B1362" t="s">
        <v>764</v>
      </c>
      <c r="C1362" t="s">
        <v>130</v>
      </c>
      <c r="D1362" t="s">
        <v>131</v>
      </c>
      <c r="E1362" s="2">
        <v>3159</v>
      </c>
      <c r="F1362" t="s">
        <v>36</v>
      </c>
      <c r="G1362">
        <v>0</v>
      </c>
      <c r="H1362">
        <v>0</v>
      </c>
      <c r="I1362">
        <v>10.665689</v>
      </c>
    </row>
    <row r="1363" spans="1:9" x14ac:dyDescent="0.25">
      <c r="A1363">
        <v>2000550064</v>
      </c>
      <c r="B1363" t="s">
        <v>764</v>
      </c>
      <c r="C1363" t="s">
        <v>126</v>
      </c>
      <c r="D1363" t="s">
        <v>127</v>
      </c>
      <c r="E1363" s="2">
        <v>2</v>
      </c>
      <c r="F1363" t="s">
        <v>36</v>
      </c>
      <c r="G1363" s="2">
        <v>0</v>
      </c>
      <c r="H1363">
        <v>0</v>
      </c>
      <c r="I1363">
        <v>11.76</v>
      </c>
    </row>
    <row r="1364" spans="1:9" x14ac:dyDescent="0.25">
      <c r="A1364">
        <v>2000550065</v>
      </c>
      <c r="B1364" t="s">
        <v>765</v>
      </c>
      <c r="C1364" t="s">
        <v>130</v>
      </c>
      <c r="D1364" t="s">
        <v>131</v>
      </c>
      <c r="E1364" s="2">
        <v>0</v>
      </c>
      <c r="F1364" t="s">
        <v>36</v>
      </c>
      <c r="G1364">
        <v>8</v>
      </c>
      <c r="H1364">
        <v>0</v>
      </c>
      <c r="I1364">
        <v>0</v>
      </c>
    </row>
    <row r="1365" spans="1:9" x14ac:dyDescent="0.25">
      <c r="A1365">
        <v>2000550065</v>
      </c>
      <c r="B1365" t="s">
        <v>765</v>
      </c>
      <c r="C1365" t="s">
        <v>137</v>
      </c>
      <c r="D1365" t="s">
        <v>138</v>
      </c>
      <c r="E1365" s="2">
        <v>0</v>
      </c>
      <c r="F1365" t="s">
        <v>36</v>
      </c>
      <c r="G1365">
        <v>0</v>
      </c>
      <c r="H1365" s="2">
        <v>2</v>
      </c>
      <c r="I1365">
        <v>0</v>
      </c>
    </row>
    <row r="1366" spans="1:9" x14ac:dyDescent="0.25">
      <c r="A1366">
        <v>2000550066</v>
      </c>
      <c r="B1366" t="s">
        <v>766</v>
      </c>
      <c r="C1366" t="s">
        <v>130</v>
      </c>
      <c r="D1366" t="s">
        <v>131</v>
      </c>
      <c r="E1366" s="2">
        <v>30</v>
      </c>
      <c r="F1366" t="s">
        <v>36</v>
      </c>
      <c r="G1366">
        <v>2</v>
      </c>
      <c r="H1366">
        <v>0</v>
      </c>
      <c r="I1366">
        <v>2.7389999999999999</v>
      </c>
    </row>
    <row r="1367" spans="1:9" x14ac:dyDescent="0.25">
      <c r="A1367">
        <v>2000550066</v>
      </c>
      <c r="B1367" t="s">
        <v>766</v>
      </c>
      <c r="C1367" t="s">
        <v>137</v>
      </c>
      <c r="D1367" t="s">
        <v>138</v>
      </c>
      <c r="E1367" s="2">
        <v>0</v>
      </c>
      <c r="F1367" t="s">
        <v>36</v>
      </c>
      <c r="G1367">
        <v>0</v>
      </c>
      <c r="H1367">
        <v>2</v>
      </c>
      <c r="I1367">
        <v>0</v>
      </c>
    </row>
    <row r="1368" spans="1:9" x14ac:dyDescent="0.25">
      <c r="A1368">
        <v>2000550067</v>
      </c>
      <c r="B1368" t="s">
        <v>767</v>
      </c>
      <c r="C1368" t="s">
        <v>130</v>
      </c>
      <c r="D1368" t="s">
        <v>131</v>
      </c>
      <c r="E1368" s="2">
        <v>0</v>
      </c>
      <c r="F1368" t="s">
        <v>36</v>
      </c>
      <c r="G1368">
        <v>8</v>
      </c>
      <c r="H1368">
        <v>0</v>
      </c>
      <c r="I1368">
        <v>0</v>
      </c>
    </row>
    <row r="1369" spans="1:9" x14ac:dyDescent="0.25">
      <c r="A1369">
        <v>2000550067</v>
      </c>
      <c r="B1369" t="s">
        <v>767</v>
      </c>
      <c r="C1369" t="s">
        <v>137</v>
      </c>
      <c r="D1369" t="s">
        <v>138</v>
      </c>
      <c r="E1369" s="2">
        <v>0</v>
      </c>
      <c r="F1369" t="s">
        <v>36</v>
      </c>
      <c r="G1369" s="2">
        <v>0</v>
      </c>
      <c r="H1369">
        <v>2</v>
      </c>
      <c r="I1369">
        <v>0</v>
      </c>
    </row>
    <row r="1370" spans="1:9" x14ac:dyDescent="0.25">
      <c r="A1370">
        <v>2000550068</v>
      </c>
      <c r="B1370" t="s">
        <v>768</v>
      </c>
      <c r="C1370" t="s">
        <v>130</v>
      </c>
      <c r="D1370" t="s">
        <v>131</v>
      </c>
      <c r="E1370" s="2">
        <v>0</v>
      </c>
      <c r="F1370" t="s">
        <v>36</v>
      </c>
      <c r="G1370">
        <v>8</v>
      </c>
      <c r="H1370">
        <v>0</v>
      </c>
      <c r="I1370">
        <v>0</v>
      </c>
    </row>
    <row r="1371" spans="1:9" x14ac:dyDescent="0.25">
      <c r="A1371">
        <v>2000550068</v>
      </c>
      <c r="B1371" t="s">
        <v>768</v>
      </c>
      <c r="C1371" t="s">
        <v>137</v>
      </c>
      <c r="D1371" t="s">
        <v>138</v>
      </c>
      <c r="E1371" s="2">
        <v>0</v>
      </c>
      <c r="F1371" t="s">
        <v>36</v>
      </c>
      <c r="G1371">
        <v>0</v>
      </c>
      <c r="H1371">
        <v>2</v>
      </c>
      <c r="I1371">
        <v>0</v>
      </c>
    </row>
    <row r="1372" spans="1:9" x14ac:dyDescent="0.25">
      <c r="A1372">
        <v>2000550069</v>
      </c>
      <c r="B1372" t="s">
        <v>769</v>
      </c>
      <c r="C1372" t="s">
        <v>130</v>
      </c>
      <c r="D1372" t="s">
        <v>131</v>
      </c>
      <c r="E1372" s="2">
        <v>2</v>
      </c>
      <c r="F1372" t="s">
        <v>36</v>
      </c>
      <c r="G1372">
        <v>8</v>
      </c>
      <c r="H1372">
        <v>0</v>
      </c>
      <c r="I1372">
        <v>3.05</v>
      </c>
    </row>
    <row r="1373" spans="1:9" x14ac:dyDescent="0.25">
      <c r="A1373">
        <v>2000550069</v>
      </c>
      <c r="B1373" t="s">
        <v>769</v>
      </c>
      <c r="C1373" t="s">
        <v>137</v>
      </c>
      <c r="D1373" t="s">
        <v>138</v>
      </c>
      <c r="E1373" s="2">
        <v>0</v>
      </c>
      <c r="F1373" t="s">
        <v>36</v>
      </c>
      <c r="G1373">
        <v>0</v>
      </c>
      <c r="H1373">
        <v>2</v>
      </c>
      <c r="I1373">
        <v>0</v>
      </c>
    </row>
    <row r="1374" spans="1:9" x14ac:dyDescent="0.25">
      <c r="A1374">
        <v>2000550070</v>
      </c>
      <c r="B1374" t="s">
        <v>770</v>
      </c>
      <c r="C1374" t="s">
        <v>130</v>
      </c>
      <c r="D1374" t="s">
        <v>131</v>
      </c>
      <c r="E1374" s="2">
        <v>0</v>
      </c>
      <c r="F1374" t="s">
        <v>36</v>
      </c>
      <c r="G1374">
        <v>2</v>
      </c>
      <c r="H1374">
        <v>0</v>
      </c>
      <c r="I1374">
        <v>0</v>
      </c>
    </row>
    <row r="1375" spans="1:9" x14ac:dyDescent="0.25">
      <c r="A1375">
        <v>2000550070</v>
      </c>
      <c r="B1375" t="s">
        <v>770</v>
      </c>
      <c r="C1375" t="s">
        <v>137</v>
      </c>
      <c r="D1375" t="s">
        <v>138</v>
      </c>
      <c r="E1375" s="2">
        <v>0</v>
      </c>
      <c r="F1375" t="s">
        <v>36</v>
      </c>
      <c r="G1375">
        <v>0</v>
      </c>
      <c r="H1375">
        <v>2</v>
      </c>
      <c r="I1375">
        <v>0</v>
      </c>
    </row>
    <row r="1376" spans="1:9" x14ac:dyDescent="0.25">
      <c r="A1376">
        <v>2000550071</v>
      </c>
      <c r="B1376" t="s">
        <v>771</v>
      </c>
      <c r="C1376" t="s">
        <v>130</v>
      </c>
      <c r="D1376" t="s">
        <v>131</v>
      </c>
      <c r="E1376" s="2">
        <v>40</v>
      </c>
      <c r="F1376" t="s">
        <v>36</v>
      </c>
      <c r="G1376">
        <v>2</v>
      </c>
      <c r="H1376">
        <v>0</v>
      </c>
      <c r="I1376">
        <v>1.9802500000000001</v>
      </c>
    </row>
    <row r="1377" spans="1:9" x14ac:dyDescent="0.25">
      <c r="A1377">
        <v>2000550071</v>
      </c>
      <c r="B1377" t="s">
        <v>771</v>
      </c>
      <c r="C1377" t="s">
        <v>137</v>
      </c>
      <c r="D1377" t="s">
        <v>138</v>
      </c>
      <c r="E1377" s="2">
        <v>0</v>
      </c>
      <c r="F1377" t="s">
        <v>36</v>
      </c>
      <c r="G1377">
        <v>0</v>
      </c>
      <c r="H1377">
        <v>2</v>
      </c>
      <c r="I1377">
        <v>0</v>
      </c>
    </row>
    <row r="1378" spans="1:9" x14ac:dyDescent="0.25">
      <c r="A1378">
        <v>2000550072</v>
      </c>
      <c r="B1378" t="s">
        <v>772</v>
      </c>
      <c r="C1378" t="s">
        <v>130</v>
      </c>
      <c r="D1378" t="s">
        <v>131</v>
      </c>
      <c r="E1378" s="2">
        <v>7</v>
      </c>
      <c r="F1378" t="s">
        <v>36</v>
      </c>
      <c r="G1378">
        <v>8</v>
      </c>
      <c r="H1378">
        <v>0</v>
      </c>
      <c r="I1378">
        <v>3.0185710000000001</v>
      </c>
    </row>
    <row r="1379" spans="1:9" x14ac:dyDescent="0.25">
      <c r="A1379">
        <v>2000550072</v>
      </c>
      <c r="B1379" t="s">
        <v>772</v>
      </c>
      <c r="C1379" t="s">
        <v>137</v>
      </c>
      <c r="D1379" t="s">
        <v>138</v>
      </c>
      <c r="E1379" s="2">
        <v>0</v>
      </c>
      <c r="F1379" t="s">
        <v>36</v>
      </c>
      <c r="G1379" s="2">
        <v>0</v>
      </c>
      <c r="H1379" s="2">
        <v>2</v>
      </c>
      <c r="I1379">
        <v>0</v>
      </c>
    </row>
    <row r="1380" spans="1:9" x14ac:dyDescent="0.25">
      <c r="A1380">
        <v>2000550073</v>
      </c>
      <c r="B1380" t="s">
        <v>773</v>
      </c>
      <c r="C1380" t="s">
        <v>130</v>
      </c>
      <c r="D1380" t="s">
        <v>131</v>
      </c>
      <c r="E1380" s="2">
        <v>0</v>
      </c>
      <c r="F1380" t="s">
        <v>36</v>
      </c>
      <c r="G1380">
        <v>2</v>
      </c>
      <c r="H1380">
        <v>0</v>
      </c>
      <c r="I1380">
        <v>0</v>
      </c>
    </row>
    <row r="1381" spans="1:9" x14ac:dyDescent="0.25">
      <c r="A1381">
        <v>2000550073</v>
      </c>
      <c r="B1381" t="s">
        <v>773</v>
      </c>
      <c r="C1381" t="s">
        <v>137</v>
      </c>
      <c r="D1381" t="s">
        <v>138</v>
      </c>
      <c r="E1381" s="2">
        <v>0</v>
      </c>
      <c r="F1381" t="s">
        <v>36</v>
      </c>
      <c r="G1381">
        <v>0</v>
      </c>
      <c r="H1381">
        <v>2</v>
      </c>
      <c r="I1381">
        <v>0</v>
      </c>
    </row>
    <row r="1382" spans="1:9" x14ac:dyDescent="0.25">
      <c r="A1382">
        <v>2000550074</v>
      </c>
      <c r="B1382" t="s">
        <v>774</v>
      </c>
      <c r="C1382" t="s">
        <v>130</v>
      </c>
      <c r="D1382" t="s">
        <v>131</v>
      </c>
      <c r="E1382" s="2">
        <v>0</v>
      </c>
      <c r="F1382" t="s">
        <v>36</v>
      </c>
      <c r="G1382">
        <v>2</v>
      </c>
      <c r="H1382">
        <v>0</v>
      </c>
      <c r="I1382">
        <v>0</v>
      </c>
    </row>
    <row r="1383" spans="1:9" x14ac:dyDescent="0.25">
      <c r="A1383">
        <v>2000550074</v>
      </c>
      <c r="B1383" t="s">
        <v>774</v>
      </c>
      <c r="C1383" t="s">
        <v>137</v>
      </c>
      <c r="D1383" t="s">
        <v>138</v>
      </c>
      <c r="E1383" s="2">
        <v>0</v>
      </c>
      <c r="F1383" t="s">
        <v>36</v>
      </c>
      <c r="G1383" s="2">
        <v>0</v>
      </c>
      <c r="H1383">
        <v>2</v>
      </c>
      <c r="I1383">
        <v>0</v>
      </c>
    </row>
    <row r="1384" spans="1:9" x14ac:dyDescent="0.25">
      <c r="A1384">
        <v>2000550075</v>
      </c>
      <c r="B1384" t="s">
        <v>775</v>
      </c>
      <c r="C1384" t="s">
        <v>130</v>
      </c>
      <c r="D1384" t="s">
        <v>131</v>
      </c>
      <c r="E1384" s="2">
        <v>0</v>
      </c>
      <c r="F1384" t="s">
        <v>36</v>
      </c>
      <c r="G1384">
        <v>2</v>
      </c>
      <c r="H1384">
        <v>0</v>
      </c>
      <c r="I1384">
        <v>0</v>
      </c>
    </row>
    <row r="1385" spans="1:9" x14ac:dyDescent="0.25">
      <c r="A1385">
        <v>2000550075</v>
      </c>
      <c r="B1385" t="s">
        <v>775</v>
      </c>
      <c r="C1385" t="s">
        <v>137</v>
      </c>
      <c r="D1385" t="s">
        <v>138</v>
      </c>
      <c r="E1385" s="2">
        <v>0</v>
      </c>
      <c r="F1385" t="s">
        <v>36</v>
      </c>
      <c r="G1385">
        <v>0</v>
      </c>
      <c r="H1385" s="2">
        <v>2</v>
      </c>
      <c r="I1385">
        <v>0</v>
      </c>
    </row>
    <row r="1386" spans="1:9" x14ac:dyDescent="0.25">
      <c r="A1386">
        <v>2000550076</v>
      </c>
      <c r="B1386" t="s">
        <v>776</v>
      </c>
      <c r="C1386" t="s">
        <v>130</v>
      </c>
      <c r="D1386" t="s">
        <v>131</v>
      </c>
      <c r="E1386" s="2">
        <v>1</v>
      </c>
      <c r="F1386" t="s">
        <v>36</v>
      </c>
      <c r="G1386">
        <v>2</v>
      </c>
      <c r="H1386">
        <v>0</v>
      </c>
      <c r="I1386">
        <v>4.3499999999999996</v>
      </c>
    </row>
    <row r="1387" spans="1:9" x14ac:dyDescent="0.25">
      <c r="A1387">
        <v>2000550076</v>
      </c>
      <c r="B1387" t="s">
        <v>776</v>
      </c>
      <c r="C1387" t="s">
        <v>137</v>
      </c>
      <c r="D1387" t="s">
        <v>138</v>
      </c>
      <c r="E1387" s="2">
        <v>0</v>
      </c>
      <c r="F1387" t="s">
        <v>36</v>
      </c>
      <c r="G1387">
        <v>0</v>
      </c>
      <c r="H1387">
        <v>2</v>
      </c>
      <c r="I1387">
        <v>0</v>
      </c>
    </row>
    <row r="1388" spans="1:9" x14ac:dyDescent="0.25">
      <c r="A1388">
        <v>2000550077</v>
      </c>
      <c r="B1388" t="s">
        <v>777</v>
      </c>
      <c r="C1388" t="s">
        <v>130</v>
      </c>
      <c r="D1388" t="s">
        <v>131</v>
      </c>
      <c r="E1388" s="2">
        <v>1</v>
      </c>
      <c r="F1388" t="s">
        <v>36</v>
      </c>
      <c r="G1388">
        <v>2</v>
      </c>
      <c r="H1388">
        <v>0</v>
      </c>
      <c r="I1388">
        <v>4.32</v>
      </c>
    </row>
    <row r="1389" spans="1:9" x14ac:dyDescent="0.25">
      <c r="A1389">
        <v>2000550077</v>
      </c>
      <c r="B1389" t="s">
        <v>777</v>
      </c>
      <c r="C1389" t="s">
        <v>137</v>
      </c>
      <c r="D1389" t="s">
        <v>138</v>
      </c>
      <c r="E1389" s="2">
        <v>0</v>
      </c>
      <c r="F1389" t="s">
        <v>36</v>
      </c>
      <c r="G1389" s="2">
        <v>0</v>
      </c>
      <c r="H1389">
        <v>2</v>
      </c>
      <c r="I1389">
        <v>0</v>
      </c>
    </row>
    <row r="1390" spans="1:9" x14ac:dyDescent="0.25">
      <c r="A1390">
        <v>2000550078</v>
      </c>
      <c r="B1390" t="s">
        <v>778</v>
      </c>
      <c r="C1390" t="s">
        <v>130</v>
      </c>
      <c r="D1390" t="s">
        <v>131</v>
      </c>
      <c r="E1390" s="2">
        <v>0</v>
      </c>
      <c r="F1390" t="s">
        <v>36</v>
      </c>
      <c r="G1390">
        <v>2</v>
      </c>
      <c r="H1390" s="2">
        <v>0</v>
      </c>
      <c r="I1390">
        <v>0</v>
      </c>
    </row>
    <row r="1391" spans="1:9" x14ac:dyDescent="0.25">
      <c r="A1391">
        <v>2000550078</v>
      </c>
      <c r="B1391" t="s">
        <v>778</v>
      </c>
      <c r="C1391" t="s">
        <v>137</v>
      </c>
      <c r="D1391" t="s">
        <v>138</v>
      </c>
      <c r="E1391" s="2">
        <v>0</v>
      </c>
      <c r="F1391" t="s">
        <v>36</v>
      </c>
      <c r="G1391">
        <v>0</v>
      </c>
      <c r="H1391">
        <v>2</v>
      </c>
      <c r="I1391">
        <v>0</v>
      </c>
    </row>
    <row r="1392" spans="1:9" x14ac:dyDescent="0.25">
      <c r="A1392">
        <v>2000550079</v>
      </c>
      <c r="B1392" t="s">
        <v>779</v>
      </c>
      <c r="C1392" t="s">
        <v>130</v>
      </c>
      <c r="D1392" t="s">
        <v>131</v>
      </c>
      <c r="E1392" s="2">
        <v>4</v>
      </c>
      <c r="F1392" t="s">
        <v>36</v>
      </c>
      <c r="G1392" s="2">
        <v>2</v>
      </c>
      <c r="H1392">
        <v>0</v>
      </c>
      <c r="I1392">
        <v>4.4225000000000003</v>
      </c>
    </row>
    <row r="1393" spans="1:9" x14ac:dyDescent="0.25">
      <c r="A1393">
        <v>2000550079</v>
      </c>
      <c r="B1393" t="s">
        <v>779</v>
      </c>
      <c r="C1393" t="s">
        <v>137</v>
      </c>
      <c r="D1393" t="s">
        <v>138</v>
      </c>
      <c r="E1393" s="2">
        <v>0</v>
      </c>
      <c r="F1393" t="s">
        <v>36</v>
      </c>
      <c r="G1393">
        <v>0</v>
      </c>
      <c r="H1393">
        <v>2</v>
      </c>
      <c r="I1393">
        <v>0</v>
      </c>
    </row>
    <row r="1394" spans="1:9" x14ac:dyDescent="0.25">
      <c r="A1394">
        <v>2000550080</v>
      </c>
      <c r="B1394" t="s">
        <v>780</v>
      </c>
      <c r="C1394" t="s">
        <v>130</v>
      </c>
      <c r="D1394" t="s">
        <v>131</v>
      </c>
      <c r="E1394" s="2">
        <v>0</v>
      </c>
      <c r="F1394" t="s">
        <v>36</v>
      </c>
      <c r="G1394">
        <v>2</v>
      </c>
      <c r="H1394" s="2">
        <v>0</v>
      </c>
      <c r="I1394">
        <v>0</v>
      </c>
    </row>
    <row r="1395" spans="1:9" x14ac:dyDescent="0.25">
      <c r="A1395">
        <v>2000550080</v>
      </c>
      <c r="B1395" t="s">
        <v>780</v>
      </c>
      <c r="C1395" t="s">
        <v>137</v>
      </c>
      <c r="D1395" t="s">
        <v>138</v>
      </c>
      <c r="E1395" s="2">
        <v>0</v>
      </c>
      <c r="F1395" t="s">
        <v>36</v>
      </c>
      <c r="G1395">
        <v>0</v>
      </c>
      <c r="H1395">
        <v>2</v>
      </c>
      <c r="I1395">
        <v>0</v>
      </c>
    </row>
    <row r="1396" spans="1:9" x14ac:dyDescent="0.25">
      <c r="A1396">
        <v>2000550081</v>
      </c>
      <c r="B1396" t="s">
        <v>781</v>
      </c>
      <c r="C1396" t="s">
        <v>130</v>
      </c>
      <c r="D1396" t="s">
        <v>131</v>
      </c>
      <c r="E1396" s="2">
        <v>0</v>
      </c>
      <c r="F1396" t="s">
        <v>36</v>
      </c>
      <c r="G1396" s="2">
        <v>2</v>
      </c>
      <c r="H1396">
        <v>0</v>
      </c>
      <c r="I1396">
        <v>0</v>
      </c>
    </row>
    <row r="1397" spans="1:9" x14ac:dyDescent="0.25">
      <c r="A1397">
        <v>2000550081</v>
      </c>
      <c r="B1397" t="s">
        <v>781</v>
      </c>
      <c r="C1397" t="s">
        <v>137</v>
      </c>
      <c r="D1397" t="s">
        <v>138</v>
      </c>
      <c r="E1397" s="2">
        <v>0</v>
      </c>
      <c r="F1397" t="s">
        <v>36</v>
      </c>
      <c r="G1397" s="2">
        <v>0</v>
      </c>
      <c r="H1397">
        <v>2</v>
      </c>
      <c r="I1397">
        <v>0</v>
      </c>
    </row>
    <row r="1398" spans="1:9" x14ac:dyDescent="0.25">
      <c r="A1398">
        <v>2000550082</v>
      </c>
      <c r="B1398" t="s">
        <v>782</v>
      </c>
      <c r="C1398" t="s">
        <v>130</v>
      </c>
      <c r="D1398" t="s">
        <v>131</v>
      </c>
      <c r="E1398" s="2">
        <v>17</v>
      </c>
      <c r="F1398" t="s">
        <v>36</v>
      </c>
      <c r="G1398">
        <v>2</v>
      </c>
      <c r="H1398" s="2">
        <v>0</v>
      </c>
      <c r="I1398">
        <v>4.5629410000000004</v>
      </c>
    </row>
    <row r="1399" spans="1:9" x14ac:dyDescent="0.25">
      <c r="A1399">
        <v>2000550082</v>
      </c>
      <c r="B1399" t="s">
        <v>782</v>
      </c>
      <c r="C1399" t="s">
        <v>137</v>
      </c>
      <c r="D1399" t="s">
        <v>138</v>
      </c>
      <c r="E1399" s="2">
        <v>0</v>
      </c>
      <c r="F1399" t="s">
        <v>36</v>
      </c>
      <c r="G1399">
        <v>0</v>
      </c>
      <c r="H1399">
        <v>2</v>
      </c>
      <c r="I1399">
        <v>0</v>
      </c>
    </row>
    <row r="1400" spans="1:9" x14ac:dyDescent="0.25">
      <c r="A1400">
        <v>2000550083</v>
      </c>
      <c r="B1400" t="s">
        <v>783</v>
      </c>
      <c r="C1400" t="s">
        <v>130</v>
      </c>
      <c r="D1400" t="s">
        <v>131</v>
      </c>
      <c r="E1400" s="2">
        <v>42</v>
      </c>
      <c r="F1400" t="s">
        <v>36</v>
      </c>
      <c r="G1400">
        <v>2</v>
      </c>
      <c r="H1400">
        <v>0</v>
      </c>
      <c r="I1400">
        <v>13.908333000000001</v>
      </c>
    </row>
    <row r="1401" spans="1:9" x14ac:dyDescent="0.25">
      <c r="A1401">
        <v>2000550083</v>
      </c>
      <c r="B1401" t="s">
        <v>783</v>
      </c>
      <c r="C1401" t="s">
        <v>137</v>
      </c>
      <c r="D1401" t="s">
        <v>138</v>
      </c>
      <c r="E1401" s="2">
        <v>0</v>
      </c>
      <c r="F1401" t="s">
        <v>36</v>
      </c>
      <c r="G1401">
        <v>0</v>
      </c>
      <c r="H1401" s="2">
        <v>2</v>
      </c>
      <c r="I1401">
        <v>13.908333000000001</v>
      </c>
    </row>
    <row r="1402" spans="1:9" x14ac:dyDescent="0.25">
      <c r="A1402">
        <v>2000550084</v>
      </c>
      <c r="B1402" t="s">
        <v>784</v>
      </c>
      <c r="C1402" t="s">
        <v>130</v>
      </c>
      <c r="D1402" t="s">
        <v>131</v>
      </c>
      <c r="E1402" s="2">
        <v>196</v>
      </c>
      <c r="F1402" t="s">
        <v>36</v>
      </c>
      <c r="G1402" s="2">
        <v>2</v>
      </c>
      <c r="H1402">
        <v>0</v>
      </c>
      <c r="I1402">
        <v>13.858622</v>
      </c>
    </row>
    <row r="1403" spans="1:9" x14ac:dyDescent="0.25">
      <c r="A1403">
        <v>2000550084</v>
      </c>
      <c r="B1403" t="s">
        <v>784</v>
      </c>
      <c r="C1403" t="s">
        <v>137</v>
      </c>
      <c r="D1403" t="s">
        <v>138</v>
      </c>
      <c r="E1403" s="2">
        <v>0</v>
      </c>
      <c r="F1403" t="s">
        <v>36</v>
      </c>
      <c r="G1403">
        <v>0</v>
      </c>
      <c r="H1403">
        <v>2</v>
      </c>
      <c r="I1403">
        <v>13.858461999999999</v>
      </c>
    </row>
    <row r="1404" spans="1:9" x14ac:dyDescent="0.25">
      <c r="A1404">
        <v>2000550085</v>
      </c>
      <c r="B1404" t="s">
        <v>785</v>
      </c>
      <c r="C1404" t="s">
        <v>130</v>
      </c>
      <c r="D1404" t="s">
        <v>131</v>
      </c>
      <c r="E1404" s="2">
        <v>128</v>
      </c>
      <c r="F1404" t="s">
        <v>36</v>
      </c>
      <c r="G1404" s="2">
        <v>2</v>
      </c>
      <c r="H1404">
        <v>0</v>
      </c>
      <c r="I1404">
        <v>13.936406</v>
      </c>
    </row>
    <row r="1405" spans="1:9" x14ac:dyDescent="0.25">
      <c r="A1405">
        <v>2000550085</v>
      </c>
      <c r="B1405" t="s">
        <v>785</v>
      </c>
      <c r="C1405" t="s">
        <v>137</v>
      </c>
      <c r="D1405" t="s">
        <v>138</v>
      </c>
      <c r="E1405" s="2">
        <v>0</v>
      </c>
      <c r="F1405" t="s">
        <v>36</v>
      </c>
      <c r="G1405" s="2">
        <v>0</v>
      </c>
      <c r="H1405">
        <v>2</v>
      </c>
      <c r="I1405">
        <v>13.936379000000001</v>
      </c>
    </row>
    <row r="1406" spans="1:9" x14ac:dyDescent="0.25">
      <c r="A1406">
        <v>2000550086</v>
      </c>
      <c r="B1406" t="s">
        <v>786</v>
      </c>
      <c r="C1406" t="s">
        <v>130</v>
      </c>
      <c r="D1406" t="s">
        <v>131</v>
      </c>
      <c r="E1406" s="2">
        <v>15</v>
      </c>
      <c r="F1406" t="s">
        <v>36</v>
      </c>
      <c r="G1406">
        <v>2</v>
      </c>
      <c r="H1406">
        <v>0</v>
      </c>
      <c r="I1406">
        <v>3.5266670000000002</v>
      </c>
    </row>
    <row r="1407" spans="1:9" x14ac:dyDescent="0.25">
      <c r="A1407">
        <v>2000550086</v>
      </c>
      <c r="B1407" t="s">
        <v>786</v>
      </c>
      <c r="C1407" t="s">
        <v>137</v>
      </c>
      <c r="D1407" t="s">
        <v>138</v>
      </c>
      <c r="E1407" s="2">
        <v>0</v>
      </c>
      <c r="F1407" t="s">
        <v>36</v>
      </c>
      <c r="G1407">
        <v>0</v>
      </c>
      <c r="H1407">
        <v>2</v>
      </c>
      <c r="I1407">
        <v>0</v>
      </c>
    </row>
    <row r="1408" spans="1:9" x14ac:dyDescent="0.25">
      <c r="A1408">
        <v>2000550087</v>
      </c>
      <c r="B1408" t="s">
        <v>787</v>
      </c>
      <c r="C1408" t="s">
        <v>130</v>
      </c>
      <c r="D1408" t="s">
        <v>131</v>
      </c>
      <c r="E1408" s="2">
        <v>65</v>
      </c>
      <c r="F1408" t="s">
        <v>36</v>
      </c>
      <c r="G1408">
        <v>2</v>
      </c>
      <c r="H1408">
        <v>0</v>
      </c>
      <c r="I1408">
        <v>5.9312310000000004</v>
      </c>
    </row>
    <row r="1409" spans="1:9" x14ac:dyDescent="0.25">
      <c r="A1409">
        <v>2000550087</v>
      </c>
      <c r="B1409" t="s">
        <v>787</v>
      </c>
      <c r="C1409" t="s">
        <v>137</v>
      </c>
      <c r="D1409" t="s">
        <v>138</v>
      </c>
      <c r="E1409" s="2">
        <v>0</v>
      </c>
      <c r="F1409" t="s">
        <v>36</v>
      </c>
      <c r="G1409">
        <v>0</v>
      </c>
      <c r="H1409">
        <v>2</v>
      </c>
      <c r="I1409">
        <v>0</v>
      </c>
    </row>
    <row r="1410" spans="1:9" x14ac:dyDescent="0.25">
      <c r="A1410">
        <v>2000550088</v>
      </c>
      <c r="B1410" t="s">
        <v>788</v>
      </c>
      <c r="C1410" t="s">
        <v>130</v>
      </c>
      <c r="D1410" t="s">
        <v>131</v>
      </c>
      <c r="E1410" s="2">
        <v>83</v>
      </c>
      <c r="F1410" t="s">
        <v>36</v>
      </c>
      <c r="G1410">
        <v>2</v>
      </c>
      <c r="H1410">
        <v>0</v>
      </c>
      <c r="I1410">
        <v>6.0050600000000003</v>
      </c>
    </row>
    <row r="1411" spans="1:9" x14ac:dyDescent="0.25">
      <c r="A1411">
        <v>2000550088</v>
      </c>
      <c r="B1411" t="s">
        <v>788</v>
      </c>
      <c r="C1411" t="s">
        <v>137</v>
      </c>
      <c r="D1411" t="s">
        <v>138</v>
      </c>
      <c r="E1411" s="2">
        <v>0</v>
      </c>
      <c r="F1411" t="s">
        <v>36</v>
      </c>
      <c r="G1411">
        <v>0</v>
      </c>
      <c r="H1411">
        <v>2</v>
      </c>
      <c r="I1411">
        <v>0</v>
      </c>
    </row>
    <row r="1412" spans="1:9" x14ac:dyDescent="0.25">
      <c r="A1412">
        <v>2000550089</v>
      </c>
      <c r="B1412" t="s">
        <v>789</v>
      </c>
      <c r="C1412" t="s">
        <v>130</v>
      </c>
      <c r="D1412" t="s">
        <v>131</v>
      </c>
      <c r="E1412" s="2">
        <v>158</v>
      </c>
      <c r="F1412" t="s">
        <v>36</v>
      </c>
      <c r="G1412">
        <v>2</v>
      </c>
      <c r="H1412">
        <v>0</v>
      </c>
      <c r="I1412">
        <v>5.6296840000000001</v>
      </c>
    </row>
    <row r="1413" spans="1:9" x14ac:dyDescent="0.25">
      <c r="A1413">
        <v>2000550089</v>
      </c>
      <c r="B1413" t="s">
        <v>789</v>
      </c>
      <c r="C1413" t="s">
        <v>137</v>
      </c>
      <c r="D1413" t="s">
        <v>138</v>
      </c>
      <c r="E1413" s="2">
        <v>0</v>
      </c>
      <c r="F1413" t="s">
        <v>36</v>
      </c>
      <c r="G1413">
        <v>0</v>
      </c>
      <c r="H1413">
        <v>2</v>
      </c>
      <c r="I1413">
        <v>0</v>
      </c>
    </row>
    <row r="1414" spans="1:9" x14ac:dyDescent="0.25">
      <c r="A1414">
        <v>2000550090</v>
      </c>
      <c r="B1414" t="s">
        <v>790</v>
      </c>
      <c r="C1414" t="s">
        <v>130</v>
      </c>
      <c r="D1414" t="s">
        <v>131</v>
      </c>
      <c r="E1414" s="2">
        <v>23</v>
      </c>
      <c r="F1414" t="s">
        <v>36</v>
      </c>
      <c r="G1414">
        <v>0</v>
      </c>
      <c r="H1414">
        <v>0</v>
      </c>
      <c r="I1414">
        <v>8.1091300000000004</v>
      </c>
    </row>
    <row r="1415" spans="1:9" x14ac:dyDescent="0.25">
      <c r="A1415">
        <v>2000550091</v>
      </c>
      <c r="B1415" t="s">
        <v>791</v>
      </c>
      <c r="C1415" t="s">
        <v>130</v>
      </c>
      <c r="D1415" t="s">
        <v>131</v>
      </c>
      <c r="E1415" s="2">
        <v>77</v>
      </c>
      <c r="F1415" t="s">
        <v>36</v>
      </c>
      <c r="G1415">
        <v>0</v>
      </c>
      <c r="H1415">
        <v>0</v>
      </c>
      <c r="I1415">
        <v>8.0318179999999995</v>
      </c>
    </row>
    <row r="1416" spans="1:9" x14ac:dyDescent="0.25">
      <c r="A1416">
        <v>2000550092</v>
      </c>
      <c r="B1416" t="s">
        <v>792</v>
      </c>
      <c r="C1416" t="s">
        <v>130</v>
      </c>
      <c r="D1416" t="s">
        <v>131</v>
      </c>
      <c r="E1416" s="2">
        <v>938</v>
      </c>
      <c r="F1416" t="s">
        <v>36</v>
      </c>
      <c r="G1416">
        <v>156</v>
      </c>
      <c r="H1416">
        <v>12</v>
      </c>
      <c r="I1416">
        <v>2.4850210000000001</v>
      </c>
    </row>
    <row r="1417" spans="1:9" x14ac:dyDescent="0.25">
      <c r="A1417">
        <v>2000550092</v>
      </c>
      <c r="B1417" t="s">
        <v>792</v>
      </c>
      <c r="C1417" t="s">
        <v>151</v>
      </c>
      <c r="D1417" t="s">
        <v>152</v>
      </c>
      <c r="E1417" s="2">
        <v>17</v>
      </c>
      <c r="F1417" t="s">
        <v>36</v>
      </c>
      <c r="G1417">
        <v>12</v>
      </c>
      <c r="H1417">
        <v>0</v>
      </c>
      <c r="I1417">
        <v>2.4852940000000001</v>
      </c>
    </row>
    <row r="1418" spans="1:9" x14ac:dyDescent="0.25">
      <c r="A1418">
        <v>2000550093</v>
      </c>
      <c r="B1418" t="s">
        <v>793</v>
      </c>
      <c r="C1418" t="s">
        <v>130</v>
      </c>
      <c r="D1418" t="s">
        <v>131</v>
      </c>
      <c r="E1418" s="2">
        <v>11456</v>
      </c>
      <c r="F1418" t="s">
        <v>36</v>
      </c>
      <c r="G1418">
        <v>0</v>
      </c>
      <c r="H1418">
        <v>0</v>
      </c>
      <c r="I1418">
        <v>1.1389860000000001</v>
      </c>
    </row>
    <row r="1419" spans="1:9" x14ac:dyDescent="0.25">
      <c r="A1419">
        <v>2000550093</v>
      </c>
      <c r="B1419" t="s">
        <v>793</v>
      </c>
      <c r="C1419" t="s">
        <v>151</v>
      </c>
      <c r="D1419" t="s">
        <v>152</v>
      </c>
      <c r="E1419" s="2">
        <v>252</v>
      </c>
      <c r="F1419" t="s">
        <v>36</v>
      </c>
      <c r="G1419">
        <v>0</v>
      </c>
      <c r="H1419">
        <v>0</v>
      </c>
      <c r="I1419">
        <v>1.138968</v>
      </c>
    </row>
    <row r="1420" spans="1:9" x14ac:dyDescent="0.25">
      <c r="A1420">
        <v>2000550094</v>
      </c>
      <c r="B1420" t="s">
        <v>794</v>
      </c>
      <c r="C1420" t="s">
        <v>130</v>
      </c>
      <c r="D1420" t="s">
        <v>131</v>
      </c>
      <c r="E1420" s="2">
        <v>226</v>
      </c>
      <c r="F1420" t="s">
        <v>36</v>
      </c>
      <c r="G1420">
        <v>6</v>
      </c>
      <c r="H1420">
        <v>0</v>
      </c>
      <c r="I1420">
        <v>7.0152210000000004</v>
      </c>
    </row>
    <row r="1421" spans="1:9" x14ac:dyDescent="0.25">
      <c r="A1421">
        <v>2000550094</v>
      </c>
      <c r="B1421" t="s">
        <v>794</v>
      </c>
      <c r="C1421" t="s">
        <v>126</v>
      </c>
      <c r="D1421" t="s">
        <v>127</v>
      </c>
      <c r="E1421" s="2">
        <v>1</v>
      </c>
      <c r="F1421" t="s">
        <v>36</v>
      </c>
      <c r="G1421">
        <v>0</v>
      </c>
      <c r="H1421">
        <v>0</v>
      </c>
      <c r="I1421">
        <v>7.02</v>
      </c>
    </row>
    <row r="1422" spans="1:9" x14ac:dyDescent="0.25">
      <c r="A1422">
        <v>2000550095</v>
      </c>
      <c r="B1422" t="s">
        <v>795</v>
      </c>
      <c r="C1422" t="s">
        <v>130</v>
      </c>
      <c r="D1422" t="s">
        <v>131</v>
      </c>
      <c r="E1422" s="2">
        <v>1544</v>
      </c>
      <c r="F1422" t="s">
        <v>36</v>
      </c>
      <c r="G1422">
        <v>0</v>
      </c>
      <c r="H1422">
        <v>0</v>
      </c>
      <c r="I1422">
        <v>8.2070399999999992</v>
      </c>
    </row>
    <row r="1423" spans="1:9" x14ac:dyDescent="0.25">
      <c r="A1423">
        <v>2000590049</v>
      </c>
      <c r="B1423" t="s">
        <v>796</v>
      </c>
      <c r="C1423" t="s">
        <v>126</v>
      </c>
      <c r="D1423" t="s">
        <v>127</v>
      </c>
      <c r="E1423" s="2">
        <v>3</v>
      </c>
      <c r="F1423" t="s">
        <v>36</v>
      </c>
      <c r="G1423">
        <v>0</v>
      </c>
      <c r="H1423">
        <v>0</v>
      </c>
      <c r="I1423">
        <v>0.61666699999999997</v>
      </c>
    </row>
    <row r="1424" spans="1:9" x14ac:dyDescent="0.25">
      <c r="A1424">
        <v>2000600039</v>
      </c>
      <c r="B1424" t="s">
        <v>797</v>
      </c>
      <c r="C1424" t="s">
        <v>157</v>
      </c>
      <c r="D1424" t="s">
        <v>158</v>
      </c>
      <c r="E1424" s="2">
        <v>24013</v>
      </c>
      <c r="F1424" t="s">
        <v>36</v>
      </c>
      <c r="G1424">
        <v>0</v>
      </c>
      <c r="H1424">
        <v>0</v>
      </c>
      <c r="I1424">
        <v>0.32589800000000002</v>
      </c>
    </row>
    <row r="1425" spans="1:9" x14ac:dyDescent="0.25">
      <c r="A1425">
        <v>2000600044</v>
      </c>
      <c r="B1425" t="s">
        <v>798</v>
      </c>
      <c r="C1425" t="s">
        <v>130</v>
      </c>
      <c r="D1425" t="s">
        <v>131</v>
      </c>
      <c r="E1425" s="2">
        <v>4009</v>
      </c>
      <c r="F1425" t="s">
        <v>36</v>
      </c>
      <c r="G1425">
        <v>0</v>
      </c>
      <c r="H1425">
        <v>0</v>
      </c>
      <c r="I1425">
        <v>0.497338</v>
      </c>
    </row>
    <row r="1426" spans="1:9" x14ac:dyDescent="0.25">
      <c r="A1426">
        <v>2000600045</v>
      </c>
      <c r="B1426" t="s">
        <v>799</v>
      </c>
      <c r="C1426" t="s">
        <v>130</v>
      </c>
      <c r="D1426" t="s">
        <v>131</v>
      </c>
      <c r="E1426" s="2">
        <v>2488</v>
      </c>
      <c r="F1426" t="s">
        <v>36</v>
      </c>
      <c r="G1426">
        <v>0</v>
      </c>
      <c r="H1426">
        <v>0</v>
      </c>
      <c r="I1426">
        <v>0.48549799999999999</v>
      </c>
    </row>
    <row r="1427" spans="1:9" x14ac:dyDescent="0.25">
      <c r="A1427">
        <v>2000600046</v>
      </c>
      <c r="B1427" t="s">
        <v>800</v>
      </c>
      <c r="C1427" t="s">
        <v>130</v>
      </c>
      <c r="D1427" t="s">
        <v>131</v>
      </c>
      <c r="E1427" s="2">
        <v>15</v>
      </c>
      <c r="F1427" t="s">
        <v>36</v>
      </c>
      <c r="G1427">
        <v>24</v>
      </c>
      <c r="H1427">
        <v>0</v>
      </c>
      <c r="I1427">
        <v>0.86799999999999999</v>
      </c>
    </row>
    <row r="1428" spans="1:9" x14ac:dyDescent="0.25">
      <c r="A1428">
        <v>2000600046</v>
      </c>
      <c r="B1428" t="s">
        <v>800</v>
      </c>
      <c r="C1428" t="s">
        <v>139</v>
      </c>
      <c r="D1428" t="s">
        <v>140</v>
      </c>
      <c r="E1428" s="2">
        <v>2808</v>
      </c>
      <c r="F1428" t="s">
        <v>36</v>
      </c>
      <c r="G1428">
        <v>0</v>
      </c>
      <c r="H1428">
        <v>0</v>
      </c>
      <c r="I1428">
        <v>0.85131800000000002</v>
      </c>
    </row>
    <row r="1429" spans="1:9" x14ac:dyDescent="0.25">
      <c r="A1429">
        <v>2000600047</v>
      </c>
      <c r="B1429" t="s">
        <v>801</v>
      </c>
      <c r="C1429" t="s">
        <v>130</v>
      </c>
      <c r="D1429" t="s">
        <v>131</v>
      </c>
      <c r="E1429" s="2">
        <v>142</v>
      </c>
      <c r="F1429" t="s">
        <v>147</v>
      </c>
      <c r="G1429">
        <v>0</v>
      </c>
      <c r="H1429">
        <v>0</v>
      </c>
      <c r="I1429">
        <v>0.625</v>
      </c>
    </row>
    <row r="1430" spans="1:9" x14ac:dyDescent="0.25">
      <c r="A1430">
        <v>2000600048</v>
      </c>
      <c r="B1430" t="s">
        <v>802</v>
      </c>
      <c r="C1430" t="s">
        <v>130</v>
      </c>
      <c r="D1430" t="s">
        <v>131</v>
      </c>
      <c r="E1430" s="2">
        <v>3336</v>
      </c>
      <c r="F1430" t="s">
        <v>36</v>
      </c>
      <c r="G1430">
        <v>0</v>
      </c>
      <c r="H1430">
        <v>0</v>
      </c>
      <c r="I1430">
        <v>0.79381000000000002</v>
      </c>
    </row>
    <row r="1431" spans="1:9" x14ac:dyDescent="0.25">
      <c r="A1431">
        <v>2000600049</v>
      </c>
      <c r="B1431" t="s">
        <v>803</v>
      </c>
      <c r="C1431" t="s">
        <v>130</v>
      </c>
      <c r="D1431" t="s">
        <v>131</v>
      </c>
      <c r="E1431" s="2">
        <v>575</v>
      </c>
      <c r="F1431" t="s">
        <v>36</v>
      </c>
      <c r="G1431">
        <v>108</v>
      </c>
      <c r="H1431">
        <v>0</v>
      </c>
      <c r="I1431">
        <v>0.909304</v>
      </c>
    </row>
    <row r="1432" spans="1:9" x14ac:dyDescent="0.25">
      <c r="A1432">
        <v>2000600049</v>
      </c>
      <c r="B1432" t="s">
        <v>803</v>
      </c>
      <c r="C1432" t="s">
        <v>139</v>
      </c>
      <c r="D1432" t="s">
        <v>140</v>
      </c>
      <c r="E1432" s="2">
        <v>14400</v>
      </c>
      <c r="F1432" t="s">
        <v>36</v>
      </c>
      <c r="G1432">
        <v>0</v>
      </c>
      <c r="H1432">
        <v>0</v>
      </c>
      <c r="I1432">
        <v>0.87557499999999999</v>
      </c>
    </row>
    <row r="1433" spans="1:9" x14ac:dyDescent="0.25">
      <c r="A1433">
        <v>2000600049</v>
      </c>
      <c r="B1433" t="s">
        <v>803</v>
      </c>
      <c r="C1433" t="s">
        <v>144</v>
      </c>
      <c r="D1433" t="s">
        <v>145</v>
      </c>
      <c r="E1433" s="2">
        <v>2000</v>
      </c>
      <c r="F1433" t="s">
        <v>36</v>
      </c>
      <c r="G1433">
        <v>0</v>
      </c>
      <c r="H1433">
        <v>0</v>
      </c>
      <c r="I1433">
        <v>0.9093</v>
      </c>
    </row>
    <row r="1434" spans="1:9" x14ac:dyDescent="0.25">
      <c r="A1434">
        <v>2000600050</v>
      </c>
      <c r="B1434" t="s">
        <v>804</v>
      </c>
      <c r="C1434" t="s">
        <v>130</v>
      </c>
      <c r="D1434" t="s">
        <v>131</v>
      </c>
      <c r="E1434" s="2">
        <v>37734</v>
      </c>
      <c r="F1434" t="s">
        <v>36</v>
      </c>
      <c r="G1434" s="2">
        <v>20790</v>
      </c>
      <c r="H1434">
        <v>0</v>
      </c>
      <c r="I1434">
        <v>0.11874999999999999</v>
      </c>
    </row>
    <row r="1435" spans="1:9" x14ac:dyDescent="0.25">
      <c r="A1435">
        <v>2000600050</v>
      </c>
      <c r="B1435" t="s">
        <v>804</v>
      </c>
      <c r="C1435" t="s">
        <v>139</v>
      </c>
      <c r="D1435" t="s">
        <v>140</v>
      </c>
      <c r="E1435" s="2">
        <v>0</v>
      </c>
      <c r="F1435" t="s">
        <v>36</v>
      </c>
      <c r="G1435" s="2">
        <v>1080</v>
      </c>
      <c r="H1435">
        <v>0</v>
      </c>
      <c r="I1435">
        <v>0.11874999999999999</v>
      </c>
    </row>
    <row r="1436" spans="1:9" x14ac:dyDescent="0.25">
      <c r="A1436">
        <v>2000600051</v>
      </c>
      <c r="B1436" t="s">
        <v>805</v>
      </c>
      <c r="C1436" t="s">
        <v>130</v>
      </c>
      <c r="D1436" t="s">
        <v>131</v>
      </c>
      <c r="E1436" s="2">
        <v>195</v>
      </c>
      <c r="F1436" t="s">
        <v>36</v>
      </c>
      <c r="G1436">
        <v>0</v>
      </c>
      <c r="H1436">
        <v>0</v>
      </c>
      <c r="I1436">
        <v>0.15728200000000001</v>
      </c>
    </row>
    <row r="1437" spans="1:9" x14ac:dyDescent="0.25">
      <c r="A1437">
        <v>2000600052</v>
      </c>
      <c r="B1437" t="s">
        <v>806</v>
      </c>
      <c r="C1437" t="s">
        <v>130</v>
      </c>
      <c r="D1437" t="s">
        <v>131</v>
      </c>
      <c r="E1437" s="2">
        <v>7741</v>
      </c>
      <c r="F1437" t="s">
        <v>36</v>
      </c>
      <c r="G1437">
        <v>0</v>
      </c>
      <c r="H1437">
        <v>0</v>
      </c>
      <c r="I1437">
        <v>0.56989100000000004</v>
      </c>
    </row>
    <row r="1438" spans="1:9" x14ac:dyDescent="0.25">
      <c r="A1438">
        <v>2000600052</v>
      </c>
      <c r="B1438" t="s">
        <v>806</v>
      </c>
      <c r="C1438" t="s">
        <v>126</v>
      </c>
      <c r="D1438" t="s">
        <v>127</v>
      </c>
      <c r="E1438" s="2">
        <v>11</v>
      </c>
      <c r="F1438" t="s">
        <v>36</v>
      </c>
      <c r="G1438">
        <v>0</v>
      </c>
      <c r="H1438">
        <v>0</v>
      </c>
      <c r="I1438">
        <v>0.56999999999999995</v>
      </c>
    </row>
    <row r="1439" spans="1:9" x14ac:dyDescent="0.25">
      <c r="A1439">
        <v>2000600053</v>
      </c>
      <c r="B1439" t="s">
        <v>807</v>
      </c>
      <c r="C1439" t="s">
        <v>130</v>
      </c>
      <c r="D1439" t="s">
        <v>131</v>
      </c>
      <c r="E1439" s="2">
        <v>27</v>
      </c>
      <c r="F1439" t="s">
        <v>36</v>
      </c>
      <c r="G1439">
        <v>0</v>
      </c>
      <c r="H1439" s="2">
        <v>16692</v>
      </c>
      <c r="I1439">
        <v>0.75481500000000001</v>
      </c>
    </row>
    <row r="1440" spans="1:9" x14ac:dyDescent="0.25">
      <c r="A1440">
        <v>2000600053</v>
      </c>
      <c r="B1440" t="s">
        <v>807</v>
      </c>
      <c r="C1440" t="s">
        <v>126</v>
      </c>
      <c r="D1440" t="s">
        <v>127</v>
      </c>
      <c r="E1440" s="2">
        <v>1</v>
      </c>
      <c r="F1440" t="s">
        <v>36</v>
      </c>
      <c r="G1440">
        <v>0</v>
      </c>
      <c r="H1440">
        <v>0</v>
      </c>
      <c r="I1440">
        <v>0.76</v>
      </c>
    </row>
    <row r="1441" spans="1:9" x14ac:dyDescent="0.25">
      <c r="A1441">
        <v>2000600053</v>
      </c>
      <c r="B1441" t="s">
        <v>807</v>
      </c>
      <c r="C1441" t="s">
        <v>139</v>
      </c>
      <c r="D1441" t="s">
        <v>140</v>
      </c>
      <c r="E1441" s="2">
        <v>539</v>
      </c>
      <c r="F1441" t="s">
        <v>36</v>
      </c>
      <c r="G1441" s="2">
        <v>16692</v>
      </c>
      <c r="H1441">
        <v>0</v>
      </c>
      <c r="I1441">
        <v>0.75545499999999999</v>
      </c>
    </row>
    <row r="1442" spans="1:9" x14ac:dyDescent="0.25">
      <c r="A1442">
        <v>2000600055</v>
      </c>
      <c r="B1442" t="s">
        <v>808</v>
      </c>
      <c r="C1442" t="s">
        <v>130</v>
      </c>
      <c r="D1442" t="s">
        <v>131</v>
      </c>
      <c r="E1442" s="2">
        <v>10</v>
      </c>
      <c r="F1442" t="s">
        <v>36</v>
      </c>
      <c r="G1442">
        <v>926</v>
      </c>
      <c r="H1442">
        <v>0</v>
      </c>
      <c r="I1442">
        <v>0.84299999999999997</v>
      </c>
    </row>
    <row r="1443" spans="1:9" x14ac:dyDescent="0.25">
      <c r="A1443">
        <v>2000600056</v>
      </c>
      <c r="B1443" t="s">
        <v>809</v>
      </c>
      <c r="C1443" t="s">
        <v>130</v>
      </c>
      <c r="D1443" t="s">
        <v>131</v>
      </c>
      <c r="E1443" s="2">
        <v>32</v>
      </c>
      <c r="F1443" t="s">
        <v>36</v>
      </c>
      <c r="G1443">
        <v>84</v>
      </c>
      <c r="H1443">
        <v>0</v>
      </c>
      <c r="I1443">
        <v>0.86937500000000001</v>
      </c>
    </row>
    <row r="1444" spans="1:9" x14ac:dyDescent="0.25">
      <c r="A1444">
        <v>2000600056</v>
      </c>
      <c r="B1444" t="s">
        <v>809</v>
      </c>
      <c r="C1444" t="s">
        <v>139</v>
      </c>
      <c r="D1444" t="s">
        <v>140</v>
      </c>
      <c r="E1444" s="2">
        <v>11792</v>
      </c>
      <c r="F1444" t="s">
        <v>36</v>
      </c>
      <c r="G1444">
        <v>0</v>
      </c>
      <c r="H1444">
        <v>0</v>
      </c>
      <c r="I1444">
        <v>0.86788600000000005</v>
      </c>
    </row>
    <row r="1445" spans="1:9" x14ac:dyDescent="0.25">
      <c r="A1445">
        <v>2000600057</v>
      </c>
      <c r="B1445" t="s">
        <v>810</v>
      </c>
      <c r="C1445" t="s">
        <v>130</v>
      </c>
      <c r="D1445" t="s">
        <v>131</v>
      </c>
      <c r="E1445" s="2">
        <v>95</v>
      </c>
      <c r="F1445" t="s">
        <v>36</v>
      </c>
      <c r="G1445">
        <v>0</v>
      </c>
      <c r="H1445">
        <v>0</v>
      </c>
      <c r="I1445">
        <v>0.64242100000000002</v>
      </c>
    </row>
    <row r="1446" spans="1:9" x14ac:dyDescent="0.25">
      <c r="A1446">
        <v>2000600057</v>
      </c>
      <c r="B1446" t="s">
        <v>810</v>
      </c>
      <c r="C1446" t="s">
        <v>139</v>
      </c>
      <c r="D1446" t="s">
        <v>140</v>
      </c>
      <c r="E1446" s="2">
        <v>10620</v>
      </c>
      <c r="F1446" t="s">
        <v>36</v>
      </c>
      <c r="G1446">
        <v>0</v>
      </c>
      <c r="H1446">
        <v>0</v>
      </c>
      <c r="I1446">
        <v>0.62377899999999997</v>
      </c>
    </row>
    <row r="1447" spans="1:9" x14ac:dyDescent="0.25">
      <c r="A1447">
        <v>2000600058</v>
      </c>
      <c r="B1447" t="s">
        <v>811</v>
      </c>
      <c r="C1447" t="s">
        <v>130</v>
      </c>
      <c r="D1447" t="s">
        <v>131</v>
      </c>
      <c r="E1447" s="2">
        <v>113</v>
      </c>
      <c r="F1447" t="s">
        <v>36</v>
      </c>
      <c r="G1447">
        <v>96</v>
      </c>
      <c r="H1447" s="2">
        <v>72816</v>
      </c>
      <c r="I1447">
        <v>0.17088500000000001</v>
      </c>
    </row>
    <row r="1448" spans="1:9" x14ac:dyDescent="0.25">
      <c r="A1448">
        <v>2000600058</v>
      </c>
      <c r="B1448" t="s">
        <v>811</v>
      </c>
      <c r="C1448" t="s">
        <v>139</v>
      </c>
      <c r="D1448" t="s">
        <v>140</v>
      </c>
      <c r="E1448" s="2">
        <v>16276</v>
      </c>
      <c r="F1448" t="s">
        <v>36</v>
      </c>
      <c r="G1448" s="2">
        <v>72816</v>
      </c>
      <c r="H1448" s="2">
        <v>0</v>
      </c>
      <c r="I1448">
        <v>0.19833600000000001</v>
      </c>
    </row>
    <row r="1449" spans="1:9" x14ac:dyDescent="0.25">
      <c r="A1449">
        <v>2000600059</v>
      </c>
      <c r="B1449" t="s">
        <v>812</v>
      </c>
      <c r="C1449" t="s">
        <v>130</v>
      </c>
      <c r="D1449" t="s">
        <v>131</v>
      </c>
      <c r="E1449" s="2">
        <v>36245</v>
      </c>
      <c r="F1449" t="s">
        <v>36</v>
      </c>
      <c r="G1449">
        <v>48</v>
      </c>
      <c r="H1449" s="2">
        <v>0</v>
      </c>
      <c r="I1449">
        <v>0.223245</v>
      </c>
    </row>
    <row r="1450" spans="1:9" x14ac:dyDescent="0.25">
      <c r="A1450">
        <v>2000600060</v>
      </c>
      <c r="B1450" t="s">
        <v>813</v>
      </c>
      <c r="C1450" t="s">
        <v>130</v>
      </c>
      <c r="D1450" t="s">
        <v>131</v>
      </c>
      <c r="E1450" s="2">
        <v>1770</v>
      </c>
      <c r="F1450" t="s">
        <v>36</v>
      </c>
      <c r="G1450">
        <v>72</v>
      </c>
      <c r="H1450">
        <v>18</v>
      </c>
      <c r="I1450">
        <v>0.31080799999999997</v>
      </c>
    </row>
    <row r="1451" spans="1:9" x14ac:dyDescent="0.25">
      <c r="A1451">
        <v>2000600060</v>
      </c>
      <c r="B1451" t="s">
        <v>813</v>
      </c>
      <c r="C1451" t="s">
        <v>137</v>
      </c>
      <c r="D1451" t="s">
        <v>138</v>
      </c>
      <c r="E1451" s="2">
        <v>0</v>
      </c>
      <c r="F1451" t="s">
        <v>36</v>
      </c>
      <c r="G1451">
        <v>0</v>
      </c>
      <c r="H1451">
        <v>36</v>
      </c>
      <c r="I1451">
        <v>0.31083300000000003</v>
      </c>
    </row>
    <row r="1452" spans="1:9" x14ac:dyDescent="0.25">
      <c r="A1452">
        <v>2000600060</v>
      </c>
      <c r="B1452" t="s">
        <v>813</v>
      </c>
      <c r="C1452" t="s">
        <v>139</v>
      </c>
      <c r="D1452" t="s">
        <v>140</v>
      </c>
      <c r="E1452" s="2">
        <v>0</v>
      </c>
      <c r="F1452" t="s">
        <v>36</v>
      </c>
      <c r="G1452">
        <v>18</v>
      </c>
      <c r="H1452" s="2">
        <v>0</v>
      </c>
      <c r="I1452">
        <v>0.28508299999999998</v>
      </c>
    </row>
    <row r="1453" spans="1:9" x14ac:dyDescent="0.25">
      <c r="A1453">
        <v>2000600061</v>
      </c>
      <c r="B1453" t="s">
        <v>814</v>
      </c>
      <c r="C1453" t="s">
        <v>130</v>
      </c>
      <c r="D1453" t="s">
        <v>131</v>
      </c>
      <c r="E1453" s="2">
        <v>48</v>
      </c>
      <c r="F1453" t="s">
        <v>36</v>
      </c>
      <c r="G1453" s="2">
        <v>1800</v>
      </c>
      <c r="H1453">
        <v>0</v>
      </c>
      <c r="I1453">
        <v>1.175</v>
      </c>
    </row>
    <row r="1454" spans="1:9" x14ac:dyDescent="0.25">
      <c r="A1454">
        <v>2000600062</v>
      </c>
      <c r="B1454" t="s">
        <v>815</v>
      </c>
      <c r="C1454" t="s">
        <v>130</v>
      </c>
      <c r="D1454" t="s">
        <v>131</v>
      </c>
      <c r="E1454" s="2">
        <v>17</v>
      </c>
      <c r="F1454" t="s">
        <v>147</v>
      </c>
      <c r="G1454">
        <v>12</v>
      </c>
      <c r="H1454">
        <v>0</v>
      </c>
      <c r="I1454">
        <v>1.2641180000000001</v>
      </c>
    </row>
    <row r="1455" spans="1:9" x14ac:dyDescent="0.25">
      <c r="A1455">
        <v>2000600062</v>
      </c>
      <c r="B1455" t="s">
        <v>815</v>
      </c>
      <c r="C1455" t="s">
        <v>137</v>
      </c>
      <c r="D1455" t="s">
        <v>138</v>
      </c>
      <c r="E1455" s="2">
        <v>7</v>
      </c>
      <c r="F1455" t="s">
        <v>147</v>
      </c>
      <c r="G1455">
        <v>0</v>
      </c>
      <c r="H1455">
        <v>0</v>
      </c>
      <c r="I1455">
        <v>1.2628569999999999</v>
      </c>
    </row>
    <row r="1456" spans="1:9" x14ac:dyDescent="0.25">
      <c r="A1456">
        <v>2000600062</v>
      </c>
      <c r="B1456" t="s">
        <v>815</v>
      </c>
      <c r="C1456" t="s">
        <v>151</v>
      </c>
      <c r="D1456" t="s">
        <v>152</v>
      </c>
      <c r="E1456" s="2">
        <v>252</v>
      </c>
      <c r="F1456" t="s">
        <v>147</v>
      </c>
      <c r="G1456">
        <v>0</v>
      </c>
      <c r="H1456">
        <v>0</v>
      </c>
      <c r="I1456">
        <v>1.2631349999999999</v>
      </c>
    </row>
    <row r="1457" spans="1:9" x14ac:dyDescent="0.25">
      <c r="A1457">
        <v>2000600062</v>
      </c>
      <c r="B1457" t="s">
        <v>815</v>
      </c>
      <c r="C1457" t="s">
        <v>139</v>
      </c>
      <c r="D1457" t="s">
        <v>140</v>
      </c>
      <c r="E1457" s="2">
        <v>3061</v>
      </c>
      <c r="F1457" t="s">
        <v>147</v>
      </c>
      <c r="G1457">
        <v>0</v>
      </c>
      <c r="H1457">
        <v>0</v>
      </c>
      <c r="I1457">
        <v>1.2631589999999999</v>
      </c>
    </row>
    <row r="1458" spans="1:9" x14ac:dyDescent="0.25">
      <c r="A1458">
        <v>2000600063</v>
      </c>
      <c r="B1458" t="s">
        <v>816</v>
      </c>
      <c r="C1458" t="s">
        <v>151</v>
      </c>
      <c r="D1458" t="s">
        <v>152</v>
      </c>
      <c r="E1458" s="2">
        <v>264</v>
      </c>
      <c r="F1458" t="s">
        <v>147</v>
      </c>
      <c r="G1458">
        <v>0</v>
      </c>
      <c r="H1458">
        <v>0</v>
      </c>
      <c r="I1458">
        <v>0.96117399999999997</v>
      </c>
    </row>
    <row r="1459" spans="1:9" x14ac:dyDescent="0.25">
      <c r="A1459">
        <v>2000600063</v>
      </c>
      <c r="B1459" t="s">
        <v>816</v>
      </c>
      <c r="C1459" t="s">
        <v>139</v>
      </c>
      <c r="D1459" t="s">
        <v>140</v>
      </c>
      <c r="E1459" s="2">
        <v>12798</v>
      </c>
      <c r="F1459" t="s">
        <v>147</v>
      </c>
      <c r="G1459">
        <v>0</v>
      </c>
      <c r="H1459">
        <v>0</v>
      </c>
      <c r="I1459">
        <v>0.96119299999999996</v>
      </c>
    </row>
    <row r="1460" spans="1:9" x14ac:dyDescent="0.25">
      <c r="A1460">
        <v>2000600064</v>
      </c>
      <c r="B1460" t="s">
        <v>817</v>
      </c>
      <c r="C1460" t="s">
        <v>130</v>
      </c>
      <c r="D1460" t="s">
        <v>131</v>
      </c>
      <c r="E1460" s="2">
        <v>4839</v>
      </c>
      <c r="F1460" t="s">
        <v>147</v>
      </c>
      <c r="G1460">
        <v>3</v>
      </c>
      <c r="H1460" s="2">
        <v>0</v>
      </c>
      <c r="I1460">
        <v>1.017045</v>
      </c>
    </row>
    <row r="1461" spans="1:9" x14ac:dyDescent="0.25">
      <c r="A1461">
        <v>2000600064</v>
      </c>
      <c r="B1461" t="s">
        <v>817</v>
      </c>
      <c r="C1461" t="s">
        <v>137</v>
      </c>
      <c r="D1461" t="s">
        <v>138</v>
      </c>
      <c r="E1461" s="2">
        <v>3</v>
      </c>
      <c r="F1461" t="s">
        <v>147</v>
      </c>
      <c r="G1461">
        <v>0</v>
      </c>
      <c r="H1461">
        <v>0</v>
      </c>
      <c r="I1461">
        <v>1.02</v>
      </c>
    </row>
    <row r="1462" spans="1:9" x14ac:dyDescent="0.25">
      <c r="A1462">
        <v>2000600064</v>
      </c>
      <c r="B1462" t="s">
        <v>817</v>
      </c>
      <c r="C1462" t="s">
        <v>151</v>
      </c>
      <c r="D1462" t="s">
        <v>152</v>
      </c>
      <c r="E1462" s="2">
        <v>468</v>
      </c>
      <c r="F1462" t="s">
        <v>147</v>
      </c>
      <c r="G1462">
        <v>0</v>
      </c>
      <c r="H1462">
        <v>0</v>
      </c>
      <c r="I1462">
        <v>1.0170300000000001</v>
      </c>
    </row>
    <row r="1463" spans="1:9" x14ac:dyDescent="0.25">
      <c r="A1463">
        <v>2000600065</v>
      </c>
      <c r="B1463" t="s">
        <v>818</v>
      </c>
      <c r="C1463" t="s">
        <v>130</v>
      </c>
      <c r="D1463" t="s">
        <v>131</v>
      </c>
      <c r="E1463" s="2">
        <v>7556</v>
      </c>
      <c r="F1463" t="s">
        <v>147</v>
      </c>
      <c r="G1463">
        <v>0</v>
      </c>
      <c r="H1463">
        <v>0</v>
      </c>
      <c r="I1463">
        <v>0.76084600000000002</v>
      </c>
    </row>
    <row r="1464" spans="1:9" x14ac:dyDescent="0.25">
      <c r="A1464">
        <v>2000600065</v>
      </c>
      <c r="B1464" t="s">
        <v>818</v>
      </c>
      <c r="C1464" t="s">
        <v>137</v>
      </c>
      <c r="D1464" t="s">
        <v>138</v>
      </c>
      <c r="E1464" s="2">
        <v>4</v>
      </c>
      <c r="F1464" t="s">
        <v>147</v>
      </c>
      <c r="G1464">
        <v>0</v>
      </c>
      <c r="H1464">
        <v>0</v>
      </c>
      <c r="I1464">
        <v>0.76</v>
      </c>
    </row>
    <row r="1465" spans="1:9" x14ac:dyDescent="0.25">
      <c r="A1465">
        <v>2000600065</v>
      </c>
      <c r="B1465" t="s">
        <v>818</v>
      </c>
      <c r="C1465" t="s">
        <v>151</v>
      </c>
      <c r="D1465" t="s">
        <v>152</v>
      </c>
      <c r="E1465" s="2">
        <v>576</v>
      </c>
      <c r="F1465" t="s">
        <v>147</v>
      </c>
      <c r="G1465">
        <v>0</v>
      </c>
      <c r="H1465">
        <v>0</v>
      </c>
      <c r="I1465">
        <v>0.76085100000000006</v>
      </c>
    </row>
    <row r="1466" spans="1:9" x14ac:dyDescent="0.25">
      <c r="A1466">
        <v>2000600066</v>
      </c>
      <c r="B1466" t="s">
        <v>819</v>
      </c>
      <c r="C1466" t="s">
        <v>130</v>
      </c>
      <c r="D1466" t="s">
        <v>131</v>
      </c>
      <c r="E1466" s="2">
        <v>13</v>
      </c>
      <c r="F1466" t="s">
        <v>147</v>
      </c>
      <c r="G1466">
        <v>363</v>
      </c>
      <c r="H1466">
        <v>0</v>
      </c>
      <c r="I1466">
        <v>0.92</v>
      </c>
    </row>
    <row r="1467" spans="1:9" x14ac:dyDescent="0.25">
      <c r="A1467">
        <v>2000600066</v>
      </c>
      <c r="B1467" t="s">
        <v>819</v>
      </c>
      <c r="C1467" t="s">
        <v>151</v>
      </c>
      <c r="D1467" t="s">
        <v>152</v>
      </c>
      <c r="E1467" s="2">
        <v>1934</v>
      </c>
      <c r="F1467" t="s">
        <v>147</v>
      </c>
      <c r="G1467">
        <v>0</v>
      </c>
      <c r="H1467">
        <v>0</v>
      </c>
      <c r="I1467">
        <v>0.92255399999999999</v>
      </c>
    </row>
    <row r="1468" spans="1:9" x14ac:dyDescent="0.25">
      <c r="A1468">
        <v>2000600067</v>
      </c>
      <c r="B1468" t="s">
        <v>820</v>
      </c>
      <c r="C1468" t="s">
        <v>130</v>
      </c>
      <c r="D1468" t="s">
        <v>131</v>
      </c>
      <c r="E1468" s="2">
        <v>5670</v>
      </c>
      <c r="F1468" t="s">
        <v>36</v>
      </c>
      <c r="G1468">
        <v>72</v>
      </c>
      <c r="H1468">
        <v>0</v>
      </c>
      <c r="I1468">
        <v>7.2608000000000006E-2</v>
      </c>
    </row>
    <row r="1469" spans="1:9" x14ac:dyDescent="0.25">
      <c r="A1469">
        <v>2000610009</v>
      </c>
      <c r="B1469" t="s">
        <v>821</v>
      </c>
      <c r="C1469" t="s">
        <v>126</v>
      </c>
      <c r="D1469" t="s">
        <v>127</v>
      </c>
      <c r="E1469" s="2">
        <v>17</v>
      </c>
      <c r="F1469" t="s">
        <v>36</v>
      </c>
      <c r="G1469">
        <v>0</v>
      </c>
      <c r="H1469">
        <v>0</v>
      </c>
      <c r="I1469">
        <v>4.33</v>
      </c>
    </row>
    <row r="1470" spans="1:9" x14ac:dyDescent="0.25">
      <c r="A1470">
        <v>2000610024</v>
      </c>
      <c r="B1470" t="s">
        <v>822</v>
      </c>
      <c r="C1470" t="s">
        <v>126</v>
      </c>
      <c r="D1470" t="s">
        <v>127</v>
      </c>
      <c r="E1470" s="2">
        <v>12</v>
      </c>
      <c r="F1470" t="s">
        <v>36</v>
      </c>
      <c r="G1470">
        <v>0</v>
      </c>
      <c r="H1470" s="2">
        <v>0</v>
      </c>
      <c r="I1470">
        <v>5.9391670000000003</v>
      </c>
    </row>
    <row r="1471" spans="1:9" x14ac:dyDescent="0.25">
      <c r="A1471" s="1">
        <v>2000610027</v>
      </c>
      <c r="B1471" s="1" t="s">
        <v>823</v>
      </c>
      <c r="C1471" s="1" t="s">
        <v>126</v>
      </c>
      <c r="D1471" s="1" t="s">
        <v>127</v>
      </c>
      <c r="E1471" s="3">
        <v>1</v>
      </c>
      <c r="F1471" s="1" t="s">
        <v>36</v>
      </c>
      <c r="G1471" s="1">
        <v>0</v>
      </c>
      <c r="H1471" s="1">
        <v>0</v>
      </c>
      <c r="I1471" s="1">
        <v>5.92</v>
      </c>
    </row>
    <row r="1472" spans="1:9" x14ac:dyDescent="0.25">
      <c r="A1472">
        <v>2000610043</v>
      </c>
      <c r="B1472" t="s">
        <v>824</v>
      </c>
      <c r="C1472" t="s">
        <v>130</v>
      </c>
      <c r="D1472" t="s">
        <v>131</v>
      </c>
      <c r="E1472" s="2">
        <v>462</v>
      </c>
      <c r="F1472" t="s">
        <v>36</v>
      </c>
      <c r="G1472" s="2">
        <v>0</v>
      </c>
      <c r="H1472" s="2">
        <v>0</v>
      </c>
      <c r="I1472">
        <v>7.5005629999999996</v>
      </c>
    </row>
    <row r="1473" spans="1:9" x14ac:dyDescent="0.25">
      <c r="A1473">
        <v>2000610044</v>
      </c>
      <c r="B1473" t="s">
        <v>825</v>
      </c>
      <c r="C1473" t="s">
        <v>130</v>
      </c>
      <c r="D1473" t="s">
        <v>131</v>
      </c>
      <c r="E1473" s="2">
        <v>1189</v>
      </c>
      <c r="F1473" t="s">
        <v>36</v>
      </c>
      <c r="G1473">
        <v>0</v>
      </c>
      <c r="H1473">
        <v>0</v>
      </c>
      <c r="I1473">
        <v>8.5472999999999999</v>
      </c>
    </row>
    <row r="1474" spans="1:9" x14ac:dyDescent="0.25">
      <c r="A1474">
        <v>2000620053</v>
      </c>
      <c r="B1474" t="s">
        <v>826</v>
      </c>
      <c r="C1474" t="s">
        <v>130</v>
      </c>
      <c r="D1474" t="s">
        <v>131</v>
      </c>
      <c r="E1474" s="2">
        <v>5422</v>
      </c>
      <c r="F1474" t="s">
        <v>36</v>
      </c>
      <c r="G1474">
        <v>3</v>
      </c>
      <c r="H1474" s="2">
        <v>0</v>
      </c>
      <c r="I1474">
        <v>3.9920580000000001</v>
      </c>
    </row>
    <row r="1475" spans="1:9" x14ac:dyDescent="0.25">
      <c r="A1475">
        <v>2000620053</v>
      </c>
      <c r="B1475" t="s">
        <v>826</v>
      </c>
      <c r="C1475" t="s">
        <v>137</v>
      </c>
      <c r="D1475" t="s">
        <v>138</v>
      </c>
      <c r="E1475" s="2">
        <v>18</v>
      </c>
      <c r="F1475" t="s">
        <v>36</v>
      </c>
      <c r="G1475">
        <v>0</v>
      </c>
      <c r="H1475">
        <v>1</v>
      </c>
      <c r="I1475">
        <v>4.2277779999999998</v>
      </c>
    </row>
    <row r="1476" spans="1:9" x14ac:dyDescent="0.25">
      <c r="A1476">
        <v>2000620054</v>
      </c>
      <c r="B1476" t="s">
        <v>827</v>
      </c>
      <c r="C1476" t="s">
        <v>130</v>
      </c>
      <c r="D1476" t="s">
        <v>131</v>
      </c>
      <c r="E1476" s="2">
        <v>3592</v>
      </c>
      <c r="F1476" t="s">
        <v>36</v>
      </c>
      <c r="G1476">
        <v>3</v>
      </c>
      <c r="H1476">
        <v>0</v>
      </c>
      <c r="I1476">
        <v>4.6148389999999999</v>
      </c>
    </row>
    <row r="1477" spans="1:9" x14ac:dyDescent="0.25">
      <c r="A1477">
        <v>2000620054</v>
      </c>
      <c r="B1477" t="s">
        <v>827</v>
      </c>
      <c r="C1477" t="s">
        <v>137</v>
      </c>
      <c r="D1477" t="s">
        <v>138</v>
      </c>
      <c r="E1477" s="2">
        <v>18</v>
      </c>
      <c r="F1477" t="s">
        <v>36</v>
      </c>
      <c r="G1477">
        <v>0</v>
      </c>
      <c r="H1477">
        <v>1</v>
      </c>
      <c r="I1477">
        <v>4.6138890000000004</v>
      </c>
    </row>
    <row r="1478" spans="1:9" x14ac:dyDescent="0.25">
      <c r="A1478">
        <v>2000630049</v>
      </c>
      <c r="B1478" t="s">
        <v>828</v>
      </c>
      <c r="C1478" t="s">
        <v>130</v>
      </c>
      <c r="D1478" t="s">
        <v>131</v>
      </c>
      <c r="E1478" s="2">
        <v>263</v>
      </c>
      <c r="F1478" t="s">
        <v>36</v>
      </c>
      <c r="G1478">
        <v>0</v>
      </c>
      <c r="H1478">
        <v>0</v>
      </c>
      <c r="I1478">
        <v>0.47745199999999999</v>
      </c>
    </row>
    <row r="1479" spans="1:9" x14ac:dyDescent="0.25">
      <c r="A1479">
        <v>2000630049</v>
      </c>
      <c r="B1479" t="s">
        <v>828</v>
      </c>
      <c r="C1479" t="s">
        <v>126</v>
      </c>
      <c r="D1479" t="s">
        <v>127</v>
      </c>
      <c r="E1479" s="2">
        <v>69</v>
      </c>
      <c r="F1479" t="s">
        <v>36</v>
      </c>
      <c r="G1479">
        <v>0</v>
      </c>
      <c r="H1479">
        <v>0</v>
      </c>
      <c r="I1479">
        <v>0.47739100000000001</v>
      </c>
    </row>
    <row r="1480" spans="1:9" x14ac:dyDescent="0.25">
      <c r="A1480">
        <v>2000630050</v>
      </c>
      <c r="B1480" t="s">
        <v>829</v>
      </c>
      <c r="C1480" t="s">
        <v>130</v>
      </c>
      <c r="D1480" t="s">
        <v>131</v>
      </c>
      <c r="E1480" s="2">
        <v>1</v>
      </c>
      <c r="F1480" t="s">
        <v>36</v>
      </c>
      <c r="G1480">
        <v>663</v>
      </c>
      <c r="H1480">
        <v>0</v>
      </c>
      <c r="I1480">
        <v>0.76</v>
      </c>
    </row>
    <row r="1481" spans="1:9" x14ac:dyDescent="0.25">
      <c r="A1481">
        <v>2000630050</v>
      </c>
      <c r="B1481" t="s">
        <v>829</v>
      </c>
      <c r="C1481" t="s">
        <v>151</v>
      </c>
      <c r="D1481" t="s">
        <v>152</v>
      </c>
      <c r="E1481" s="2">
        <v>1000</v>
      </c>
      <c r="F1481" t="s">
        <v>36</v>
      </c>
      <c r="G1481">
        <v>0</v>
      </c>
      <c r="H1481">
        <v>0</v>
      </c>
      <c r="I1481">
        <v>0.75900000000000001</v>
      </c>
    </row>
    <row r="1482" spans="1:9" x14ac:dyDescent="0.25">
      <c r="A1482">
        <v>2000630055</v>
      </c>
      <c r="B1482" t="s">
        <v>830</v>
      </c>
      <c r="C1482" t="s">
        <v>130</v>
      </c>
      <c r="D1482" t="s">
        <v>131</v>
      </c>
      <c r="E1482" s="2">
        <v>21</v>
      </c>
      <c r="F1482" t="s">
        <v>36</v>
      </c>
      <c r="G1482" s="2">
        <v>1140</v>
      </c>
      <c r="H1482" s="2">
        <v>6</v>
      </c>
      <c r="I1482">
        <v>1.26</v>
      </c>
    </row>
    <row r="1483" spans="1:9" x14ac:dyDescent="0.25">
      <c r="A1483">
        <v>2000630055</v>
      </c>
      <c r="B1483" t="s">
        <v>830</v>
      </c>
      <c r="C1483" t="s">
        <v>137</v>
      </c>
      <c r="D1483" t="s">
        <v>138</v>
      </c>
      <c r="E1483" s="2">
        <v>3</v>
      </c>
      <c r="F1483" t="s">
        <v>36</v>
      </c>
      <c r="G1483">
        <v>0</v>
      </c>
      <c r="H1483">
        <v>0</v>
      </c>
      <c r="I1483">
        <v>1.1233329999999999</v>
      </c>
    </row>
    <row r="1484" spans="1:9" x14ac:dyDescent="0.25">
      <c r="A1484">
        <v>2000630058</v>
      </c>
      <c r="B1484" t="s">
        <v>831</v>
      </c>
      <c r="C1484" t="s">
        <v>130</v>
      </c>
      <c r="D1484" t="s">
        <v>131</v>
      </c>
      <c r="E1484" s="2">
        <v>9</v>
      </c>
      <c r="F1484" t="s">
        <v>36</v>
      </c>
      <c r="G1484" s="2">
        <v>3314</v>
      </c>
      <c r="H1484">
        <v>0</v>
      </c>
      <c r="I1484">
        <v>0.66555600000000004</v>
      </c>
    </row>
    <row r="1485" spans="1:9" x14ac:dyDescent="0.25">
      <c r="A1485">
        <v>2000630059</v>
      </c>
      <c r="B1485" t="s">
        <v>832</v>
      </c>
      <c r="C1485" t="s">
        <v>130</v>
      </c>
      <c r="D1485" t="s">
        <v>131</v>
      </c>
      <c r="E1485" s="2">
        <v>14</v>
      </c>
      <c r="F1485" t="s">
        <v>36</v>
      </c>
      <c r="G1485">
        <v>675</v>
      </c>
      <c r="H1485">
        <v>0</v>
      </c>
      <c r="I1485">
        <v>0.74</v>
      </c>
    </row>
    <row r="1486" spans="1:9" x14ac:dyDescent="0.25">
      <c r="A1486">
        <v>2000630059</v>
      </c>
      <c r="B1486" t="s">
        <v>832</v>
      </c>
      <c r="C1486" t="s">
        <v>126</v>
      </c>
      <c r="D1486" t="s">
        <v>127</v>
      </c>
      <c r="E1486" s="2">
        <v>123</v>
      </c>
      <c r="F1486" t="s">
        <v>36</v>
      </c>
      <c r="G1486" s="2">
        <v>0</v>
      </c>
      <c r="H1486">
        <v>0</v>
      </c>
      <c r="I1486">
        <v>0.86894300000000002</v>
      </c>
    </row>
    <row r="1487" spans="1:9" x14ac:dyDescent="0.25">
      <c r="A1487">
        <v>2000630059</v>
      </c>
      <c r="B1487" t="s">
        <v>832</v>
      </c>
      <c r="C1487" t="s">
        <v>137</v>
      </c>
      <c r="D1487" t="s">
        <v>138</v>
      </c>
      <c r="E1487" s="2">
        <v>0</v>
      </c>
      <c r="F1487" t="s">
        <v>36</v>
      </c>
      <c r="G1487">
        <v>0</v>
      </c>
      <c r="H1487">
        <v>25</v>
      </c>
      <c r="I1487">
        <v>0.80416699999999997</v>
      </c>
    </row>
    <row r="1488" spans="1:9" x14ac:dyDescent="0.25">
      <c r="A1488">
        <v>2000630063</v>
      </c>
      <c r="B1488" t="s">
        <v>833</v>
      </c>
      <c r="C1488" t="s">
        <v>130</v>
      </c>
      <c r="D1488" t="s">
        <v>131</v>
      </c>
      <c r="E1488" s="2">
        <v>2</v>
      </c>
      <c r="F1488" t="s">
        <v>147</v>
      </c>
      <c r="G1488">
        <v>482</v>
      </c>
      <c r="H1488" s="2">
        <v>5400</v>
      </c>
      <c r="I1488">
        <v>3.57</v>
      </c>
    </row>
    <row r="1489" spans="1:9" x14ac:dyDescent="0.25">
      <c r="A1489">
        <v>2000630063</v>
      </c>
      <c r="B1489" t="s">
        <v>833</v>
      </c>
      <c r="C1489" t="s">
        <v>126</v>
      </c>
      <c r="D1489" t="s">
        <v>127</v>
      </c>
      <c r="E1489" s="2">
        <v>98</v>
      </c>
      <c r="F1489" t="s">
        <v>147</v>
      </c>
      <c r="G1489">
        <v>0</v>
      </c>
      <c r="H1489">
        <v>0</v>
      </c>
      <c r="I1489">
        <v>3.5706120000000001</v>
      </c>
    </row>
    <row r="1490" spans="1:9" x14ac:dyDescent="0.25">
      <c r="A1490">
        <v>2000630063</v>
      </c>
      <c r="B1490" t="s">
        <v>833</v>
      </c>
      <c r="C1490" t="s">
        <v>139</v>
      </c>
      <c r="D1490" t="s">
        <v>140</v>
      </c>
      <c r="E1490" s="2">
        <v>0</v>
      </c>
      <c r="F1490" t="s">
        <v>147</v>
      </c>
      <c r="G1490" s="2">
        <v>5400</v>
      </c>
      <c r="H1490">
        <v>0</v>
      </c>
      <c r="I1490">
        <v>3.57</v>
      </c>
    </row>
    <row r="1491" spans="1:9" x14ac:dyDescent="0.25">
      <c r="A1491">
        <v>2000630064</v>
      </c>
      <c r="B1491" t="s">
        <v>834</v>
      </c>
      <c r="C1491" t="s">
        <v>130</v>
      </c>
      <c r="D1491" t="s">
        <v>131</v>
      </c>
      <c r="E1491" s="2">
        <v>3444</v>
      </c>
      <c r="F1491" t="s">
        <v>36</v>
      </c>
      <c r="G1491" s="2">
        <v>7096</v>
      </c>
      <c r="H1491">
        <v>34</v>
      </c>
      <c r="I1491">
        <v>0.50902400000000003</v>
      </c>
    </row>
    <row r="1492" spans="1:9" x14ac:dyDescent="0.25">
      <c r="A1492">
        <v>2000630064</v>
      </c>
      <c r="B1492" t="s">
        <v>834</v>
      </c>
      <c r="C1492" t="s">
        <v>142</v>
      </c>
      <c r="D1492" t="s">
        <v>143</v>
      </c>
      <c r="E1492" s="2">
        <v>1859</v>
      </c>
      <c r="F1492" t="s">
        <v>36</v>
      </c>
      <c r="G1492" s="2">
        <v>0</v>
      </c>
      <c r="H1492">
        <v>0</v>
      </c>
      <c r="I1492">
        <v>0.50902099999999995</v>
      </c>
    </row>
    <row r="1493" spans="1:9" x14ac:dyDescent="0.25">
      <c r="A1493">
        <v>2000630064</v>
      </c>
      <c r="B1493" t="s">
        <v>834</v>
      </c>
      <c r="C1493" t="s">
        <v>137</v>
      </c>
      <c r="D1493" t="s">
        <v>138</v>
      </c>
      <c r="E1493" s="2">
        <v>6</v>
      </c>
      <c r="F1493" t="s">
        <v>36</v>
      </c>
      <c r="G1493" s="2">
        <v>0</v>
      </c>
      <c r="H1493">
        <v>0</v>
      </c>
      <c r="I1493">
        <v>0.51666699999999999</v>
      </c>
    </row>
    <row r="1494" spans="1:9" x14ac:dyDescent="0.25">
      <c r="A1494">
        <v>2000630064</v>
      </c>
      <c r="B1494" t="s">
        <v>834</v>
      </c>
      <c r="C1494" t="s">
        <v>151</v>
      </c>
      <c r="D1494" t="s">
        <v>152</v>
      </c>
      <c r="E1494" s="2">
        <v>0</v>
      </c>
      <c r="F1494" t="s">
        <v>36</v>
      </c>
      <c r="G1494" s="2">
        <v>34</v>
      </c>
      <c r="H1494" s="2">
        <v>0</v>
      </c>
      <c r="I1494">
        <v>0.50903600000000004</v>
      </c>
    </row>
    <row r="1495" spans="1:9" x14ac:dyDescent="0.25">
      <c r="A1495">
        <v>2000630064</v>
      </c>
      <c r="B1495" t="s">
        <v>834</v>
      </c>
      <c r="C1495" t="s">
        <v>144</v>
      </c>
      <c r="D1495" t="s">
        <v>145</v>
      </c>
      <c r="E1495" s="2">
        <v>900</v>
      </c>
      <c r="F1495" t="s">
        <v>36</v>
      </c>
      <c r="G1495">
        <v>0</v>
      </c>
      <c r="H1495">
        <v>0</v>
      </c>
      <c r="I1495">
        <v>0.50902199999999997</v>
      </c>
    </row>
    <row r="1496" spans="1:9" x14ac:dyDescent="0.25">
      <c r="A1496">
        <v>2000630065</v>
      </c>
      <c r="B1496" t="s">
        <v>835</v>
      </c>
      <c r="C1496" t="s">
        <v>199</v>
      </c>
      <c r="D1496" t="s">
        <v>200</v>
      </c>
      <c r="E1496" s="2">
        <v>480</v>
      </c>
      <c r="F1496" t="s">
        <v>36</v>
      </c>
      <c r="G1496" s="2">
        <v>0</v>
      </c>
      <c r="H1496">
        <v>0</v>
      </c>
      <c r="I1496">
        <v>0.55262500000000003</v>
      </c>
    </row>
    <row r="1497" spans="1:9" x14ac:dyDescent="0.25">
      <c r="A1497">
        <v>2000630065</v>
      </c>
      <c r="B1497" t="s">
        <v>835</v>
      </c>
      <c r="C1497" t="s">
        <v>130</v>
      </c>
      <c r="D1497" t="s">
        <v>131</v>
      </c>
      <c r="E1497" s="2">
        <v>0</v>
      </c>
      <c r="F1497" t="s">
        <v>36</v>
      </c>
      <c r="G1497" s="2">
        <v>3113</v>
      </c>
      <c r="H1497" s="2">
        <v>22606</v>
      </c>
      <c r="I1497">
        <v>0.56039399999999995</v>
      </c>
    </row>
    <row r="1498" spans="1:9" x14ac:dyDescent="0.25">
      <c r="A1498">
        <v>2000630065</v>
      </c>
      <c r="B1498" t="s">
        <v>835</v>
      </c>
      <c r="C1498" t="s">
        <v>142</v>
      </c>
      <c r="D1498" t="s">
        <v>143</v>
      </c>
      <c r="E1498" s="2">
        <v>1778</v>
      </c>
      <c r="F1498" t="s">
        <v>36</v>
      </c>
      <c r="G1498">
        <v>0</v>
      </c>
      <c r="H1498">
        <v>81</v>
      </c>
      <c r="I1498">
        <v>0.56039399999999995</v>
      </c>
    </row>
    <row r="1499" spans="1:9" x14ac:dyDescent="0.25">
      <c r="A1499">
        <v>2000630065</v>
      </c>
      <c r="B1499" t="s">
        <v>835</v>
      </c>
      <c r="C1499" t="s">
        <v>137</v>
      </c>
      <c r="D1499" t="s">
        <v>138</v>
      </c>
      <c r="E1499" s="2">
        <v>21</v>
      </c>
      <c r="F1499" t="s">
        <v>36</v>
      </c>
      <c r="G1499" s="2">
        <v>0</v>
      </c>
      <c r="H1499" s="2">
        <v>0</v>
      </c>
      <c r="I1499">
        <v>0.54476199999999997</v>
      </c>
    </row>
    <row r="1500" spans="1:9" x14ac:dyDescent="0.25">
      <c r="A1500">
        <v>2000630065</v>
      </c>
      <c r="B1500" t="s">
        <v>835</v>
      </c>
      <c r="C1500" t="s">
        <v>139</v>
      </c>
      <c r="D1500" t="s">
        <v>140</v>
      </c>
      <c r="E1500" s="2">
        <v>4</v>
      </c>
      <c r="F1500" t="s">
        <v>36</v>
      </c>
      <c r="G1500" s="2">
        <v>22606</v>
      </c>
      <c r="H1500">
        <v>0</v>
      </c>
      <c r="I1500">
        <v>0.56999999999999995</v>
      </c>
    </row>
    <row r="1501" spans="1:9" x14ac:dyDescent="0.25">
      <c r="A1501">
        <v>2000630066</v>
      </c>
      <c r="B1501" t="s">
        <v>836</v>
      </c>
      <c r="C1501" t="s">
        <v>130</v>
      </c>
      <c r="D1501" t="s">
        <v>131</v>
      </c>
      <c r="E1501" s="2">
        <v>2</v>
      </c>
      <c r="F1501" t="s">
        <v>36</v>
      </c>
      <c r="G1501" s="2">
        <v>1383</v>
      </c>
      <c r="H1501">
        <v>120</v>
      </c>
      <c r="I1501">
        <v>0.76</v>
      </c>
    </row>
    <row r="1502" spans="1:9" x14ac:dyDescent="0.25">
      <c r="A1502">
        <v>2000630066</v>
      </c>
      <c r="B1502" t="s">
        <v>836</v>
      </c>
      <c r="C1502" t="s">
        <v>137</v>
      </c>
      <c r="D1502" t="s">
        <v>138</v>
      </c>
      <c r="E1502" s="2">
        <v>4</v>
      </c>
      <c r="F1502" t="s">
        <v>36</v>
      </c>
      <c r="G1502">
        <v>0</v>
      </c>
      <c r="H1502">
        <v>0</v>
      </c>
      <c r="I1502">
        <v>0.76</v>
      </c>
    </row>
    <row r="1503" spans="1:9" x14ac:dyDescent="0.25">
      <c r="A1503">
        <v>2000630066</v>
      </c>
      <c r="B1503" t="s">
        <v>836</v>
      </c>
      <c r="C1503" t="s">
        <v>151</v>
      </c>
      <c r="D1503" t="s">
        <v>152</v>
      </c>
      <c r="E1503" s="2">
        <v>564</v>
      </c>
      <c r="F1503" t="s">
        <v>36</v>
      </c>
      <c r="G1503">
        <v>0</v>
      </c>
      <c r="H1503">
        <v>0</v>
      </c>
      <c r="I1503">
        <v>0.76132999999999995</v>
      </c>
    </row>
    <row r="1504" spans="1:9" x14ac:dyDescent="0.25">
      <c r="A1504">
        <v>2000630067</v>
      </c>
      <c r="B1504" t="s">
        <v>837</v>
      </c>
      <c r="C1504" t="s">
        <v>130</v>
      </c>
      <c r="D1504" t="s">
        <v>131</v>
      </c>
      <c r="E1504" s="2">
        <v>285</v>
      </c>
      <c r="F1504" t="s">
        <v>36</v>
      </c>
      <c r="G1504" s="2">
        <v>3453</v>
      </c>
      <c r="H1504" s="2">
        <v>12504</v>
      </c>
      <c r="I1504">
        <v>0.99389499999999997</v>
      </c>
    </row>
    <row r="1505" spans="1:9" x14ac:dyDescent="0.25">
      <c r="A1505">
        <v>2000630067</v>
      </c>
      <c r="B1505" t="s">
        <v>837</v>
      </c>
      <c r="C1505" t="s">
        <v>151</v>
      </c>
      <c r="D1505" t="s">
        <v>152</v>
      </c>
      <c r="E1505" s="2">
        <v>0</v>
      </c>
      <c r="F1505" t="s">
        <v>36</v>
      </c>
      <c r="G1505" s="2">
        <v>12424</v>
      </c>
      <c r="H1505">
        <v>0</v>
      </c>
      <c r="I1505">
        <v>0.99358299999999999</v>
      </c>
    </row>
    <row r="1506" spans="1:9" x14ac:dyDescent="0.25">
      <c r="A1506">
        <v>2000630068</v>
      </c>
      <c r="B1506" t="s">
        <v>838</v>
      </c>
      <c r="C1506" t="s">
        <v>130</v>
      </c>
      <c r="D1506" t="s">
        <v>131</v>
      </c>
      <c r="E1506" s="2">
        <v>344</v>
      </c>
      <c r="F1506" t="s">
        <v>36</v>
      </c>
      <c r="G1506" s="2">
        <v>982</v>
      </c>
      <c r="H1506" s="2">
        <v>3901</v>
      </c>
      <c r="I1506">
        <v>1.3387500000000001</v>
      </c>
    </row>
    <row r="1507" spans="1:9" x14ac:dyDescent="0.25">
      <c r="A1507">
        <v>2000630068</v>
      </c>
      <c r="B1507" t="s">
        <v>838</v>
      </c>
      <c r="C1507" t="s">
        <v>151</v>
      </c>
      <c r="D1507" t="s">
        <v>152</v>
      </c>
      <c r="E1507" s="2">
        <v>0</v>
      </c>
      <c r="F1507" t="s">
        <v>36</v>
      </c>
      <c r="G1507" s="2">
        <v>3901</v>
      </c>
      <c r="H1507">
        <v>0</v>
      </c>
      <c r="I1507">
        <v>1.339432</v>
      </c>
    </row>
    <row r="1508" spans="1:9" x14ac:dyDescent="0.25">
      <c r="A1508">
        <v>2000630069</v>
      </c>
      <c r="B1508" t="s">
        <v>839</v>
      </c>
      <c r="C1508" t="s">
        <v>130</v>
      </c>
      <c r="D1508" t="s">
        <v>131</v>
      </c>
      <c r="E1508" s="2">
        <v>14</v>
      </c>
      <c r="F1508" t="s">
        <v>36</v>
      </c>
      <c r="G1508" s="2">
        <v>1655</v>
      </c>
      <c r="H1508">
        <v>0</v>
      </c>
      <c r="I1508">
        <v>0.8</v>
      </c>
    </row>
    <row r="1509" spans="1:9" x14ac:dyDescent="0.25">
      <c r="A1509">
        <v>2000630069</v>
      </c>
      <c r="B1509" t="s">
        <v>839</v>
      </c>
      <c r="C1509" t="s">
        <v>137</v>
      </c>
      <c r="D1509" t="s">
        <v>138</v>
      </c>
      <c r="E1509" s="2">
        <v>0</v>
      </c>
      <c r="F1509" t="s">
        <v>36</v>
      </c>
      <c r="G1509">
        <v>0</v>
      </c>
      <c r="H1509">
        <v>3</v>
      </c>
      <c r="I1509">
        <v>0.81444399999999995</v>
      </c>
    </row>
    <row r="1510" spans="1:9" x14ac:dyDescent="0.25">
      <c r="A1510">
        <v>2000630070</v>
      </c>
      <c r="B1510" t="s">
        <v>840</v>
      </c>
      <c r="C1510" t="s">
        <v>130</v>
      </c>
      <c r="D1510" t="s">
        <v>131</v>
      </c>
      <c r="E1510" s="2">
        <v>26</v>
      </c>
      <c r="F1510" t="s">
        <v>36</v>
      </c>
      <c r="G1510">
        <v>821</v>
      </c>
      <c r="H1510">
        <v>0</v>
      </c>
      <c r="I1510">
        <v>0.72692299999999999</v>
      </c>
    </row>
    <row r="1511" spans="1:9" x14ac:dyDescent="0.25">
      <c r="A1511">
        <v>2000630070</v>
      </c>
      <c r="B1511" t="s">
        <v>840</v>
      </c>
      <c r="C1511" t="s">
        <v>137</v>
      </c>
      <c r="D1511" t="s">
        <v>138</v>
      </c>
      <c r="E1511" s="2">
        <v>8</v>
      </c>
      <c r="F1511" t="s">
        <v>36</v>
      </c>
      <c r="G1511">
        <v>0</v>
      </c>
      <c r="H1511" s="2">
        <v>0</v>
      </c>
      <c r="I1511">
        <v>0.73499999999999999</v>
      </c>
    </row>
    <row r="1512" spans="1:9" x14ac:dyDescent="0.25">
      <c r="A1512">
        <v>2000630070</v>
      </c>
      <c r="B1512" t="s">
        <v>840</v>
      </c>
      <c r="C1512" t="s">
        <v>151</v>
      </c>
      <c r="D1512" t="s">
        <v>152</v>
      </c>
      <c r="E1512" s="2">
        <v>1488</v>
      </c>
      <c r="F1512" t="s">
        <v>36</v>
      </c>
      <c r="G1512">
        <v>0</v>
      </c>
      <c r="H1512">
        <v>0</v>
      </c>
      <c r="I1512">
        <v>0.72696899999999998</v>
      </c>
    </row>
    <row r="1513" spans="1:9" x14ac:dyDescent="0.25">
      <c r="A1513">
        <v>2000660034</v>
      </c>
      <c r="B1513" t="s">
        <v>841</v>
      </c>
      <c r="C1513" t="s">
        <v>130</v>
      </c>
      <c r="D1513" t="s">
        <v>131</v>
      </c>
      <c r="E1513" s="2">
        <v>77781</v>
      </c>
      <c r="F1513" t="s">
        <v>36</v>
      </c>
      <c r="G1513">
        <v>89</v>
      </c>
      <c r="H1513" s="2">
        <v>83500</v>
      </c>
      <c r="I1513">
        <v>1.4396800000000001</v>
      </c>
    </row>
    <row r="1514" spans="1:9" x14ac:dyDescent="0.25">
      <c r="A1514">
        <v>2000660034</v>
      </c>
      <c r="B1514" t="s">
        <v>841</v>
      </c>
      <c r="C1514" t="s">
        <v>137</v>
      </c>
      <c r="D1514" t="s">
        <v>138</v>
      </c>
      <c r="E1514" s="2">
        <v>4</v>
      </c>
      <c r="F1514" t="s">
        <v>36</v>
      </c>
      <c r="G1514">
        <v>0</v>
      </c>
      <c r="H1514">
        <v>37</v>
      </c>
      <c r="I1514">
        <v>1.4775</v>
      </c>
    </row>
    <row r="1515" spans="1:9" x14ac:dyDescent="0.25">
      <c r="A1515">
        <v>2000660034</v>
      </c>
      <c r="B1515" t="s">
        <v>841</v>
      </c>
      <c r="C1515" t="s">
        <v>151</v>
      </c>
      <c r="D1515" t="s">
        <v>152</v>
      </c>
      <c r="E1515" s="2">
        <v>800</v>
      </c>
      <c r="F1515" t="s">
        <v>36</v>
      </c>
      <c r="G1515">
        <v>0</v>
      </c>
      <c r="H1515">
        <v>0</v>
      </c>
      <c r="I1515">
        <v>1.4682379999999999</v>
      </c>
    </row>
    <row r="1516" spans="1:9" x14ac:dyDescent="0.25">
      <c r="A1516">
        <v>2000680047</v>
      </c>
      <c r="B1516" t="s">
        <v>842</v>
      </c>
      <c r="C1516" t="s">
        <v>130</v>
      </c>
      <c r="D1516" t="s">
        <v>131</v>
      </c>
      <c r="E1516" s="2">
        <v>0</v>
      </c>
      <c r="F1516" t="s">
        <v>36</v>
      </c>
      <c r="G1516">
        <v>160</v>
      </c>
      <c r="H1516">
        <v>0</v>
      </c>
      <c r="I1516">
        <v>3.4871590000000001</v>
      </c>
    </row>
    <row r="1517" spans="1:9" x14ac:dyDescent="0.25">
      <c r="A1517">
        <v>2000680047</v>
      </c>
      <c r="B1517" t="s">
        <v>842</v>
      </c>
      <c r="C1517" t="s">
        <v>167</v>
      </c>
      <c r="D1517" t="s">
        <v>168</v>
      </c>
      <c r="E1517" s="2">
        <v>1204</v>
      </c>
      <c r="F1517" t="s">
        <v>36</v>
      </c>
      <c r="G1517">
        <v>0</v>
      </c>
      <c r="H1517">
        <v>0</v>
      </c>
      <c r="I1517">
        <v>3.4871590000000001</v>
      </c>
    </row>
    <row r="1518" spans="1:9" x14ac:dyDescent="0.25">
      <c r="A1518">
        <v>2000680047</v>
      </c>
      <c r="B1518" t="s">
        <v>842</v>
      </c>
      <c r="C1518" t="s">
        <v>137</v>
      </c>
      <c r="D1518" t="s">
        <v>138</v>
      </c>
      <c r="E1518" s="2">
        <v>802</v>
      </c>
      <c r="F1518" t="s">
        <v>36</v>
      </c>
      <c r="G1518">
        <v>0</v>
      </c>
      <c r="H1518">
        <v>160</v>
      </c>
      <c r="I1518">
        <v>3.4871569999999998</v>
      </c>
    </row>
    <row r="1519" spans="1:9" x14ac:dyDescent="0.25">
      <c r="A1519">
        <v>2000740008</v>
      </c>
      <c r="B1519" t="s">
        <v>843</v>
      </c>
      <c r="C1519" t="s">
        <v>130</v>
      </c>
      <c r="D1519" t="s">
        <v>131</v>
      </c>
      <c r="E1519" s="2">
        <v>177647</v>
      </c>
      <c r="F1519" t="s">
        <v>36</v>
      </c>
      <c r="G1519">
        <v>888</v>
      </c>
      <c r="H1519">
        <v>0</v>
      </c>
      <c r="I1519">
        <v>0.65383199999999997</v>
      </c>
    </row>
    <row r="1520" spans="1:9" x14ac:dyDescent="0.25">
      <c r="A1520">
        <v>2000740008</v>
      </c>
      <c r="B1520" t="s">
        <v>843</v>
      </c>
      <c r="C1520" t="s">
        <v>126</v>
      </c>
      <c r="D1520" t="s">
        <v>127</v>
      </c>
      <c r="E1520" s="2">
        <v>35862</v>
      </c>
      <c r="F1520" t="s">
        <v>36</v>
      </c>
      <c r="G1520" s="2">
        <v>0</v>
      </c>
      <c r="H1520">
        <v>0</v>
      </c>
      <c r="I1520">
        <v>0.69445299999999999</v>
      </c>
    </row>
    <row r="1521" spans="1:9" x14ac:dyDescent="0.25">
      <c r="A1521">
        <v>2000740008</v>
      </c>
      <c r="B1521" t="s">
        <v>843</v>
      </c>
      <c r="C1521" t="s">
        <v>137</v>
      </c>
      <c r="D1521" t="s">
        <v>138</v>
      </c>
      <c r="E1521" s="2">
        <v>36</v>
      </c>
      <c r="F1521" t="s">
        <v>36</v>
      </c>
      <c r="G1521">
        <v>0</v>
      </c>
      <c r="H1521">
        <v>0</v>
      </c>
      <c r="I1521">
        <v>0.66249999999999998</v>
      </c>
    </row>
    <row r="1522" spans="1:9" x14ac:dyDescent="0.25">
      <c r="A1522">
        <v>2000740011</v>
      </c>
      <c r="B1522" t="s">
        <v>844</v>
      </c>
      <c r="C1522" t="s">
        <v>130</v>
      </c>
      <c r="D1522" t="s">
        <v>131</v>
      </c>
      <c r="E1522" s="2">
        <v>10</v>
      </c>
      <c r="F1522" t="s">
        <v>36</v>
      </c>
      <c r="G1522">
        <v>0</v>
      </c>
      <c r="H1522">
        <v>0</v>
      </c>
      <c r="I1522">
        <v>0.55600000000000005</v>
      </c>
    </row>
    <row r="1523" spans="1:9" x14ac:dyDescent="0.25">
      <c r="A1523">
        <v>2000740011</v>
      </c>
      <c r="B1523" t="s">
        <v>844</v>
      </c>
      <c r="C1523" t="s">
        <v>126</v>
      </c>
      <c r="D1523" t="s">
        <v>127</v>
      </c>
      <c r="E1523" s="2">
        <v>228</v>
      </c>
      <c r="F1523" t="s">
        <v>36</v>
      </c>
      <c r="G1523">
        <v>0</v>
      </c>
      <c r="H1523">
        <v>0</v>
      </c>
      <c r="I1523">
        <v>0.55631600000000003</v>
      </c>
    </row>
    <row r="1524" spans="1:9" x14ac:dyDescent="0.25">
      <c r="A1524">
        <v>2000740012</v>
      </c>
      <c r="B1524" t="s">
        <v>845</v>
      </c>
      <c r="C1524" t="s">
        <v>126</v>
      </c>
      <c r="D1524" t="s">
        <v>127</v>
      </c>
      <c r="E1524" s="2">
        <v>13</v>
      </c>
      <c r="F1524" t="s">
        <v>36</v>
      </c>
      <c r="G1524">
        <v>0</v>
      </c>
      <c r="H1524">
        <v>0</v>
      </c>
      <c r="I1524">
        <v>0.79230800000000001</v>
      </c>
    </row>
    <row r="1525" spans="1:9" x14ac:dyDescent="0.25">
      <c r="A1525">
        <v>2000740013</v>
      </c>
      <c r="B1525" t="s">
        <v>846</v>
      </c>
      <c r="C1525" t="s">
        <v>126</v>
      </c>
      <c r="D1525" t="s">
        <v>127</v>
      </c>
      <c r="E1525" s="2">
        <v>117</v>
      </c>
      <c r="F1525" t="s">
        <v>36</v>
      </c>
      <c r="G1525">
        <v>0</v>
      </c>
      <c r="H1525">
        <v>0</v>
      </c>
      <c r="I1525">
        <v>1.9258120000000001</v>
      </c>
    </row>
    <row r="1526" spans="1:9" x14ac:dyDescent="0.25">
      <c r="A1526">
        <v>2000770020</v>
      </c>
      <c r="B1526" t="s">
        <v>847</v>
      </c>
      <c r="C1526" t="s">
        <v>126</v>
      </c>
      <c r="D1526" t="s">
        <v>127</v>
      </c>
      <c r="E1526" s="2">
        <v>2</v>
      </c>
      <c r="F1526" t="s">
        <v>36</v>
      </c>
      <c r="G1526">
        <v>0</v>
      </c>
      <c r="H1526">
        <v>0</v>
      </c>
      <c r="I1526">
        <v>0.93500000000000005</v>
      </c>
    </row>
    <row r="1527" spans="1:9" x14ac:dyDescent="0.25">
      <c r="A1527">
        <v>2000770021</v>
      </c>
      <c r="B1527" t="s">
        <v>848</v>
      </c>
      <c r="C1527" t="s">
        <v>130</v>
      </c>
      <c r="D1527" t="s">
        <v>131</v>
      </c>
      <c r="E1527" s="2">
        <v>23176</v>
      </c>
      <c r="F1527" t="s">
        <v>36</v>
      </c>
      <c r="G1527">
        <v>21</v>
      </c>
      <c r="H1527" s="2">
        <v>0</v>
      </c>
      <c r="I1527">
        <v>0.66403999999999996</v>
      </c>
    </row>
    <row r="1528" spans="1:9" x14ac:dyDescent="0.25">
      <c r="A1528">
        <v>2000770021</v>
      </c>
      <c r="B1528" t="s">
        <v>848</v>
      </c>
      <c r="C1528" t="s">
        <v>144</v>
      </c>
      <c r="D1528" t="s">
        <v>145</v>
      </c>
      <c r="E1528" s="2">
        <v>0</v>
      </c>
      <c r="F1528" t="s">
        <v>36</v>
      </c>
      <c r="G1528">
        <v>0</v>
      </c>
      <c r="H1528">
        <v>12</v>
      </c>
      <c r="I1528">
        <v>0.66404200000000002</v>
      </c>
    </row>
    <row r="1529" spans="1:9" x14ac:dyDescent="0.25">
      <c r="A1529">
        <v>2000830016</v>
      </c>
      <c r="B1529" t="s">
        <v>849</v>
      </c>
      <c r="C1529" t="s">
        <v>126</v>
      </c>
      <c r="D1529" t="s">
        <v>127</v>
      </c>
      <c r="E1529" s="2">
        <v>60</v>
      </c>
      <c r="F1529" t="s">
        <v>742</v>
      </c>
      <c r="G1529">
        <v>0</v>
      </c>
      <c r="H1529">
        <v>0</v>
      </c>
      <c r="I1529">
        <v>2.0506669999999998</v>
      </c>
    </row>
    <row r="1530" spans="1:9" x14ac:dyDescent="0.25">
      <c r="A1530">
        <v>2000830031</v>
      </c>
      <c r="B1530" t="s">
        <v>850</v>
      </c>
      <c r="C1530" t="s">
        <v>130</v>
      </c>
      <c r="D1530" t="s">
        <v>131</v>
      </c>
      <c r="E1530" s="2">
        <v>0</v>
      </c>
      <c r="F1530" t="s">
        <v>36</v>
      </c>
      <c r="G1530" s="2">
        <v>0</v>
      </c>
      <c r="H1530">
        <v>64</v>
      </c>
      <c r="I1530">
        <v>0</v>
      </c>
    </row>
    <row r="1531" spans="1:9" x14ac:dyDescent="0.25">
      <c r="A1531">
        <v>2000830031</v>
      </c>
      <c r="B1531" t="s">
        <v>850</v>
      </c>
      <c r="C1531" t="s">
        <v>139</v>
      </c>
      <c r="D1531" t="s">
        <v>140</v>
      </c>
      <c r="E1531" s="2">
        <v>64</v>
      </c>
      <c r="F1531" t="s">
        <v>36</v>
      </c>
      <c r="G1531">
        <v>64</v>
      </c>
      <c r="H1531">
        <v>0</v>
      </c>
      <c r="I1531">
        <v>1.362344</v>
      </c>
    </row>
    <row r="1532" spans="1:9" x14ac:dyDescent="0.25">
      <c r="A1532">
        <v>2000840006</v>
      </c>
      <c r="B1532" t="s">
        <v>851</v>
      </c>
      <c r="C1532" t="s">
        <v>130</v>
      </c>
      <c r="D1532" t="s">
        <v>131</v>
      </c>
      <c r="E1532" s="2">
        <v>0</v>
      </c>
      <c r="F1532" t="s">
        <v>36</v>
      </c>
      <c r="G1532">
        <v>0</v>
      </c>
      <c r="H1532">
        <v>1</v>
      </c>
      <c r="I1532">
        <v>0</v>
      </c>
    </row>
    <row r="1533" spans="1:9" x14ac:dyDescent="0.25">
      <c r="A1533">
        <v>2000840006</v>
      </c>
      <c r="B1533" t="s">
        <v>851</v>
      </c>
      <c r="C1533" t="s">
        <v>139</v>
      </c>
      <c r="D1533" t="s">
        <v>140</v>
      </c>
      <c r="E1533" s="2">
        <v>1</v>
      </c>
      <c r="F1533" t="s">
        <v>36</v>
      </c>
      <c r="G1533" s="2">
        <v>1</v>
      </c>
      <c r="H1533">
        <v>0</v>
      </c>
      <c r="I1533">
        <v>5.12</v>
      </c>
    </row>
    <row r="1534" spans="1:9" x14ac:dyDescent="0.25">
      <c r="A1534">
        <v>2000840024</v>
      </c>
      <c r="B1534" t="s">
        <v>852</v>
      </c>
      <c r="C1534" t="s">
        <v>130</v>
      </c>
      <c r="D1534" t="s">
        <v>131</v>
      </c>
      <c r="E1534" s="2">
        <v>0</v>
      </c>
      <c r="F1534" t="s">
        <v>36</v>
      </c>
      <c r="G1534">
        <v>0</v>
      </c>
      <c r="H1534">
        <v>114</v>
      </c>
      <c r="I1534">
        <v>0</v>
      </c>
    </row>
    <row r="1535" spans="1:9" x14ac:dyDescent="0.25">
      <c r="A1535">
        <v>2000840024</v>
      </c>
      <c r="B1535" t="s">
        <v>852</v>
      </c>
      <c r="C1535" t="s">
        <v>139</v>
      </c>
      <c r="D1535" t="s">
        <v>140</v>
      </c>
      <c r="E1535" s="2">
        <v>114</v>
      </c>
      <c r="F1535" t="s">
        <v>36</v>
      </c>
      <c r="G1535">
        <v>114</v>
      </c>
      <c r="H1535">
        <v>0</v>
      </c>
      <c r="I1535">
        <v>0.253772</v>
      </c>
    </row>
    <row r="1536" spans="1:9" x14ac:dyDescent="0.25">
      <c r="A1536">
        <v>2000840033</v>
      </c>
      <c r="B1536" t="s">
        <v>853</v>
      </c>
      <c r="C1536" t="s">
        <v>130</v>
      </c>
      <c r="D1536" t="s">
        <v>131</v>
      </c>
      <c r="E1536" s="2">
        <v>0</v>
      </c>
      <c r="F1536" t="s">
        <v>742</v>
      </c>
      <c r="G1536">
        <v>0</v>
      </c>
      <c r="H1536">
        <v>12</v>
      </c>
      <c r="I1536">
        <v>0</v>
      </c>
    </row>
    <row r="1537" spans="1:9" x14ac:dyDescent="0.25">
      <c r="A1537">
        <v>2000840033</v>
      </c>
      <c r="B1537" t="s">
        <v>853</v>
      </c>
      <c r="C1537" t="s">
        <v>139</v>
      </c>
      <c r="D1537" t="s">
        <v>140</v>
      </c>
      <c r="E1537" s="2">
        <v>12</v>
      </c>
      <c r="F1537" t="s">
        <v>742</v>
      </c>
      <c r="G1537" s="2">
        <v>12</v>
      </c>
      <c r="H1537">
        <v>0</v>
      </c>
      <c r="I1537">
        <v>13.120832999999999</v>
      </c>
    </row>
    <row r="1538" spans="1:9" x14ac:dyDescent="0.25">
      <c r="A1538">
        <v>2000840035</v>
      </c>
      <c r="B1538" t="s">
        <v>854</v>
      </c>
      <c r="C1538" t="s">
        <v>130</v>
      </c>
      <c r="D1538" t="s">
        <v>131</v>
      </c>
      <c r="E1538" s="2">
        <v>0</v>
      </c>
      <c r="F1538" t="s">
        <v>36</v>
      </c>
      <c r="G1538">
        <v>0</v>
      </c>
      <c r="H1538">
        <v>103</v>
      </c>
      <c r="I1538">
        <v>0</v>
      </c>
    </row>
    <row r="1539" spans="1:9" x14ac:dyDescent="0.25">
      <c r="A1539">
        <v>2000840035</v>
      </c>
      <c r="B1539" t="s">
        <v>854</v>
      </c>
      <c r="C1539" t="s">
        <v>139</v>
      </c>
      <c r="D1539" t="s">
        <v>140</v>
      </c>
      <c r="E1539" s="2">
        <v>103</v>
      </c>
      <c r="F1539" t="s">
        <v>36</v>
      </c>
      <c r="G1539">
        <v>103</v>
      </c>
      <c r="H1539">
        <v>0</v>
      </c>
      <c r="I1539">
        <v>1.578058</v>
      </c>
    </row>
    <row r="1540" spans="1:9" x14ac:dyDescent="0.25">
      <c r="A1540">
        <v>2000840037</v>
      </c>
      <c r="B1540" t="s">
        <v>855</v>
      </c>
      <c r="C1540" t="s">
        <v>130</v>
      </c>
      <c r="D1540" t="s">
        <v>131</v>
      </c>
      <c r="E1540" s="2">
        <v>0</v>
      </c>
      <c r="F1540" t="s">
        <v>742</v>
      </c>
      <c r="G1540">
        <v>0</v>
      </c>
      <c r="H1540">
        <v>132</v>
      </c>
      <c r="I1540">
        <v>0</v>
      </c>
    </row>
    <row r="1541" spans="1:9" x14ac:dyDescent="0.25">
      <c r="A1541">
        <v>2000840037</v>
      </c>
      <c r="B1541" t="s">
        <v>855</v>
      </c>
      <c r="C1541" t="s">
        <v>139</v>
      </c>
      <c r="D1541" t="s">
        <v>140</v>
      </c>
      <c r="E1541" s="2">
        <v>132</v>
      </c>
      <c r="F1541" t="s">
        <v>742</v>
      </c>
      <c r="G1541" s="2">
        <v>132</v>
      </c>
      <c r="H1541">
        <v>0</v>
      </c>
      <c r="I1541">
        <v>12.975909</v>
      </c>
    </row>
    <row r="1542" spans="1:9" x14ac:dyDescent="0.25">
      <c r="A1542">
        <v>2000840045</v>
      </c>
      <c r="B1542" t="s">
        <v>856</v>
      </c>
      <c r="C1542" t="s">
        <v>130</v>
      </c>
      <c r="D1542" t="s">
        <v>131</v>
      </c>
      <c r="E1542" s="2">
        <v>0</v>
      </c>
      <c r="F1542" t="s">
        <v>36</v>
      </c>
      <c r="G1542">
        <v>0</v>
      </c>
      <c r="H1542">
        <v>5</v>
      </c>
      <c r="I1542">
        <v>0</v>
      </c>
    </row>
    <row r="1543" spans="1:9" x14ac:dyDescent="0.25">
      <c r="A1543">
        <v>2000840045</v>
      </c>
      <c r="B1543" t="s">
        <v>856</v>
      </c>
      <c r="C1543" t="s">
        <v>139</v>
      </c>
      <c r="D1543" t="s">
        <v>140</v>
      </c>
      <c r="E1543" s="2">
        <v>5</v>
      </c>
      <c r="F1543" t="s">
        <v>36</v>
      </c>
      <c r="G1543">
        <v>5</v>
      </c>
      <c r="H1543">
        <v>0</v>
      </c>
      <c r="I1543">
        <v>2.1120000000000001</v>
      </c>
    </row>
    <row r="1544" spans="1:9" x14ac:dyDescent="0.25">
      <c r="A1544">
        <v>2000840048</v>
      </c>
      <c r="B1544" t="s">
        <v>857</v>
      </c>
      <c r="C1544" t="s">
        <v>130</v>
      </c>
      <c r="D1544" t="s">
        <v>131</v>
      </c>
      <c r="E1544" s="2">
        <v>0</v>
      </c>
      <c r="F1544" t="s">
        <v>36</v>
      </c>
      <c r="G1544" s="2">
        <v>0</v>
      </c>
      <c r="H1544">
        <v>5</v>
      </c>
      <c r="I1544">
        <v>0</v>
      </c>
    </row>
    <row r="1545" spans="1:9" x14ac:dyDescent="0.25">
      <c r="A1545">
        <v>2000840048</v>
      </c>
      <c r="B1545" t="s">
        <v>857</v>
      </c>
      <c r="C1545" t="s">
        <v>139</v>
      </c>
      <c r="D1545" t="s">
        <v>140</v>
      </c>
      <c r="E1545" s="2">
        <v>5</v>
      </c>
      <c r="F1545" t="s">
        <v>36</v>
      </c>
      <c r="G1545">
        <v>5</v>
      </c>
      <c r="H1545">
        <v>0</v>
      </c>
      <c r="I1545">
        <v>5.7960000000000003</v>
      </c>
    </row>
    <row r="1546" spans="1:9" x14ac:dyDescent="0.25">
      <c r="A1546">
        <v>2000840060</v>
      </c>
      <c r="B1546" t="s">
        <v>858</v>
      </c>
      <c r="C1546" t="s">
        <v>130</v>
      </c>
      <c r="D1546" t="s">
        <v>131</v>
      </c>
      <c r="E1546" s="2">
        <v>0</v>
      </c>
      <c r="F1546" t="s">
        <v>36</v>
      </c>
      <c r="G1546">
        <v>0</v>
      </c>
      <c r="H1546">
        <v>8</v>
      </c>
      <c r="I1546">
        <v>0</v>
      </c>
    </row>
    <row r="1547" spans="1:9" x14ac:dyDescent="0.25">
      <c r="A1547">
        <v>2000840060</v>
      </c>
      <c r="B1547" t="s">
        <v>858</v>
      </c>
      <c r="C1547" t="s">
        <v>139</v>
      </c>
      <c r="D1547" t="s">
        <v>140</v>
      </c>
      <c r="E1547" s="2">
        <v>8</v>
      </c>
      <c r="F1547" t="s">
        <v>36</v>
      </c>
      <c r="G1547" s="2">
        <v>8</v>
      </c>
      <c r="H1547">
        <v>0</v>
      </c>
      <c r="I1547">
        <v>1.6012500000000001</v>
      </c>
    </row>
    <row r="1548" spans="1:9" x14ac:dyDescent="0.25">
      <c r="A1548">
        <v>2000840062</v>
      </c>
      <c r="B1548" t="s">
        <v>859</v>
      </c>
      <c r="C1548" t="s">
        <v>130</v>
      </c>
      <c r="D1548" t="s">
        <v>131</v>
      </c>
      <c r="E1548" s="2">
        <v>0</v>
      </c>
      <c r="F1548" t="s">
        <v>36</v>
      </c>
      <c r="G1548">
        <v>0</v>
      </c>
      <c r="H1548">
        <v>6</v>
      </c>
      <c r="I1548">
        <v>0</v>
      </c>
    </row>
    <row r="1549" spans="1:9" x14ac:dyDescent="0.25">
      <c r="A1549">
        <v>2000840062</v>
      </c>
      <c r="B1549" t="s">
        <v>859</v>
      </c>
      <c r="C1549" t="s">
        <v>139</v>
      </c>
      <c r="D1549" t="s">
        <v>140</v>
      </c>
      <c r="E1549" s="2">
        <v>6</v>
      </c>
      <c r="F1549" t="s">
        <v>36</v>
      </c>
      <c r="G1549">
        <v>6</v>
      </c>
      <c r="H1549">
        <v>0</v>
      </c>
      <c r="I1549">
        <v>1.55</v>
      </c>
    </row>
    <row r="1550" spans="1:9" x14ac:dyDescent="0.25">
      <c r="A1550">
        <v>2000840064</v>
      </c>
      <c r="B1550" t="s">
        <v>860</v>
      </c>
      <c r="C1550" t="s">
        <v>130</v>
      </c>
      <c r="D1550" t="s">
        <v>131</v>
      </c>
      <c r="E1550" s="2">
        <v>0</v>
      </c>
      <c r="F1550" t="s">
        <v>36</v>
      </c>
      <c r="G1550">
        <v>0</v>
      </c>
      <c r="H1550">
        <v>6</v>
      </c>
      <c r="I1550">
        <v>0</v>
      </c>
    </row>
    <row r="1551" spans="1:9" x14ac:dyDescent="0.25">
      <c r="A1551">
        <v>2000840064</v>
      </c>
      <c r="B1551" t="s">
        <v>860</v>
      </c>
      <c r="C1551" t="s">
        <v>139</v>
      </c>
      <c r="D1551" t="s">
        <v>140</v>
      </c>
      <c r="E1551" s="2">
        <v>6</v>
      </c>
      <c r="F1551" t="s">
        <v>36</v>
      </c>
      <c r="G1551" s="2">
        <v>6</v>
      </c>
      <c r="H1551">
        <v>0</v>
      </c>
      <c r="I1551">
        <v>1.4783329999999999</v>
      </c>
    </row>
    <row r="1552" spans="1:9" x14ac:dyDescent="0.25">
      <c r="A1552">
        <v>2000840065</v>
      </c>
      <c r="B1552" t="s">
        <v>861</v>
      </c>
      <c r="C1552" t="s">
        <v>130</v>
      </c>
      <c r="D1552" t="s">
        <v>131</v>
      </c>
      <c r="E1552" s="2">
        <v>9</v>
      </c>
      <c r="F1552" t="s">
        <v>36</v>
      </c>
      <c r="G1552" s="2">
        <v>0</v>
      </c>
      <c r="H1552">
        <v>0</v>
      </c>
      <c r="I1552">
        <v>3.298889</v>
      </c>
    </row>
    <row r="1553" spans="1:9" x14ac:dyDescent="0.25">
      <c r="A1553">
        <v>2000840066</v>
      </c>
      <c r="B1553" t="s">
        <v>862</v>
      </c>
      <c r="C1553" t="s">
        <v>130</v>
      </c>
      <c r="D1553" t="s">
        <v>131</v>
      </c>
      <c r="E1553" s="2">
        <v>0</v>
      </c>
      <c r="F1553" t="s">
        <v>36</v>
      </c>
      <c r="G1553">
        <v>0</v>
      </c>
      <c r="H1553">
        <v>2</v>
      </c>
      <c r="I1553">
        <v>0</v>
      </c>
    </row>
    <row r="1554" spans="1:9" x14ac:dyDescent="0.25">
      <c r="A1554">
        <v>2000840066</v>
      </c>
      <c r="B1554" t="s">
        <v>862</v>
      </c>
      <c r="C1554" t="s">
        <v>139</v>
      </c>
      <c r="D1554" t="s">
        <v>140</v>
      </c>
      <c r="E1554" s="2">
        <v>2</v>
      </c>
      <c r="F1554" t="s">
        <v>36</v>
      </c>
      <c r="G1554">
        <v>2</v>
      </c>
      <c r="H1554">
        <v>0</v>
      </c>
      <c r="I1554">
        <v>2.7050000000000001</v>
      </c>
    </row>
    <row r="1555" spans="1:9" x14ac:dyDescent="0.25">
      <c r="A1555">
        <v>2000840070</v>
      </c>
      <c r="B1555" t="s">
        <v>863</v>
      </c>
      <c r="C1555" t="s">
        <v>130</v>
      </c>
      <c r="D1555" t="s">
        <v>131</v>
      </c>
      <c r="E1555" s="2">
        <v>0</v>
      </c>
      <c r="F1555" t="s">
        <v>36</v>
      </c>
      <c r="G1555">
        <v>0</v>
      </c>
      <c r="H1555">
        <v>4</v>
      </c>
      <c r="I1555">
        <v>0</v>
      </c>
    </row>
    <row r="1556" spans="1:9" x14ac:dyDescent="0.25">
      <c r="A1556">
        <v>2000840070</v>
      </c>
      <c r="B1556" t="s">
        <v>863</v>
      </c>
      <c r="C1556" t="s">
        <v>139</v>
      </c>
      <c r="D1556" t="s">
        <v>140</v>
      </c>
      <c r="E1556" s="2">
        <v>4</v>
      </c>
      <c r="F1556" t="s">
        <v>36</v>
      </c>
      <c r="G1556">
        <v>4</v>
      </c>
      <c r="H1556">
        <v>0</v>
      </c>
      <c r="I1556">
        <v>1.2875000000000001</v>
      </c>
    </row>
    <row r="1557" spans="1:9" x14ac:dyDescent="0.25">
      <c r="A1557">
        <v>2000840071</v>
      </c>
      <c r="B1557" t="s">
        <v>864</v>
      </c>
      <c r="C1557" t="s">
        <v>130</v>
      </c>
      <c r="D1557" t="s">
        <v>131</v>
      </c>
      <c r="E1557" s="2">
        <v>0</v>
      </c>
      <c r="F1557" t="s">
        <v>36</v>
      </c>
      <c r="G1557" s="2">
        <v>0</v>
      </c>
      <c r="H1557">
        <v>12</v>
      </c>
      <c r="I1557">
        <v>0</v>
      </c>
    </row>
    <row r="1558" spans="1:9" x14ac:dyDescent="0.25">
      <c r="A1558">
        <v>2000840071</v>
      </c>
      <c r="B1558" t="s">
        <v>864</v>
      </c>
      <c r="C1558" t="s">
        <v>139</v>
      </c>
      <c r="D1558" t="s">
        <v>140</v>
      </c>
      <c r="E1558" s="2">
        <v>12</v>
      </c>
      <c r="F1558" t="s">
        <v>36</v>
      </c>
      <c r="G1558">
        <v>12</v>
      </c>
      <c r="H1558">
        <v>0</v>
      </c>
      <c r="I1558">
        <v>1.286667</v>
      </c>
    </row>
    <row r="1559" spans="1:9" x14ac:dyDescent="0.25">
      <c r="A1559">
        <v>2000840072</v>
      </c>
      <c r="B1559" t="s">
        <v>865</v>
      </c>
      <c r="C1559" t="s">
        <v>130</v>
      </c>
      <c r="D1559" t="s">
        <v>131</v>
      </c>
      <c r="E1559" s="2">
        <v>0</v>
      </c>
      <c r="F1559" t="s">
        <v>36</v>
      </c>
      <c r="G1559">
        <v>0</v>
      </c>
      <c r="H1559">
        <v>55</v>
      </c>
      <c r="I1559">
        <v>0</v>
      </c>
    </row>
    <row r="1560" spans="1:9" x14ac:dyDescent="0.25">
      <c r="A1560">
        <v>2000840072</v>
      </c>
      <c r="B1560" t="s">
        <v>865</v>
      </c>
      <c r="C1560" t="s">
        <v>139</v>
      </c>
      <c r="D1560" t="s">
        <v>140</v>
      </c>
      <c r="E1560" s="2">
        <v>55</v>
      </c>
      <c r="F1560" t="s">
        <v>36</v>
      </c>
      <c r="G1560">
        <v>55</v>
      </c>
      <c r="H1560">
        <v>0</v>
      </c>
      <c r="I1560">
        <v>5.5632729999999997</v>
      </c>
    </row>
    <row r="1561" spans="1:9" x14ac:dyDescent="0.25">
      <c r="A1561" s="1">
        <v>2000840073</v>
      </c>
      <c r="B1561" s="1" t="s">
        <v>866</v>
      </c>
      <c r="C1561" s="1" t="s">
        <v>130</v>
      </c>
      <c r="D1561" s="1" t="s">
        <v>131</v>
      </c>
      <c r="E1561" s="3">
        <v>0</v>
      </c>
      <c r="F1561" s="1" t="s">
        <v>36</v>
      </c>
      <c r="G1561" s="1">
        <v>0</v>
      </c>
      <c r="H1561" s="1">
        <v>6</v>
      </c>
      <c r="I1561" s="1">
        <v>0</v>
      </c>
    </row>
    <row r="1562" spans="1:9" x14ac:dyDescent="0.25">
      <c r="A1562">
        <v>2000840073</v>
      </c>
      <c r="B1562" t="s">
        <v>866</v>
      </c>
      <c r="C1562" t="s">
        <v>139</v>
      </c>
      <c r="D1562" t="s">
        <v>140</v>
      </c>
      <c r="E1562" s="2">
        <v>6</v>
      </c>
      <c r="F1562" t="s">
        <v>36</v>
      </c>
      <c r="G1562" s="2">
        <v>6</v>
      </c>
      <c r="H1562">
        <v>0</v>
      </c>
      <c r="I1562">
        <v>6.5116670000000001</v>
      </c>
    </row>
    <row r="1563" spans="1:9" x14ac:dyDescent="0.25">
      <c r="A1563">
        <v>2000840075</v>
      </c>
      <c r="B1563" t="s">
        <v>867</v>
      </c>
      <c r="C1563" t="s">
        <v>130</v>
      </c>
      <c r="D1563" t="s">
        <v>131</v>
      </c>
      <c r="E1563" s="2">
        <v>1</v>
      </c>
      <c r="F1563" t="s">
        <v>36</v>
      </c>
      <c r="G1563">
        <v>0</v>
      </c>
      <c r="H1563">
        <v>0</v>
      </c>
      <c r="I1563">
        <v>1.18</v>
      </c>
    </row>
    <row r="1564" spans="1:9" x14ac:dyDescent="0.25">
      <c r="A1564">
        <v>2000840076</v>
      </c>
      <c r="B1564" t="s">
        <v>868</v>
      </c>
      <c r="C1564" t="s">
        <v>130</v>
      </c>
      <c r="D1564" t="s">
        <v>131</v>
      </c>
      <c r="E1564" s="2">
        <v>7</v>
      </c>
      <c r="F1564" t="s">
        <v>36</v>
      </c>
      <c r="G1564">
        <v>0</v>
      </c>
      <c r="H1564">
        <v>0</v>
      </c>
      <c r="I1564">
        <v>1.2928569999999999</v>
      </c>
    </row>
    <row r="1565" spans="1:9" x14ac:dyDescent="0.25">
      <c r="A1565">
        <v>2000840077</v>
      </c>
      <c r="B1565" t="s">
        <v>869</v>
      </c>
      <c r="C1565" t="s">
        <v>130</v>
      </c>
      <c r="D1565" t="s">
        <v>131</v>
      </c>
      <c r="E1565" s="2">
        <v>3738</v>
      </c>
      <c r="F1565" t="s">
        <v>36</v>
      </c>
      <c r="G1565">
        <v>0</v>
      </c>
      <c r="H1565">
        <v>0</v>
      </c>
      <c r="I1565">
        <v>1.7586649999999999</v>
      </c>
    </row>
    <row r="1566" spans="1:9" x14ac:dyDescent="0.25">
      <c r="A1566">
        <v>2000840077</v>
      </c>
      <c r="B1566" t="s">
        <v>869</v>
      </c>
      <c r="C1566" t="s">
        <v>137</v>
      </c>
      <c r="D1566" t="s">
        <v>138</v>
      </c>
      <c r="E1566" s="2">
        <v>0</v>
      </c>
      <c r="F1566" t="s">
        <v>36</v>
      </c>
      <c r="G1566">
        <v>1</v>
      </c>
      <c r="H1566" s="2">
        <v>0</v>
      </c>
      <c r="I1566">
        <v>0</v>
      </c>
    </row>
    <row r="1567" spans="1:9" x14ac:dyDescent="0.25">
      <c r="A1567">
        <v>2000840078</v>
      </c>
      <c r="B1567" t="s">
        <v>870</v>
      </c>
      <c r="C1567" t="s">
        <v>130</v>
      </c>
      <c r="D1567" t="s">
        <v>131</v>
      </c>
      <c r="E1567" s="2">
        <v>6</v>
      </c>
      <c r="F1567" t="s">
        <v>36</v>
      </c>
      <c r="G1567">
        <v>0</v>
      </c>
      <c r="H1567">
        <v>0</v>
      </c>
      <c r="I1567">
        <v>1.4083330000000001</v>
      </c>
    </row>
    <row r="1568" spans="1:9" x14ac:dyDescent="0.25">
      <c r="A1568">
        <v>2000840079</v>
      </c>
      <c r="B1568" t="s">
        <v>871</v>
      </c>
      <c r="C1568" t="s">
        <v>130</v>
      </c>
      <c r="D1568" t="s">
        <v>131</v>
      </c>
      <c r="E1568" s="2">
        <v>5</v>
      </c>
      <c r="F1568" t="s">
        <v>36</v>
      </c>
      <c r="G1568" s="2">
        <v>0</v>
      </c>
      <c r="H1568">
        <v>0</v>
      </c>
      <c r="I1568">
        <v>1.89</v>
      </c>
    </row>
    <row r="1569" spans="1:9" x14ac:dyDescent="0.25">
      <c r="A1569">
        <v>2000840081</v>
      </c>
      <c r="B1569" t="s">
        <v>872</v>
      </c>
      <c r="C1569" t="s">
        <v>130</v>
      </c>
      <c r="D1569" t="s">
        <v>131</v>
      </c>
      <c r="E1569" s="2">
        <v>2390</v>
      </c>
      <c r="F1569" t="s">
        <v>36</v>
      </c>
      <c r="G1569" s="2">
        <v>3</v>
      </c>
      <c r="H1569">
        <v>0</v>
      </c>
      <c r="I1569">
        <v>2.6489410000000002</v>
      </c>
    </row>
    <row r="1570" spans="1:9" x14ac:dyDescent="0.25">
      <c r="A1570">
        <v>2000840082</v>
      </c>
      <c r="B1570" t="s">
        <v>873</v>
      </c>
      <c r="C1570" t="s">
        <v>130</v>
      </c>
      <c r="D1570" t="s">
        <v>131</v>
      </c>
      <c r="E1570" s="2">
        <v>9</v>
      </c>
      <c r="F1570" t="s">
        <v>36</v>
      </c>
      <c r="G1570" s="2">
        <v>0</v>
      </c>
      <c r="H1570">
        <v>0</v>
      </c>
      <c r="I1570">
        <v>2.144444</v>
      </c>
    </row>
    <row r="1571" spans="1:9" x14ac:dyDescent="0.25">
      <c r="A1571">
        <v>2000840083</v>
      </c>
      <c r="B1571" t="s">
        <v>874</v>
      </c>
      <c r="C1571" t="s">
        <v>130</v>
      </c>
      <c r="D1571" t="s">
        <v>131</v>
      </c>
      <c r="E1571" s="2">
        <v>4</v>
      </c>
      <c r="F1571" t="s">
        <v>36</v>
      </c>
      <c r="G1571">
        <v>0</v>
      </c>
      <c r="H1571">
        <v>0</v>
      </c>
      <c r="I1571">
        <v>3.0024999999999999</v>
      </c>
    </row>
    <row r="1572" spans="1:9" x14ac:dyDescent="0.25">
      <c r="A1572">
        <v>2000840085</v>
      </c>
      <c r="B1572" t="s">
        <v>875</v>
      </c>
      <c r="C1572" t="s">
        <v>130</v>
      </c>
      <c r="D1572" t="s">
        <v>131</v>
      </c>
      <c r="E1572" s="2">
        <v>1</v>
      </c>
      <c r="F1572" t="s">
        <v>36</v>
      </c>
      <c r="G1572">
        <v>0</v>
      </c>
      <c r="H1572">
        <v>0</v>
      </c>
      <c r="I1572">
        <v>5.04</v>
      </c>
    </row>
    <row r="1573" spans="1:9" x14ac:dyDescent="0.25">
      <c r="A1573">
        <v>2000840086</v>
      </c>
      <c r="B1573" t="s">
        <v>876</v>
      </c>
      <c r="C1573" t="s">
        <v>130</v>
      </c>
      <c r="D1573" t="s">
        <v>131</v>
      </c>
      <c r="E1573" s="2">
        <v>5</v>
      </c>
      <c r="F1573" t="s">
        <v>36</v>
      </c>
      <c r="G1573">
        <v>0</v>
      </c>
      <c r="H1573">
        <v>0</v>
      </c>
      <c r="I1573">
        <v>6.09</v>
      </c>
    </row>
    <row r="1574" spans="1:9" x14ac:dyDescent="0.25">
      <c r="A1574">
        <v>2000860284</v>
      </c>
      <c r="B1574" t="s">
        <v>877</v>
      </c>
      <c r="C1574" t="s">
        <v>130</v>
      </c>
      <c r="D1574" t="s">
        <v>131</v>
      </c>
      <c r="E1574" s="2">
        <v>12</v>
      </c>
      <c r="F1574" t="s">
        <v>36</v>
      </c>
      <c r="G1574">
        <v>114</v>
      </c>
      <c r="H1574" s="2">
        <v>31256</v>
      </c>
      <c r="I1574">
        <v>10.661667</v>
      </c>
    </row>
    <row r="1575" spans="1:9" x14ac:dyDescent="0.25">
      <c r="A1575">
        <v>2000860284</v>
      </c>
      <c r="B1575" t="s">
        <v>877</v>
      </c>
      <c r="C1575" t="s">
        <v>137</v>
      </c>
      <c r="D1575" t="s">
        <v>138</v>
      </c>
      <c r="E1575" s="2">
        <v>3</v>
      </c>
      <c r="F1575" t="s">
        <v>36</v>
      </c>
      <c r="G1575" s="2">
        <v>0</v>
      </c>
      <c r="H1575" s="2">
        <v>0</v>
      </c>
      <c r="I1575">
        <v>10.663333</v>
      </c>
    </row>
    <row r="1576" spans="1:9" x14ac:dyDescent="0.25">
      <c r="A1576">
        <v>2000860284</v>
      </c>
      <c r="B1576" t="s">
        <v>877</v>
      </c>
      <c r="C1576" t="s">
        <v>151</v>
      </c>
      <c r="D1576" t="s">
        <v>152</v>
      </c>
      <c r="E1576" s="2">
        <v>1928</v>
      </c>
      <c r="F1576" t="s">
        <v>36</v>
      </c>
      <c r="G1576">
        <v>0</v>
      </c>
      <c r="H1576">
        <v>0</v>
      </c>
      <c r="I1576">
        <v>10.661276000000001</v>
      </c>
    </row>
    <row r="1577" spans="1:9" x14ac:dyDescent="0.25">
      <c r="A1577">
        <v>2000860284</v>
      </c>
      <c r="B1577" t="s">
        <v>877</v>
      </c>
      <c r="C1577" t="s">
        <v>139</v>
      </c>
      <c r="D1577" t="s">
        <v>140</v>
      </c>
      <c r="E1577" s="2">
        <v>28415</v>
      </c>
      <c r="F1577" t="s">
        <v>36</v>
      </c>
      <c r="G1577" s="2">
        <v>31256</v>
      </c>
      <c r="H1577">
        <v>0</v>
      </c>
      <c r="I1577">
        <v>10.663062</v>
      </c>
    </row>
    <row r="1578" spans="1:9" x14ac:dyDescent="0.25">
      <c r="A1578">
        <v>2000860285</v>
      </c>
      <c r="B1578" t="s">
        <v>878</v>
      </c>
      <c r="C1578" t="s">
        <v>130</v>
      </c>
      <c r="D1578" t="s">
        <v>131</v>
      </c>
      <c r="E1578" s="2">
        <v>8</v>
      </c>
      <c r="F1578" t="s">
        <v>36</v>
      </c>
      <c r="G1578" s="2">
        <v>0</v>
      </c>
      <c r="H1578" s="2">
        <v>10988</v>
      </c>
      <c r="I1578">
        <v>10.18</v>
      </c>
    </row>
    <row r="1579" spans="1:9" x14ac:dyDescent="0.25">
      <c r="A1579">
        <v>2000860285</v>
      </c>
      <c r="B1579" t="s">
        <v>878</v>
      </c>
      <c r="C1579" t="s">
        <v>139</v>
      </c>
      <c r="D1579" t="s">
        <v>140</v>
      </c>
      <c r="E1579" s="2">
        <v>799</v>
      </c>
      <c r="F1579" t="s">
        <v>36</v>
      </c>
      <c r="G1579" s="2">
        <v>10988</v>
      </c>
      <c r="H1579">
        <v>0</v>
      </c>
      <c r="I1579">
        <v>10.18</v>
      </c>
    </row>
    <row r="1580" spans="1:9" x14ac:dyDescent="0.25">
      <c r="A1580">
        <v>2000860286</v>
      </c>
      <c r="B1580" t="s">
        <v>879</v>
      </c>
      <c r="C1580" t="s">
        <v>130</v>
      </c>
      <c r="D1580" t="s">
        <v>131</v>
      </c>
      <c r="E1580" s="2">
        <v>1</v>
      </c>
      <c r="F1580" t="s">
        <v>36</v>
      </c>
      <c r="G1580" s="2">
        <v>82</v>
      </c>
      <c r="H1580">
        <v>0</v>
      </c>
      <c r="I1580">
        <v>8.5500000000000007</v>
      </c>
    </row>
    <row r="1581" spans="1:9" x14ac:dyDescent="0.25">
      <c r="A1581">
        <v>2000860286</v>
      </c>
      <c r="B1581" t="s">
        <v>879</v>
      </c>
      <c r="C1581" t="s">
        <v>137</v>
      </c>
      <c r="D1581" t="s">
        <v>138</v>
      </c>
      <c r="E1581" s="2">
        <v>3</v>
      </c>
      <c r="F1581" t="s">
        <v>36</v>
      </c>
      <c r="G1581" s="2">
        <v>0</v>
      </c>
      <c r="H1581" s="2">
        <v>0</v>
      </c>
      <c r="I1581">
        <v>8.5500000000000007</v>
      </c>
    </row>
    <row r="1582" spans="1:9" x14ac:dyDescent="0.25">
      <c r="A1582">
        <v>2000860286</v>
      </c>
      <c r="B1582" t="s">
        <v>879</v>
      </c>
      <c r="C1582" t="s">
        <v>151</v>
      </c>
      <c r="D1582" t="s">
        <v>152</v>
      </c>
      <c r="E1582" s="2">
        <v>1908</v>
      </c>
      <c r="F1582" t="s">
        <v>36</v>
      </c>
      <c r="G1582">
        <v>0</v>
      </c>
      <c r="H1582">
        <v>0</v>
      </c>
      <c r="I1582">
        <v>8.5500000000000007</v>
      </c>
    </row>
    <row r="1583" spans="1:9" x14ac:dyDescent="0.25">
      <c r="A1583">
        <v>2000860286</v>
      </c>
      <c r="B1583" t="s">
        <v>879</v>
      </c>
      <c r="C1583" t="s">
        <v>139</v>
      </c>
      <c r="D1583" t="s">
        <v>140</v>
      </c>
      <c r="E1583" s="2">
        <v>8005</v>
      </c>
      <c r="F1583" t="s">
        <v>36</v>
      </c>
      <c r="G1583" s="2">
        <v>0</v>
      </c>
      <c r="H1583">
        <v>0</v>
      </c>
      <c r="I1583">
        <v>8.5500000000000007</v>
      </c>
    </row>
    <row r="1584" spans="1:9" x14ac:dyDescent="0.25">
      <c r="A1584">
        <v>2000860287</v>
      </c>
      <c r="B1584" t="s">
        <v>880</v>
      </c>
      <c r="C1584" t="s">
        <v>130</v>
      </c>
      <c r="D1584" t="s">
        <v>131</v>
      </c>
      <c r="E1584" s="2">
        <v>74</v>
      </c>
      <c r="F1584" t="s">
        <v>36</v>
      </c>
      <c r="G1584" s="2">
        <v>0</v>
      </c>
      <c r="H1584" s="2">
        <v>0</v>
      </c>
      <c r="I1584">
        <v>7.5482430000000003</v>
      </c>
    </row>
    <row r="1585" spans="1:9" x14ac:dyDescent="0.25">
      <c r="A1585">
        <v>2000860287</v>
      </c>
      <c r="B1585" t="s">
        <v>880</v>
      </c>
      <c r="C1585" t="s">
        <v>139</v>
      </c>
      <c r="D1585" t="s">
        <v>140</v>
      </c>
      <c r="E1585" s="2">
        <v>3602</v>
      </c>
      <c r="F1585" t="s">
        <v>36</v>
      </c>
      <c r="G1585">
        <v>0</v>
      </c>
      <c r="H1585">
        <v>0</v>
      </c>
      <c r="I1585">
        <v>7.55</v>
      </c>
    </row>
    <row r="1586" spans="1:9" x14ac:dyDescent="0.25">
      <c r="A1586">
        <v>2000860288</v>
      </c>
      <c r="B1586" t="s">
        <v>881</v>
      </c>
      <c r="C1586" t="s">
        <v>130</v>
      </c>
      <c r="D1586" t="s">
        <v>131</v>
      </c>
      <c r="E1586" s="2">
        <v>2</v>
      </c>
      <c r="F1586" t="s">
        <v>36</v>
      </c>
      <c r="G1586">
        <v>182</v>
      </c>
      <c r="H1586">
        <v>931</v>
      </c>
      <c r="I1586">
        <v>10.6</v>
      </c>
    </row>
    <row r="1587" spans="1:9" x14ac:dyDescent="0.25">
      <c r="A1587">
        <v>2000860288</v>
      </c>
      <c r="B1587" t="s">
        <v>881</v>
      </c>
      <c r="C1587" t="s">
        <v>137</v>
      </c>
      <c r="D1587" t="s">
        <v>138</v>
      </c>
      <c r="E1587" s="2">
        <v>3</v>
      </c>
      <c r="F1587" t="s">
        <v>36</v>
      </c>
      <c r="G1587" s="2">
        <v>0</v>
      </c>
      <c r="H1587">
        <v>0</v>
      </c>
      <c r="I1587">
        <v>10.6</v>
      </c>
    </row>
    <row r="1588" spans="1:9" x14ac:dyDescent="0.25">
      <c r="A1588">
        <v>2000860288</v>
      </c>
      <c r="B1588" t="s">
        <v>881</v>
      </c>
      <c r="C1588" t="s">
        <v>151</v>
      </c>
      <c r="D1588" t="s">
        <v>152</v>
      </c>
      <c r="E1588" s="2">
        <v>1768</v>
      </c>
      <c r="F1588" t="s">
        <v>36</v>
      </c>
      <c r="G1588">
        <v>0</v>
      </c>
      <c r="H1588">
        <v>0</v>
      </c>
      <c r="I1588">
        <v>10.599705999999999</v>
      </c>
    </row>
    <row r="1589" spans="1:9" x14ac:dyDescent="0.25">
      <c r="A1589">
        <v>2000860288</v>
      </c>
      <c r="B1589" t="s">
        <v>881</v>
      </c>
      <c r="C1589" t="s">
        <v>139</v>
      </c>
      <c r="D1589" t="s">
        <v>140</v>
      </c>
      <c r="E1589" s="2">
        <v>22026</v>
      </c>
      <c r="F1589" t="s">
        <v>36</v>
      </c>
      <c r="G1589">
        <v>931</v>
      </c>
      <c r="H1589">
        <v>0</v>
      </c>
      <c r="I1589">
        <v>10.599748999999999</v>
      </c>
    </row>
    <row r="1590" spans="1:9" x14ac:dyDescent="0.25">
      <c r="A1590">
        <v>2000860289</v>
      </c>
      <c r="B1590" t="s">
        <v>882</v>
      </c>
      <c r="C1590" t="s">
        <v>130</v>
      </c>
      <c r="D1590" t="s">
        <v>131</v>
      </c>
      <c r="E1590" s="2">
        <v>91</v>
      </c>
      <c r="F1590" t="s">
        <v>36</v>
      </c>
      <c r="G1590">
        <v>40</v>
      </c>
      <c r="H1590" s="2">
        <v>13474</v>
      </c>
      <c r="I1590">
        <v>9.98</v>
      </c>
    </row>
    <row r="1591" spans="1:9" x14ac:dyDescent="0.25">
      <c r="A1591">
        <v>2000860289</v>
      </c>
      <c r="B1591" t="s">
        <v>882</v>
      </c>
      <c r="C1591" t="s">
        <v>139</v>
      </c>
      <c r="D1591" t="s">
        <v>140</v>
      </c>
      <c r="E1591" s="2">
        <v>4794</v>
      </c>
      <c r="F1591" t="s">
        <v>36</v>
      </c>
      <c r="G1591" s="2">
        <v>13474</v>
      </c>
      <c r="H1591">
        <v>0</v>
      </c>
      <c r="I1591">
        <v>9.9800269999999998</v>
      </c>
    </row>
    <row r="1592" spans="1:9" x14ac:dyDescent="0.25">
      <c r="A1592">
        <v>2000860290</v>
      </c>
      <c r="B1592" t="s">
        <v>883</v>
      </c>
      <c r="C1592" t="s">
        <v>130</v>
      </c>
      <c r="D1592" t="s">
        <v>131</v>
      </c>
      <c r="E1592" s="2">
        <v>8</v>
      </c>
      <c r="F1592" t="s">
        <v>36</v>
      </c>
      <c r="G1592">
        <v>0</v>
      </c>
      <c r="H1592" s="2">
        <v>7676</v>
      </c>
      <c r="I1592">
        <v>9.4499999999999993</v>
      </c>
    </row>
    <row r="1593" spans="1:9" x14ac:dyDescent="0.25">
      <c r="A1593">
        <v>2000860290</v>
      </c>
      <c r="B1593" t="s">
        <v>883</v>
      </c>
      <c r="C1593" t="s">
        <v>151</v>
      </c>
      <c r="D1593" t="s">
        <v>152</v>
      </c>
      <c r="E1593" s="2">
        <v>1060</v>
      </c>
      <c r="F1593" t="s">
        <v>36</v>
      </c>
      <c r="G1593">
        <v>0</v>
      </c>
      <c r="H1593">
        <v>0</v>
      </c>
      <c r="I1593">
        <v>9.6757360000000006</v>
      </c>
    </row>
    <row r="1594" spans="1:9" x14ac:dyDescent="0.25">
      <c r="A1594">
        <v>2000860290</v>
      </c>
      <c r="B1594" t="s">
        <v>883</v>
      </c>
      <c r="C1594" t="s">
        <v>139</v>
      </c>
      <c r="D1594" t="s">
        <v>140</v>
      </c>
      <c r="E1594" s="2">
        <v>11680</v>
      </c>
      <c r="F1594" t="s">
        <v>36</v>
      </c>
      <c r="G1594" s="2">
        <v>7676</v>
      </c>
      <c r="H1594">
        <v>0</v>
      </c>
      <c r="I1594">
        <v>9.6757439999999999</v>
      </c>
    </row>
    <row r="1595" spans="1:9" x14ac:dyDescent="0.25">
      <c r="A1595">
        <v>2000920001</v>
      </c>
      <c r="B1595" t="s">
        <v>884</v>
      </c>
      <c r="C1595" t="s">
        <v>307</v>
      </c>
      <c r="D1595" t="s">
        <v>308</v>
      </c>
      <c r="E1595" s="2">
        <v>57</v>
      </c>
      <c r="F1595" t="s">
        <v>457</v>
      </c>
      <c r="G1595">
        <v>0</v>
      </c>
      <c r="H1595">
        <v>0</v>
      </c>
      <c r="I1595">
        <v>8.5452630000000003</v>
      </c>
    </row>
    <row r="1596" spans="1:9" x14ac:dyDescent="0.25">
      <c r="A1596">
        <v>2000920001</v>
      </c>
      <c r="B1596" t="s">
        <v>884</v>
      </c>
      <c r="C1596" t="s">
        <v>130</v>
      </c>
      <c r="D1596" t="s">
        <v>131</v>
      </c>
      <c r="E1596" s="2">
        <v>2.8</v>
      </c>
      <c r="F1596" t="s">
        <v>457</v>
      </c>
      <c r="G1596">
        <v>424</v>
      </c>
      <c r="H1596" s="2">
        <v>1080</v>
      </c>
      <c r="I1596">
        <v>12.360714</v>
      </c>
    </row>
    <row r="1597" spans="1:9" x14ac:dyDescent="0.25">
      <c r="A1597" s="1">
        <v>2000920001</v>
      </c>
      <c r="B1597" s="1" t="s">
        <v>884</v>
      </c>
      <c r="C1597" s="1" t="s">
        <v>137</v>
      </c>
      <c r="D1597" s="1" t="s">
        <v>138</v>
      </c>
      <c r="E1597" s="1">
        <v>0</v>
      </c>
      <c r="F1597" s="1" t="s">
        <v>457</v>
      </c>
      <c r="G1597" s="1">
        <v>0</v>
      </c>
      <c r="H1597" s="1">
        <v>1</v>
      </c>
      <c r="I1597" s="1">
        <v>0</v>
      </c>
    </row>
    <row r="1598" spans="1:9" x14ac:dyDescent="0.25">
      <c r="A1598">
        <v>2000920001</v>
      </c>
      <c r="B1598" t="s">
        <v>884</v>
      </c>
      <c r="C1598" t="s">
        <v>151</v>
      </c>
      <c r="D1598" t="s">
        <v>152</v>
      </c>
      <c r="E1598" s="2">
        <v>0</v>
      </c>
      <c r="F1598" t="s">
        <v>457</v>
      </c>
      <c r="G1598">
        <v>0</v>
      </c>
      <c r="H1598">
        <v>168</v>
      </c>
      <c r="I1598">
        <v>8.5454170000000005</v>
      </c>
    </row>
    <row r="1599" spans="1:9" x14ac:dyDescent="0.25">
      <c r="A1599">
        <v>2000920001</v>
      </c>
      <c r="B1599" t="s">
        <v>884</v>
      </c>
      <c r="C1599" t="s">
        <v>139</v>
      </c>
      <c r="D1599" t="s">
        <v>140</v>
      </c>
      <c r="E1599" s="2">
        <v>1</v>
      </c>
      <c r="F1599" t="s">
        <v>457</v>
      </c>
      <c r="G1599">
        <v>0</v>
      </c>
      <c r="H1599">
        <v>0</v>
      </c>
      <c r="I1599">
        <v>8.64</v>
      </c>
    </row>
    <row r="1600" spans="1:9" x14ac:dyDescent="0.25">
      <c r="A1600" s="1">
        <v>2000920002</v>
      </c>
      <c r="B1600" s="1" t="s">
        <v>885</v>
      </c>
      <c r="C1600" s="1" t="s">
        <v>307</v>
      </c>
      <c r="D1600" s="1" t="s">
        <v>308</v>
      </c>
      <c r="E1600" s="1">
        <v>58</v>
      </c>
      <c r="F1600" s="1" t="s">
        <v>457</v>
      </c>
      <c r="G1600" s="1">
        <v>0</v>
      </c>
      <c r="H1600" s="1">
        <v>0</v>
      </c>
      <c r="I1600" s="1">
        <v>8.4662070000000007</v>
      </c>
    </row>
    <row r="1601" spans="1:9" x14ac:dyDescent="0.25">
      <c r="A1601">
        <v>2000920002</v>
      </c>
      <c r="B1601" t="s">
        <v>885</v>
      </c>
      <c r="C1601" t="s">
        <v>130</v>
      </c>
      <c r="D1601" t="s">
        <v>131</v>
      </c>
      <c r="E1601" s="2">
        <v>3.8</v>
      </c>
      <c r="F1601" t="s">
        <v>457</v>
      </c>
      <c r="G1601">
        <v>100</v>
      </c>
      <c r="H1601">
        <v>0</v>
      </c>
      <c r="I1601">
        <v>9.4157890000000002</v>
      </c>
    </row>
    <row r="1602" spans="1:9" x14ac:dyDescent="0.25">
      <c r="A1602">
        <v>2000920002</v>
      </c>
      <c r="B1602" t="s">
        <v>885</v>
      </c>
      <c r="C1602" t="s">
        <v>137</v>
      </c>
      <c r="D1602" t="s">
        <v>138</v>
      </c>
      <c r="E1602" s="2">
        <v>0</v>
      </c>
      <c r="F1602" t="s">
        <v>457</v>
      </c>
      <c r="G1602">
        <v>0</v>
      </c>
      <c r="H1602" s="2">
        <v>1</v>
      </c>
      <c r="I1602">
        <v>0</v>
      </c>
    </row>
    <row r="1603" spans="1:9" x14ac:dyDescent="0.25">
      <c r="A1603">
        <v>2000920002</v>
      </c>
      <c r="B1603" t="s">
        <v>885</v>
      </c>
      <c r="C1603" t="s">
        <v>151</v>
      </c>
      <c r="D1603" t="s">
        <v>152</v>
      </c>
      <c r="E1603" s="2">
        <v>0</v>
      </c>
      <c r="F1603" t="s">
        <v>457</v>
      </c>
      <c r="G1603">
        <v>0</v>
      </c>
      <c r="H1603">
        <v>96</v>
      </c>
      <c r="I1603">
        <v>8.4661460000000002</v>
      </c>
    </row>
    <row r="1604" spans="1:9" x14ac:dyDescent="0.25">
      <c r="A1604">
        <v>2000920002</v>
      </c>
      <c r="B1604" t="s">
        <v>885</v>
      </c>
      <c r="C1604" t="s">
        <v>139</v>
      </c>
      <c r="D1604" t="s">
        <v>140</v>
      </c>
      <c r="E1604" s="2">
        <v>1</v>
      </c>
      <c r="F1604" t="s">
        <v>457</v>
      </c>
      <c r="G1604">
        <v>0</v>
      </c>
      <c r="H1604">
        <v>0</v>
      </c>
      <c r="I1604">
        <v>8.68</v>
      </c>
    </row>
    <row r="1605" spans="1:9" x14ac:dyDescent="0.25">
      <c r="A1605">
        <v>2000920003</v>
      </c>
      <c r="B1605" t="s">
        <v>886</v>
      </c>
      <c r="C1605" t="s">
        <v>307</v>
      </c>
      <c r="D1605" t="s">
        <v>308</v>
      </c>
      <c r="E1605" s="2">
        <v>22</v>
      </c>
      <c r="F1605" t="s">
        <v>457</v>
      </c>
      <c r="G1605" s="2">
        <v>0</v>
      </c>
      <c r="H1605">
        <v>0</v>
      </c>
      <c r="I1605">
        <v>8.4663640000000004</v>
      </c>
    </row>
    <row r="1606" spans="1:9" x14ac:dyDescent="0.25">
      <c r="A1606">
        <v>2000920003</v>
      </c>
      <c r="B1606" t="s">
        <v>886</v>
      </c>
      <c r="C1606" t="s">
        <v>130</v>
      </c>
      <c r="D1606" t="s">
        <v>131</v>
      </c>
      <c r="E1606" s="2">
        <v>0</v>
      </c>
      <c r="F1606" t="s">
        <v>457</v>
      </c>
      <c r="G1606">
        <v>99</v>
      </c>
      <c r="H1606">
        <v>28</v>
      </c>
      <c r="I1606">
        <v>8.4658329999999999</v>
      </c>
    </row>
    <row r="1607" spans="1:9" x14ac:dyDescent="0.25">
      <c r="A1607">
        <v>2000920003</v>
      </c>
      <c r="B1607" t="s">
        <v>886</v>
      </c>
      <c r="C1607" t="s">
        <v>151</v>
      </c>
      <c r="D1607" t="s">
        <v>152</v>
      </c>
      <c r="E1607" s="2">
        <v>0</v>
      </c>
      <c r="F1607" t="s">
        <v>457</v>
      </c>
      <c r="G1607">
        <v>0</v>
      </c>
      <c r="H1607">
        <v>96</v>
      </c>
      <c r="I1607">
        <v>8.4662500000000005</v>
      </c>
    </row>
    <row r="1608" spans="1:9" x14ac:dyDescent="0.25">
      <c r="A1608">
        <v>2000920003</v>
      </c>
      <c r="B1608" t="s">
        <v>886</v>
      </c>
      <c r="C1608" t="s">
        <v>139</v>
      </c>
      <c r="D1608" t="s">
        <v>140</v>
      </c>
      <c r="E1608" s="2">
        <v>21</v>
      </c>
      <c r="F1608" t="s">
        <v>457</v>
      </c>
      <c r="G1608">
        <v>0</v>
      </c>
      <c r="H1608">
        <v>0</v>
      </c>
      <c r="I1608">
        <v>8.6757139999999993</v>
      </c>
    </row>
    <row r="1609" spans="1:9" x14ac:dyDescent="0.25">
      <c r="A1609">
        <v>2000920004</v>
      </c>
      <c r="B1609" t="s">
        <v>887</v>
      </c>
      <c r="C1609" t="s">
        <v>307</v>
      </c>
      <c r="D1609" t="s">
        <v>308</v>
      </c>
      <c r="E1609" s="2">
        <v>21</v>
      </c>
      <c r="F1609" t="s">
        <v>457</v>
      </c>
      <c r="G1609" s="2">
        <v>0</v>
      </c>
      <c r="H1609">
        <v>0</v>
      </c>
      <c r="I1609">
        <v>8.4661899999999992</v>
      </c>
    </row>
    <row r="1610" spans="1:9" x14ac:dyDescent="0.25">
      <c r="A1610">
        <v>2000920004</v>
      </c>
      <c r="B1610" t="s">
        <v>887</v>
      </c>
      <c r="C1610" t="s">
        <v>130</v>
      </c>
      <c r="D1610" t="s">
        <v>131</v>
      </c>
      <c r="E1610" s="2">
        <v>4.8</v>
      </c>
      <c r="F1610" t="s">
        <v>457</v>
      </c>
      <c r="G1610">
        <v>97</v>
      </c>
      <c r="H1610">
        <v>0</v>
      </c>
      <c r="I1610">
        <v>8.5</v>
      </c>
    </row>
    <row r="1611" spans="1:9" x14ac:dyDescent="0.25">
      <c r="A1611">
        <v>2000920004</v>
      </c>
      <c r="B1611" t="s">
        <v>887</v>
      </c>
      <c r="C1611" t="s">
        <v>126</v>
      </c>
      <c r="D1611" t="s">
        <v>127</v>
      </c>
      <c r="E1611" s="2">
        <v>3</v>
      </c>
      <c r="F1611" t="s">
        <v>457</v>
      </c>
      <c r="G1611">
        <v>0</v>
      </c>
      <c r="H1611">
        <v>0</v>
      </c>
      <c r="I1611">
        <v>9.4066670000000006</v>
      </c>
    </row>
    <row r="1612" spans="1:9" x14ac:dyDescent="0.25">
      <c r="A1612" s="1">
        <v>2000920004</v>
      </c>
      <c r="B1612" s="1" t="s">
        <v>887</v>
      </c>
      <c r="C1612" s="1" t="s">
        <v>137</v>
      </c>
      <c r="D1612" s="1" t="s">
        <v>138</v>
      </c>
      <c r="E1612" s="1">
        <v>0</v>
      </c>
      <c r="F1612" s="1" t="s">
        <v>457</v>
      </c>
      <c r="G1612" s="1">
        <v>0</v>
      </c>
      <c r="H1612" s="1">
        <v>1</v>
      </c>
      <c r="I1612" s="1">
        <v>0</v>
      </c>
    </row>
    <row r="1613" spans="1:9" x14ac:dyDescent="0.25">
      <c r="A1613">
        <v>2000920004</v>
      </c>
      <c r="B1613" t="s">
        <v>887</v>
      </c>
      <c r="C1613" t="s">
        <v>151</v>
      </c>
      <c r="D1613" t="s">
        <v>152</v>
      </c>
      <c r="E1613" s="2">
        <v>0</v>
      </c>
      <c r="F1613" t="s">
        <v>457</v>
      </c>
      <c r="G1613">
        <v>0</v>
      </c>
      <c r="H1613">
        <v>96</v>
      </c>
      <c r="I1613">
        <v>8.4662500000000005</v>
      </c>
    </row>
    <row r="1614" spans="1:9" x14ac:dyDescent="0.25">
      <c r="A1614">
        <v>2000920004</v>
      </c>
      <c r="B1614" t="s">
        <v>887</v>
      </c>
      <c r="C1614" t="s">
        <v>139</v>
      </c>
      <c r="D1614" t="s">
        <v>140</v>
      </c>
      <c r="E1614" s="2">
        <v>40</v>
      </c>
      <c r="F1614" t="s">
        <v>457</v>
      </c>
      <c r="G1614">
        <v>0</v>
      </c>
      <c r="H1614">
        <v>0</v>
      </c>
      <c r="I1614">
        <v>8.6850000000000005</v>
      </c>
    </row>
    <row r="1615" spans="1:9" x14ac:dyDescent="0.25">
      <c r="A1615">
        <v>2000920005</v>
      </c>
      <c r="B1615" t="s">
        <v>888</v>
      </c>
      <c r="C1615" t="s">
        <v>307</v>
      </c>
      <c r="D1615" t="s">
        <v>308</v>
      </c>
      <c r="E1615" s="2">
        <v>43</v>
      </c>
      <c r="F1615" t="s">
        <v>457</v>
      </c>
      <c r="G1615">
        <v>0</v>
      </c>
      <c r="H1615">
        <v>0</v>
      </c>
      <c r="I1615">
        <v>8.4662790000000001</v>
      </c>
    </row>
    <row r="1616" spans="1:9" x14ac:dyDescent="0.25">
      <c r="A1616">
        <v>2000920005</v>
      </c>
      <c r="B1616" t="s">
        <v>888</v>
      </c>
      <c r="C1616" t="s">
        <v>130</v>
      </c>
      <c r="D1616" t="s">
        <v>131</v>
      </c>
      <c r="E1616" s="2">
        <v>0</v>
      </c>
      <c r="F1616" t="s">
        <v>457</v>
      </c>
      <c r="G1616">
        <v>112</v>
      </c>
      <c r="H1616">
        <v>12</v>
      </c>
      <c r="I1616">
        <v>10.342499999999999</v>
      </c>
    </row>
    <row r="1617" spans="1:9" x14ac:dyDescent="0.25">
      <c r="A1617">
        <v>2000920005</v>
      </c>
      <c r="B1617" t="s">
        <v>888</v>
      </c>
      <c r="C1617" t="s">
        <v>126</v>
      </c>
      <c r="D1617" t="s">
        <v>127</v>
      </c>
      <c r="E1617" s="2">
        <v>2</v>
      </c>
      <c r="F1617" t="s">
        <v>457</v>
      </c>
      <c r="G1617">
        <v>0</v>
      </c>
      <c r="H1617" s="2">
        <v>0</v>
      </c>
      <c r="I1617">
        <v>10.34</v>
      </c>
    </row>
    <row r="1618" spans="1:9" x14ac:dyDescent="0.25">
      <c r="A1618">
        <v>2000920005</v>
      </c>
      <c r="B1618" t="s">
        <v>888</v>
      </c>
      <c r="C1618" t="s">
        <v>137</v>
      </c>
      <c r="D1618" t="s">
        <v>138</v>
      </c>
      <c r="E1618" s="2">
        <v>0</v>
      </c>
      <c r="F1618" t="s">
        <v>457</v>
      </c>
      <c r="G1618" s="2">
        <v>0</v>
      </c>
      <c r="H1618">
        <v>1</v>
      </c>
      <c r="I1618">
        <v>0</v>
      </c>
    </row>
    <row r="1619" spans="1:9" x14ac:dyDescent="0.25">
      <c r="A1619">
        <v>2000920005</v>
      </c>
      <c r="B1619" t="s">
        <v>888</v>
      </c>
      <c r="C1619" t="s">
        <v>151</v>
      </c>
      <c r="D1619" t="s">
        <v>152</v>
      </c>
      <c r="E1619" s="2">
        <v>0</v>
      </c>
      <c r="F1619" t="s">
        <v>457</v>
      </c>
      <c r="G1619" s="2">
        <v>0</v>
      </c>
      <c r="H1619">
        <v>96</v>
      </c>
      <c r="I1619">
        <v>8.4662500000000005</v>
      </c>
    </row>
    <row r="1620" spans="1:9" x14ac:dyDescent="0.25">
      <c r="A1620">
        <v>2000920005</v>
      </c>
      <c r="B1620" t="s">
        <v>888</v>
      </c>
      <c r="C1620" t="s">
        <v>139</v>
      </c>
      <c r="D1620" t="s">
        <v>140</v>
      </c>
      <c r="E1620" s="2">
        <v>3</v>
      </c>
      <c r="F1620" t="s">
        <v>457</v>
      </c>
      <c r="G1620">
        <v>0</v>
      </c>
      <c r="H1620">
        <v>0</v>
      </c>
      <c r="I1620">
        <v>8.6766670000000001</v>
      </c>
    </row>
    <row r="1621" spans="1:9" x14ac:dyDescent="0.25">
      <c r="A1621">
        <v>2000920006</v>
      </c>
      <c r="B1621" t="s">
        <v>889</v>
      </c>
      <c r="C1621" t="s">
        <v>307</v>
      </c>
      <c r="D1621" t="s">
        <v>308</v>
      </c>
      <c r="E1621" s="2">
        <v>43</v>
      </c>
      <c r="F1621" t="s">
        <v>457</v>
      </c>
      <c r="G1621">
        <v>0</v>
      </c>
      <c r="H1621">
        <v>0</v>
      </c>
      <c r="I1621">
        <v>8.4660469999999997</v>
      </c>
    </row>
    <row r="1622" spans="1:9" x14ac:dyDescent="0.25">
      <c r="A1622">
        <v>2000920006</v>
      </c>
      <c r="B1622" t="s">
        <v>889</v>
      </c>
      <c r="C1622" t="s">
        <v>130</v>
      </c>
      <c r="D1622" t="s">
        <v>131</v>
      </c>
      <c r="E1622" s="2">
        <v>0.7</v>
      </c>
      <c r="F1622" t="s">
        <v>457</v>
      </c>
      <c r="G1622">
        <v>168</v>
      </c>
      <c r="H1622" s="2">
        <v>1152</v>
      </c>
      <c r="I1622">
        <v>12.385714</v>
      </c>
    </row>
    <row r="1623" spans="1:9" x14ac:dyDescent="0.25">
      <c r="A1623">
        <v>2000920006</v>
      </c>
      <c r="B1623" t="s">
        <v>889</v>
      </c>
      <c r="C1623" t="s">
        <v>151</v>
      </c>
      <c r="D1623" t="s">
        <v>152</v>
      </c>
      <c r="E1623" s="2">
        <v>0</v>
      </c>
      <c r="F1623" t="s">
        <v>457</v>
      </c>
      <c r="G1623">
        <v>0</v>
      </c>
      <c r="H1623">
        <v>168</v>
      </c>
      <c r="I1623">
        <v>8.4661899999999992</v>
      </c>
    </row>
    <row r="1624" spans="1:9" x14ac:dyDescent="0.25">
      <c r="A1624">
        <v>2000920006</v>
      </c>
      <c r="B1624" t="s">
        <v>889</v>
      </c>
      <c r="C1624" t="s">
        <v>139</v>
      </c>
      <c r="D1624" t="s">
        <v>140</v>
      </c>
      <c r="E1624" s="2">
        <v>34</v>
      </c>
      <c r="F1624" t="s">
        <v>457</v>
      </c>
      <c r="G1624">
        <v>0</v>
      </c>
      <c r="H1624">
        <v>0</v>
      </c>
      <c r="I1624">
        <v>8.6102939999999997</v>
      </c>
    </row>
    <row r="1625" spans="1:9" x14ac:dyDescent="0.25">
      <c r="A1625">
        <v>2000920007</v>
      </c>
      <c r="B1625" t="s">
        <v>890</v>
      </c>
      <c r="C1625" t="s">
        <v>130</v>
      </c>
      <c r="D1625" t="s">
        <v>131</v>
      </c>
      <c r="E1625" s="2">
        <v>8</v>
      </c>
      <c r="F1625" t="s">
        <v>457</v>
      </c>
      <c r="G1625" s="2">
        <v>207</v>
      </c>
      <c r="H1625">
        <v>308</v>
      </c>
      <c r="I1625">
        <v>8.64</v>
      </c>
    </row>
    <row r="1626" spans="1:9" x14ac:dyDescent="0.25">
      <c r="A1626">
        <v>2000920007</v>
      </c>
      <c r="B1626" t="s">
        <v>890</v>
      </c>
      <c r="C1626" t="s">
        <v>151</v>
      </c>
      <c r="D1626" t="s">
        <v>152</v>
      </c>
      <c r="E1626" s="2">
        <v>0</v>
      </c>
      <c r="F1626" t="s">
        <v>457</v>
      </c>
      <c r="G1626">
        <v>0</v>
      </c>
      <c r="H1626">
        <v>288</v>
      </c>
      <c r="I1626">
        <v>8.6383329999999994</v>
      </c>
    </row>
    <row r="1627" spans="1:9" x14ac:dyDescent="0.25">
      <c r="A1627">
        <v>2000920007</v>
      </c>
      <c r="B1627" t="s">
        <v>890</v>
      </c>
      <c r="C1627" t="s">
        <v>139</v>
      </c>
      <c r="D1627" t="s">
        <v>140</v>
      </c>
      <c r="E1627" s="2">
        <v>6</v>
      </c>
      <c r="F1627" t="s">
        <v>457</v>
      </c>
      <c r="G1627">
        <v>96</v>
      </c>
      <c r="H1627">
        <v>0</v>
      </c>
      <c r="I1627">
        <v>8.6383329999999994</v>
      </c>
    </row>
    <row r="1628" spans="1:9" x14ac:dyDescent="0.25">
      <c r="A1628">
        <v>2000920008</v>
      </c>
      <c r="B1628" t="s">
        <v>891</v>
      </c>
      <c r="C1628" t="s">
        <v>130</v>
      </c>
      <c r="D1628" t="s">
        <v>131</v>
      </c>
      <c r="E1628" s="2">
        <v>0.7</v>
      </c>
      <c r="F1628" t="s">
        <v>457</v>
      </c>
      <c r="G1628">
        <v>213</v>
      </c>
      <c r="H1628">
        <v>386</v>
      </c>
      <c r="I1628">
        <v>8.6714289999999998</v>
      </c>
    </row>
    <row r="1629" spans="1:9" x14ac:dyDescent="0.25">
      <c r="A1629">
        <v>2000920008</v>
      </c>
      <c r="B1629" t="s">
        <v>891</v>
      </c>
      <c r="C1629" t="s">
        <v>151</v>
      </c>
      <c r="D1629" t="s">
        <v>152</v>
      </c>
      <c r="E1629" s="2">
        <v>0</v>
      </c>
      <c r="F1629" t="s">
        <v>457</v>
      </c>
      <c r="G1629" s="2">
        <v>0</v>
      </c>
      <c r="H1629">
        <v>288</v>
      </c>
      <c r="I1629">
        <v>8.6595829999999996</v>
      </c>
    </row>
    <row r="1630" spans="1:9" x14ac:dyDescent="0.25">
      <c r="A1630">
        <v>2000920008</v>
      </c>
      <c r="B1630" t="s">
        <v>891</v>
      </c>
      <c r="C1630" t="s">
        <v>139</v>
      </c>
      <c r="D1630" t="s">
        <v>140</v>
      </c>
      <c r="E1630" s="2">
        <v>0</v>
      </c>
      <c r="F1630" t="s">
        <v>457</v>
      </c>
      <c r="G1630">
        <v>96</v>
      </c>
      <c r="H1630">
        <v>0</v>
      </c>
      <c r="I1630">
        <v>8.6594999999999995</v>
      </c>
    </row>
    <row r="1631" spans="1:9" x14ac:dyDescent="0.25">
      <c r="A1631">
        <v>2000920009</v>
      </c>
      <c r="B1631" t="s">
        <v>892</v>
      </c>
      <c r="C1631" t="s">
        <v>130</v>
      </c>
      <c r="D1631" t="s">
        <v>131</v>
      </c>
      <c r="E1631" s="2">
        <v>6.7</v>
      </c>
      <c r="F1631" t="s">
        <v>457</v>
      </c>
      <c r="G1631">
        <v>72</v>
      </c>
      <c r="H1631">
        <v>600</v>
      </c>
      <c r="I1631">
        <v>10.652239</v>
      </c>
    </row>
    <row r="1632" spans="1:9" x14ac:dyDescent="0.25">
      <c r="A1632">
        <v>2000920009</v>
      </c>
      <c r="B1632" t="s">
        <v>892</v>
      </c>
      <c r="C1632" t="s">
        <v>151</v>
      </c>
      <c r="D1632" t="s">
        <v>152</v>
      </c>
      <c r="E1632" s="2">
        <v>0</v>
      </c>
      <c r="F1632" t="s">
        <v>457</v>
      </c>
      <c r="G1632">
        <v>0</v>
      </c>
      <c r="H1632">
        <v>72</v>
      </c>
      <c r="I1632">
        <v>8.4662500000000005</v>
      </c>
    </row>
    <row r="1633" spans="1:9" x14ac:dyDescent="0.25">
      <c r="A1633">
        <v>2000920009</v>
      </c>
      <c r="B1633" t="s">
        <v>892</v>
      </c>
      <c r="C1633" t="s">
        <v>139</v>
      </c>
      <c r="D1633" t="s">
        <v>140</v>
      </c>
      <c r="E1633" s="2">
        <v>477</v>
      </c>
      <c r="F1633" t="s">
        <v>457</v>
      </c>
      <c r="G1633">
        <v>0</v>
      </c>
      <c r="H1633">
        <v>0</v>
      </c>
      <c r="I1633">
        <v>8.5889939999999996</v>
      </c>
    </row>
    <row r="1634" spans="1:9" x14ac:dyDescent="0.25">
      <c r="A1634">
        <v>2000920010</v>
      </c>
      <c r="B1634" t="s">
        <v>893</v>
      </c>
      <c r="C1634" t="s">
        <v>307</v>
      </c>
      <c r="D1634" t="s">
        <v>308</v>
      </c>
      <c r="E1634" s="2">
        <v>30</v>
      </c>
      <c r="F1634" t="s">
        <v>457</v>
      </c>
      <c r="G1634">
        <v>0</v>
      </c>
      <c r="H1634">
        <v>0</v>
      </c>
      <c r="I1634">
        <v>8.4659999999999993</v>
      </c>
    </row>
    <row r="1635" spans="1:9" x14ac:dyDescent="0.25">
      <c r="A1635">
        <v>2000920010</v>
      </c>
      <c r="B1635" t="s">
        <v>893</v>
      </c>
      <c r="C1635" t="s">
        <v>130</v>
      </c>
      <c r="D1635" t="s">
        <v>131</v>
      </c>
      <c r="E1635" s="2">
        <v>0.70009999999999994</v>
      </c>
      <c r="F1635" t="s">
        <v>457</v>
      </c>
      <c r="G1635">
        <v>96</v>
      </c>
      <c r="H1635">
        <v>552</v>
      </c>
      <c r="I1635">
        <v>10.712755</v>
      </c>
    </row>
    <row r="1636" spans="1:9" x14ac:dyDescent="0.25">
      <c r="A1636">
        <v>2000920010</v>
      </c>
      <c r="B1636" t="s">
        <v>893</v>
      </c>
      <c r="C1636" t="s">
        <v>126</v>
      </c>
      <c r="D1636" t="s">
        <v>127</v>
      </c>
      <c r="E1636" s="2">
        <v>0.99990000000000001</v>
      </c>
      <c r="F1636" t="s">
        <v>457</v>
      </c>
      <c r="G1636" s="2">
        <v>0</v>
      </c>
      <c r="H1636">
        <v>0</v>
      </c>
      <c r="I1636">
        <v>10.711071</v>
      </c>
    </row>
    <row r="1637" spans="1:9" x14ac:dyDescent="0.25">
      <c r="A1637">
        <v>2000920010</v>
      </c>
      <c r="B1637" t="s">
        <v>893</v>
      </c>
      <c r="C1637" t="s">
        <v>151</v>
      </c>
      <c r="D1637" t="s">
        <v>152</v>
      </c>
      <c r="E1637" s="2">
        <v>0</v>
      </c>
      <c r="F1637" t="s">
        <v>457</v>
      </c>
      <c r="G1637">
        <v>0</v>
      </c>
      <c r="H1637">
        <v>96</v>
      </c>
      <c r="I1637">
        <v>8.4661460000000002</v>
      </c>
    </row>
    <row r="1638" spans="1:9" x14ac:dyDescent="0.25">
      <c r="A1638">
        <v>2000920010</v>
      </c>
      <c r="B1638" t="s">
        <v>893</v>
      </c>
      <c r="C1638" t="s">
        <v>139</v>
      </c>
      <c r="D1638" t="s">
        <v>140</v>
      </c>
      <c r="E1638" s="2">
        <v>21</v>
      </c>
      <c r="F1638" t="s">
        <v>457</v>
      </c>
      <c r="G1638">
        <v>0</v>
      </c>
      <c r="H1638">
        <v>0</v>
      </c>
      <c r="I1638">
        <v>8.6057140000000008</v>
      </c>
    </row>
    <row r="1639" spans="1:9" x14ac:dyDescent="0.25">
      <c r="A1639">
        <v>2000920011</v>
      </c>
      <c r="B1639" t="s">
        <v>894</v>
      </c>
      <c r="C1639" t="s">
        <v>307</v>
      </c>
      <c r="D1639" t="s">
        <v>308</v>
      </c>
      <c r="E1639" s="2">
        <v>30</v>
      </c>
      <c r="F1639" t="s">
        <v>457</v>
      </c>
      <c r="G1639">
        <v>0</v>
      </c>
      <c r="H1639">
        <v>0</v>
      </c>
      <c r="I1639">
        <v>8.4659999999999993</v>
      </c>
    </row>
    <row r="1640" spans="1:9" x14ac:dyDescent="0.25">
      <c r="A1640">
        <v>2000920011</v>
      </c>
      <c r="B1640" t="s">
        <v>894</v>
      </c>
      <c r="C1640" t="s">
        <v>130</v>
      </c>
      <c r="D1640" t="s">
        <v>131</v>
      </c>
      <c r="E1640" s="2">
        <v>0.8</v>
      </c>
      <c r="F1640" t="s">
        <v>457</v>
      </c>
      <c r="G1640">
        <v>120</v>
      </c>
      <c r="H1640" s="2">
        <v>1372</v>
      </c>
      <c r="I1640">
        <v>10.4375</v>
      </c>
    </row>
    <row r="1641" spans="1:9" x14ac:dyDescent="0.25">
      <c r="A1641">
        <v>2000920011</v>
      </c>
      <c r="B1641" t="s">
        <v>894</v>
      </c>
      <c r="C1641" t="s">
        <v>151</v>
      </c>
      <c r="D1641" t="s">
        <v>152</v>
      </c>
      <c r="E1641" s="2">
        <v>0</v>
      </c>
      <c r="F1641" t="s">
        <v>457</v>
      </c>
      <c r="G1641">
        <v>0</v>
      </c>
      <c r="H1641">
        <v>120</v>
      </c>
      <c r="I1641">
        <v>8.4661670000000004</v>
      </c>
    </row>
    <row r="1642" spans="1:9" x14ac:dyDescent="0.25">
      <c r="A1642">
        <v>2000920011</v>
      </c>
      <c r="B1642" t="s">
        <v>894</v>
      </c>
      <c r="C1642" t="s">
        <v>139</v>
      </c>
      <c r="D1642" t="s">
        <v>140</v>
      </c>
      <c r="E1642" s="2">
        <v>93</v>
      </c>
      <c r="F1642" t="s">
        <v>457</v>
      </c>
      <c r="G1642">
        <v>0</v>
      </c>
      <c r="H1642">
        <v>0</v>
      </c>
      <c r="I1642">
        <v>8.4868819999999996</v>
      </c>
    </row>
    <row r="1643" spans="1:9" x14ac:dyDescent="0.25">
      <c r="A1643">
        <v>2000920012</v>
      </c>
      <c r="B1643" t="s">
        <v>895</v>
      </c>
      <c r="C1643" t="s">
        <v>307</v>
      </c>
      <c r="D1643" t="s">
        <v>308</v>
      </c>
      <c r="E1643" s="2">
        <v>18</v>
      </c>
      <c r="F1643" t="s">
        <v>457</v>
      </c>
      <c r="G1643">
        <v>0</v>
      </c>
      <c r="H1643">
        <v>0</v>
      </c>
      <c r="I1643">
        <v>8.4661109999999997</v>
      </c>
    </row>
    <row r="1644" spans="1:9" x14ac:dyDescent="0.25">
      <c r="A1644">
        <v>2000920012</v>
      </c>
      <c r="B1644" t="s">
        <v>895</v>
      </c>
      <c r="C1644" t="s">
        <v>130</v>
      </c>
      <c r="D1644" t="s">
        <v>131</v>
      </c>
      <c r="E1644" s="2">
        <v>2.8</v>
      </c>
      <c r="F1644" t="s">
        <v>457</v>
      </c>
      <c r="G1644" s="2">
        <v>151</v>
      </c>
      <c r="H1644">
        <v>600</v>
      </c>
      <c r="I1644">
        <v>11.003571000000001</v>
      </c>
    </row>
    <row r="1645" spans="1:9" x14ac:dyDescent="0.25">
      <c r="A1645">
        <v>2000920012</v>
      </c>
      <c r="B1645" t="s">
        <v>895</v>
      </c>
      <c r="C1645" t="s">
        <v>151</v>
      </c>
      <c r="D1645" t="s">
        <v>152</v>
      </c>
      <c r="E1645" s="2">
        <v>0</v>
      </c>
      <c r="F1645" t="s">
        <v>457</v>
      </c>
      <c r="G1645" s="2">
        <v>0</v>
      </c>
      <c r="H1645" s="2">
        <v>96</v>
      </c>
      <c r="I1645">
        <v>8.4662500000000005</v>
      </c>
    </row>
    <row r="1646" spans="1:9" x14ac:dyDescent="0.25">
      <c r="A1646">
        <v>2000920012</v>
      </c>
      <c r="B1646" t="s">
        <v>895</v>
      </c>
      <c r="C1646" t="s">
        <v>139</v>
      </c>
      <c r="D1646" t="s">
        <v>140</v>
      </c>
      <c r="E1646" s="2">
        <v>1</v>
      </c>
      <c r="F1646" t="s">
        <v>457</v>
      </c>
      <c r="G1646">
        <v>0</v>
      </c>
      <c r="H1646">
        <v>0</v>
      </c>
      <c r="I1646">
        <v>8.6300000000000008</v>
      </c>
    </row>
    <row r="1647" spans="1:9" x14ac:dyDescent="0.25">
      <c r="A1647">
        <v>2000920013</v>
      </c>
      <c r="B1647" t="s">
        <v>896</v>
      </c>
      <c r="C1647" t="s">
        <v>130</v>
      </c>
      <c r="D1647" t="s">
        <v>131</v>
      </c>
      <c r="E1647" s="2">
        <v>0.7</v>
      </c>
      <c r="F1647" t="s">
        <v>457</v>
      </c>
      <c r="G1647">
        <v>0</v>
      </c>
      <c r="H1647">
        <v>0</v>
      </c>
      <c r="I1647">
        <v>9.4714290000000005</v>
      </c>
    </row>
    <row r="1648" spans="1:9" x14ac:dyDescent="0.25">
      <c r="A1648">
        <v>2000920014</v>
      </c>
      <c r="B1648" t="s">
        <v>897</v>
      </c>
      <c r="C1648" t="s">
        <v>130</v>
      </c>
      <c r="D1648" t="s">
        <v>131</v>
      </c>
      <c r="E1648" s="2">
        <v>6.5</v>
      </c>
      <c r="F1648" t="s">
        <v>457</v>
      </c>
      <c r="G1648">
        <v>0</v>
      </c>
      <c r="H1648" s="2">
        <v>0</v>
      </c>
      <c r="I1648">
        <v>10.512308000000001</v>
      </c>
    </row>
    <row r="1649" spans="1:9" x14ac:dyDescent="0.25">
      <c r="A1649">
        <v>2000920016</v>
      </c>
      <c r="B1649" t="s">
        <v>898</v>
      </c>
      <c r="C1649" t="s">
        <v>130</v>
      </c>
      <c r="D1649" t="s">
        <v>131</v>
      </c>
      <c r="E1649" s="2">
        <v>4</v>
      </c>
      <c r="F1649" t="s">
        <v>457</v>
      </c>
      <c r="G1649">
        <v>0</v>
      </c>
      <c r="H1649">
        <v>0</v>
      </c>
      <c r="I1649">
        <v>11.07</v>
      </c>
    </row>
    <row r="1650" spans="1:9" x14ac:dyDescent="0.25">
      <c r="A1650">
        <v>2000920017</v>
      </c>
      <c r="B1650" t="s">
        <v>899</v>
      </c>
      <c r="C1650" t="s">
        <v>130</v>
      </c>
      <c r="D1650" t="s">
        <v>131</v>
      </c>
      <c r="E1650" s="2">
        <v>5</v>
      </c>
      <c r="F1650" t="s">
        <v>457</v>
      </c>
      <c r="G1650">
        <v>0</v>
      </c>
      <c r="H1650">
        <v>0</v>
      </c>
      <c r="I1650">
        <v>10.276</v>
      </c>
    </row>
    <row r="1651" spans="1:9" x14ac:dyDescent="0.25">
      <c r="A1651">
        <v>2000920018</v>
      </c>
      <c r="B1651" t="s">
        <v>900</v>
      </c>
      <c r="C1651" t="s">
        <v>130</v>
      </c>
      <c r="D1651" t="s">
        <v>131</v>
      </c>
      <c r="E1651" s="2">
        <v>1</v>
      </c>
      <c r="F1651" t="s">
        <v>457</v>
      </c>
      <c r="G1651">
        <v>0</v>
      </c>
      <c r="H1651">
        <v>0</v>
      </c>
      <c r="I1651">
        <v>10.9</v>
      </c>
    </row>
    <row r="1652" spans="1:9" x14ac:dyDescent="0.25">
      <c r="A1652">
        <v>2000920019</v>
      </c>
      <c r="B1652" t="s">
        <v>901</v>
      </c>
      <c r="C1652" t="s">
        <v>130</v>
      </c>
      <c r="D1652" t="s">
        <v>131</v>
      </c>
      <c r="E1652" s="2">
        <v>1</v>
      </c>
      <c r="F1652" t="s">
        <v>457</v>
      </c>
      <c r="G1652">
        <v>0</v>
      </c>
      <c r="H1652">
        <v>0</v>
      </c>
      <c r="I1652">
        <v>10.16</v>
      </c>
    </row>
    <row r="1653" spans="1:9" x14ac:dyDescent="0.25">
      <c r="A1653">
        <v>2000920021</v>
      </c>
      <c r="B1653" t="s">
        <v>902</v>
      </c>
      <c r="C1653" t="s">
        <v>126</v>
      </c>
      <c r="D1653" t="s">
        <v>127</v>
      </c>
      <c r="E1653" s="2">
        <v>2.7999000000000001</v>
      </c>
      <c r="F1653" t="s">
        <v>457</v>
      </c>
      <c r="G1653">
        <v>0</v>
      </c>
      <c r="H1653">
        <v>0</v>
      </c>
      <c r="I1653">
        <v>10.736098</v>
      </c>
    </row>
    <row r="1654" spans="1:9" x14ac:dyDescent="0.25">
      <c r="A1654">
        <v>2000920022</v>
      </c>
      <c r="B1654" t="s">
        <v>903</v>
      </c>
      <c r="C1654" t="s">
        <v>130</v>
      </c>
      <c r="D1654" t="s">
        <v>131</v>
      </c>
      <c r="E1654" s="2">
        <v>1</v>
      </c>
      <c r="F1654" t="s">
        <v>457</v>
      </c>
      <c r="G1654">
        <v>0</v>
      </c>
      <c r="H1654">
        <v>0</v>
      </c>
      <c r="I1654">
        <v>10.33</v>
      </c>
    </row>
    <row r="1655" spans="1:9" x14ac:dyDescent="0.25">
      <c r="A1655">
        <v>2000920023</v>
      </c>
      <c r="B1655" t="s">
        <v>904</v>
      </c>
      <c r="C1655" t="s">
        <v>130</v>
      </c>
      <c r="D1655" t="s">
        <v>131</v>
      </c>
      <c r="E1655" s="2">
        <v>1</v>
      </c>
      <c r="F1655" t="s">
        <v>457</v>
      </c>
      <c r="G1655">
        <v>0</v>
      </c>
      <c r="H1655">
        <v>0</v>
      </c>
      <c r="I1655">
        <v>9.18</v>
      </c>
    </row>
    <row r="1656" spans="1:9" x14ac:dyDescent="0.25">
      <c r="A1656">
        <v>2000920024</v>
      </c>
      <c r="B1656" t="s">
        <v>905</v>
      </c>
      <c r="C1656" t="s">
        <v>130</v>
      </c>
      <c r="D1656" t="s">
        <v>131</v>
      </c>
      <c r="E1656" s="2">
        <v>0.5</v>
      </c>
      <c r="F1656" t="s">
        <v>457</v>
      </c>
      <c r="G1656">
        <v>0</v>
      </c>
      <c r="H1656">
        <v>0</v>
      </c>
      <c r="I1656">
        <v>9.52</v>
      </c>
    </row>
    <row r="1657" spans="1:9" x14ac:dyDescent="0.25">
      <c r="A1657">
        <v>2000920025</v>
      </c>
      <c r="B1657" t="s">
        <v>906</v>
      </c>
      <c r="C1657" t="s">
        <v>130</v>
      </c>
      <c r="D1657" t="s">
        <v>131</v>
      </c>
      <c r="E1657" s="2">
        <v>0.5</v>
      </c>
      <c r="F1657" t="s">
        <v>457</v>
      </c>
      <c r="G1657">
        <v>0</v>
      </c>
      <c r="H1657">
        <v>0</v>
      </c>
      <c r="I1657">
        <v>11.22</v>
      </c>
    </row>
    <row r="1658" spans="1:9" x14ac:dyDescent="0.25">
      <c r="A1658">
        <v>2000920026</v>
      </c>
      <c r="B1658" t="s">
        <v>907</v>
      </c>
      <c r="C1658" t="s">
        <v>130</v>
      </c>
      <c r="D1658" t="s">
        <v>131</v>
      </c>
      <c r="E1658" s="2">
        <v>10</v>
      </c>
      <c r="F1658" t="s">
        <v>457</v>
      </c>
      <c r="G1658">
        <v>0</v>
      </c>
      <c r="H1658">
        <v>0</v>
      </c>
      <c r="I1658">
        <v>10.66</v>
      </c>
    </row>
    <row r="1659" spans="1:9" x14ac:dyDescent="0.25">
      <c r="A1659">
        <v>2000920028</v>
      </c>
      <c r="B1659" t="s">
        <v>908</v>
      </c>
      <c r="C1659" t="s">
        <v>130</v>
      </c>
      <c r="D1659" t="s">
        <v>131</v>
      </c>
      <c r="E1659" s="2">
        <v>0.04</v>
      </c>
      <c r="F1659" t="s">
        <v>457</v>
      </c>
      <c r="G1659">
        <v>0</v>
      </c>
      <c r="H1659">
        <v>0</v>
      </c>
      <c r="I1659">
        <v>9.75</v>
      </c>
    </row>
    <row r="1660" spans="1:9" x14ac:dyDescent="0.25">
      <c r="A1660">
        <v>2000920028</v>
      </c>
      <c r="B1660" t="s">
        <v>908</v>
      </c>
      <c r="C1660" t="s">
        <v>126</v>
      </c>
      <c r="D1660" t="s">
        <v>127</v>
      </c>
      <c r="E1660" s="2">
        <v>4</v>
      </c>
      <c r="F1660" t="s">
        <v>457</v>
      </c>
      <c r="G1660">
        <v>0</v>
      </c>
      <c r="H1660">
        <v>0</v>
      </c>
      <c r="I1660">
        <v>9.74</v>
      </c>
    </row>
    <row r="1661" spans="1:9" x14ac:dyDescent="0.25">
      <c r="A1661">
        <v>2000920029</v>
      </c>
      <c r="B1661" t="s">
        <v>909</v>
      </c>
      <c r="C1661" t="s">
        <v>130</v>
      </c>
      <c r="D1661" t="s">
        <v>131</v>
      </c>
      <c r="E1661" s="2">
        <v>1.7</v>
      </c>
      <c r="F1661" t="s">
        <v>457</v>
      </c>
      <c r="G1661">
        <v>354</v>
      </c>
      <c r="H1661">
        <v>901</v>
      </c>
      <c r="I1661">
        <v>6.0529409999999997</v>
      </c>
    </row>
    <row r="1662" spans="1:9" x14ac:dyDescent="0.25">
      <c r="A1662">
        <v>2000920029</v>
      </c>
      <c r="B1662" t="s">
        <v>909</v>
      </c>
      <c r="C1662" t="s">
        <v>151</v>
      </c>
      <c r="D1662" t="s">
        <v>152</v>
      </c>
      <c r="E1662" s="2">
        <v>0</v>
      </c>
      <c r="F1662" t="s">
        <v>457</v>
      </c>
      <c r="G1662">
        <v>0</v>
      </c>
      <c r="H1662">
        <v>168</v>
      </c>
      <c r="I1662">
        <v>5.5350599999999996</v>
      </c>
    </row>
    <row r="1663" spans="1:9" x14ac:dyDescent="0.25">
      <c r="A1663">
        <v>2000920029</v>
      </c>
      <c r="B1663" t="s">
        <v>909</v>
      </c>
      <c r="C1663" t="s">
        <v>139</v>
      </c>
      <c r="D1663" t="s">
        <v>140</v>
      </c>
      <c r="E1663" s="2">
        <v>4</v>
      </c>
      <c r="F1663" t="s">
        <v>457</v>
      </c>
      <c r="G1663" s="2">
        <v>1</v>
      </c>
      <c r="H1663">
        <v>0</v>
      </c>
      <c r="I1663">
        <v>5.6025</v>
      </c>
    </row>
    <row r="1664" spans="1:9" x14ac:dyDescent="0.25">
      <c r="A1664">
        <v>2000920030</v>
      </c>
      <c r="B1664" t="s">
        <v>910</v>
      </c>
      <c r="C1664" t="s">
        <v>307</v>
      </c>
      <c r="D1664" t="s">
        <v>308</v>
      </c>
      <c r="E1664" s="2">
        <v>19</v>
      </c>
      <c r="F1664" t="s">
        <v>457</v>
      </c>
      <c r="G1664">
        <v>0</v>
      </c>
      <c r="H1664">
        <v>0</v>
      </c>
      <c r="I1664">
        <v>5.5347369999999998</v>
      </c>
    </row>
    <row r="1665" spans="1:9" x14ac:dyDescent="0.25">
      <c r="A1665">
        <v>2000920030</v>
      </c>
      <c r="B1665" t="s">
        <v>910</v>
      </c>
      <c r="C1665" t="s">
        <v>130</v>
      </c>
      <c r="D1665" t="s">
        <v>131</v>
      </c>
      <c r="E1665" s="2">
        <v>0</v>
      </c>
      <c r="F1665" t="s">
        <v>457</v>
      </c>
      <c r="G1665">
        <v>48</v>
      </c>
      <c r="H1665" s="2">
        <v>2</v>
      </c>
      <c r="I1665">
        <v>0</v>
      </c>
    </row>
    <row r="1666" spans="1:9" x14ac:dyDescent="0.25">
      <c r="A1666">
        <v>2000920030</v>
      </c>
      <c r="B1666" t="s">
        <v>910</v>
      </c>
      <c r="C1666" t="s">
        <v>151</v>
      </c>
      <c r="D1666" t="s">
        <v>152</v>
      </c>
      <c r="E1666" s="2">
        <v>0</v>
      </c>
      <c r="F1666" t="s">
        <v>457</v>
      </c>
      <c r="G1666">
        <v>0</v>
      </c>
      <c r="H1666" s="2">
        <v>48</v>
      </c>
      <c r="I1666">
        <v>5.5347920000000004</v>
      </c>
    </row>
    <row r="1667" spans="1:9" x14ac:dyDescent="0.25">
      <c r="A1667">
        <v>2000920030</v>
      </c>
      <c r="B1667" t="s">
        <v>910</v>
      </c>
      <c r="C1667" t="s">
        <v>139</v>
      </c>
      <c r="D1667" t="s">
        <v>140</v>
      </c>
      <c r="E1667" s="2">
        <v>25</v>
      </c>
      <c r="F1667" t="s">
        <v>457</v>
      </c>
      <c r="G1667" s="2">
        <v>0</v>
      </c>
      <c r="H1667">
        <v>0</v>
      </c>
      <c r="I1667">
        <v>5.6752000000000002</v>
      </c>
    </row>
    <row r="1668" spans="1:9" x14ac:dyDescent="0.25">
      <c r="A1668">
        <v>2000920031</v>
      </c>
      <c r="B1668" t="s">
        <v>911</v>
      </c>
      <c r="C1668" t="s">
        <v>130</v>
      </c>
      <c r="D1668" t="s">
        <v>131</v>
      </c>
      <c r="E1668" s="2">
        <v>5</v>
      </c>
      <c r="F1668" t="s">
        <v>457</v>
      </c>
      <c r="G1668">
        <v>88</v>
      </c>
      <c r="H1668">
        <v>288</v>
      </c>
      <c r="I1668">
        <v>5.61</v>
      </c>
    </row>
    <row r="1669" spans="1:9" x14ac:dyDescent="0.25">
      <c r="A1669">
        <v>2000920031</v>
      </c>
      <c r="B1669" t="s">
        <v>911</v>
      </c>
      <c r="C1669" t="s">
        <v>151</v>
      </c>
      <c r="D1669" t="s">
        <v>152</v>
      </c>
      <c r="E1669" s="2">
        <v>0</v>
      </c>
      <c r="F1669" t="s">
        <v>457</v>
      </c>
      <c r="G1669">
        <v>0</v>
      </c>
      <c r="H1669">
        <v>72</v>
      </c>
      <c r="I1669">
        <v>5.5347220000000004</v>
      </c>
    </row>
    <row r="1670" spans="1:9" x14ac:dyDescent="0.25">
      <c r="A1670">
        <v>2000920032</v>
      </c>
      <c r="B1670" t="s">
        <v>912</v>
      </c>
      <c r="C1670" t="s">
        <v>130</v>
      </c>
      <c r="D1670" t="s">
        <v>131</v>
      </c>
      <c r="E1670" s="2">
        <v>0.9</v>
      </c>
      <c r="F1670" t="s">
        <v>457</v>
      </c>
      <c r="G1670">
        <v>214</v>
      </c>
      <c r="H1670">
        <v>264</v>
      </c>
      <c r="I1670">
        <v>5.7</v>
      </c>
    </row>
    <row r="1671" spans="1:9" x14ac:dyDescent="0.25">
      <c r="A1671">
        <v>2000920032</v>
      </c>
      <c r="B1671" t="s">
        <v>912</v>
      </c>
      <c r="C1671" t="s">
        <v>151</v>
      </c>
      <c r="D1671" t="s">
        <v>152</v>
      </c>
      <c r="E1671" s="2">
        <v>0</v>
      </c>
      <c r="F1671" t="s">
        <v>457</v>
      </c>
      <c r="G1671">
        <v>0</v>
      </c>
      <c r="H1671">
        <v>288</v>
      </c>
      <c r="I1671">
        <v>5.6920830000000002</v>
      </c>
    </row>
    <row r="1672" spans="1:9" x14ac:dyDescent="0.25">
      <c r="A1672">
        <v>2000920032</v>
      </c>
      <c r="B1672" t="s">
        <v>912</v>
      </c>
      <c r="C1672" t="s">
        <v>139</v>
      </c>
      <c r="D1672" t="s">
        <v>140</v>
      </c>
      <c r="E1672" s="2">
        <v>1</v>
      </c>
      <c r="F1672" t="s">
        <v>457</v>
      </c>
      <c r="G1672">
        <v>96</v>
      </c>
      <c r="H1672">
        <v>0</v>
      </c>
      <c r="I1672">
        <v>5.69</v>
      </c>
    </row>
    <row r="1673" spans="1:9" x14ac:dyDescent="0.25">
      <c r="A1673">
        <v>2000920033</v>
      </c>
      <c r="B1673" t="s">
        <v>913</v>
      </c>
      <c r="C1673" t="s">
        <v>307</v>
      </c>
      <c r="D1673" t="s">
        <v>308</v>
      </c>
      <c r="E1673" s="2">
        <v>29</v>
      </c>
      <c r="F1673" t="s">
        <v>457</v>
      </c>
      <c r="G1673">
        <v>0</v>
      </c>
      <c r="H1673">
        <v>0</v>
      </c>
      <c r="I1673">
        <v>5.5348280000000001</v>
      </c>
    </row>
    <row r="1674" spans="1:9" x14ac:dyDescent="0.25">
      <c r="A1674">
        <v>2000920033</v>
      </c>
      <c r="B1674" t="s">
        <v>913</v>
      </c>
      <c r="C1674" t="s">
        <v>130</v>
      </c>
      <c r="D1674" t="s">
        <v>131</v>
      </c>
      <c r="E1674" s="2">
        <v>3.2</v>
      </c>
      <c r="F1674" t="s">
        <v>457</v>
      </c>
      <c r="G1674">
        <v>94</v>
      </c>
      <c r="H1674">
        <v>0</v>
      </c>
      <c r="I1674">
        <v>6.0593750000000002</v>
      </c>
    </row>
    <row r="1675" spans="1:9" x14ac:dyDescent="0.25">
      <c r="A1675">
        <v>2000920033</v>
      </c>
      <c r="B1675" t="s">
        <v>913</v>
      </c>
      <c r="C1675" t="s">
        <v>151</v>
      </c>
      <c r="D1675" t="s">
        <v>152</v>
      </c>
      <c r="E1675" s="2">
        <v>0</v>
      </c>
      <c r="F1675" t="s">
        <v>457</v>
      </c>
      <c r="G1675">
        <v>0</v>
      </c>
      <c r="H1675">
        <v>72</v>
      </c>
      <c r="I1675">
        <v>5.5347220000000004</v>
      </c>
    </row>
    <row r="1676" spans="1:9" x14ac:dyDescent="0.25">
      <c r="A1676">
        <v>2000920034</v>
      </c>
      <c r="B1676" t="s">
        <v>914</v>
      </c>
      <c r="C1676" t="s">
        <v>307</v>
      </c>
      <c r="D1676" t="s">
        <v>308</v>
      </c>
      <c r="E1676" s="2">
        <v>39</v>
      </c>
      <c r="F1676" t="s">
        <v>457</v>
      </c>
      <c r="G1676">
        <v>0</v>
      </c>
      <c r="H1676">
        <v>0</v>
      </c>
      <c r="I1676">
        <v>5.5351280000000003</v>
      </c>
    </row>
    <row r="1677" spans="1:9" x14ac:dyDescent="0.25">
      <c r="A1677">
        <v>2000920034</v>
      </c>
      <c r="B1677" t="s">
        <v>914</v>
      </c>
      <c r="C1677" t="s">
        <v>130</v>
      </c>
      <c r="D1677" t="s">
        <v>131</v>
      </c>
      <c r="E1677" s="2">
        <v>0.9</v>
      </c>
      <c r="F1677" t="s">
        <v>457</v>
      </c>
      <c r="G1677">
        <v>336</v>
      </c>
      <c r="H1677" s="2">
        <v>1153</v>
      </c>
      <c r="I1677">
        <v>6.0555560000000002</v>
      </c>
    </row>
    <row r="1678" spans="1:9" x14ac:dyDescent="0.25">
      <c r="A1678">
        <v>2000920034</v>
      </c>
      <c r="B1678" t="s">
        <v>914</v>
      </c>
      <c r="C1678" t="s">
        <v>137</v>
      </c>
      <c r="D1678" t="s">
        <v>138</v>
      </c>
      <c r="E1678" s="2">
        <v>1</v>
      </c>
      <c r="F1678" t="s">
        <v>457</v>
      </c>
      <c r="G1678">
        <v>0</v>
      </c>
      <c r="H1678">
        <v>0</v>
      </c>
      <c r="I1678">
        <v>6.05</v>
      </c>
    </row>
    <row r="1679" spans="1:9" x14ac:dyDescent="0.25">
      <c r="A1679">
        <v>2000920034</v>
      </c>
      <c r="B1679" t="s">
        <v>914</v>
      </c>
      <c r="C1679" t="s">
        <v>151</v>
      </c>
      <c r="D1679" t="s">
        <v>152</v>
      </c>
      <c r="E1679" s="2">
        <v>0</v>
      </c>
      <c r="F1679" t="s">
        <v>457</v>
      </c>
      <c r="G1679">
        <v>0</v>
      </c>
      <c r="H1679">
        <v>120</v>
      </c>
      <c r="I1679">
        <v>5.5352499999999996</v>
      </c>
    </row>
    <row r="1680" spans="1:9" x14ac:dyDescent="0.25">
      <c r="A1680">
        <v>2000920034</v>
      </c>
      <c r="B1680" t="s">
        <v>914</v>
      </c>
      <c r="C1680" t="s">
        <v>139</v>
      </c>
      <c r="D1680" t="s">
        <v>140</v>
      </c>
      <c r="E1680" s="2">
        <v>0</v>
      </c>
      <c r="F1680" t="s">
        <v>457</v>
      </c>
      <c r="G1680">
        <v>1</v>
      </c>
      <c r="H1680">
        <v>0</v>
      </c>
      <c r="I1680">
        <v>5.6366670000000001</v>
      </c>
    </row>
    <row r="1681" spans="1:9" x14ac:dyDescent="0.25">
      <c r="A1681">
        <v>2000920035</v>
      </c>
      <c r="B1681" t="s">
        <v>915</v>
      </c>
      <c r="C1681" t="s">
        <v>307</v>
      </c>
      <c r="D1681" t="s">
        <v>308</v>
      </c>
      <c r="E1681" s="2">
        <v>41</v>
      </c>
      <c r="F1681" t="s">
        <v>457</v>
      </c>
      <c r="G1681">
        <v>0</v>
      </c>
      <c r="H1681" s="2">
        <v>0</v>
      </c>
      <c r="I1681">
        <v>5.5353659999999998</v>
      </c>
    </row>
    <row r="1682" spans="1:9" x14ac:dyDescent="0.25">
      <c r="A1682">
        <v>2000920035</v>
      </c>
      <c r="B1682" t="s">
        <v>915</v>
      </c>
      <c r="C1682" t="s">
        <v>130</v>
      </c>
      <c r="D1682" t="s">
        <v>131</v>
      </c>
      <c r="E1682" s="2">
        <v>2</v>
      </c>
      <c r="F1682" t="s">
        <v>457</v>
      </c>
      <c r="G1682">
        <v>408</v>
      </c>
      <c r="H1682">
        <v>601</v>
      </c>
      <c r="I1682">
        <v>6.04</v>
      </c>
    </row>
    <row r="1683" spans="1:9" x14ac:dyDescent="0.25">
      <c r="A1683">
        <v>2000920035</v>
      </c>
      <c r="B1683" t="s">
        <v>915</v>
      </c>
      <c r="C1683" t="s">
        <v>151</v>
      </c>
      <c r="D1683" t="s">
        <v>152</v>
      </c>
      <c r="E1683" s="2">
        <v>0</v>
      </c>
      <c r="F1683" t="s">
        <v>457</v>
      </c>
      <c r="G1683" s="2">
        <v>0</v>
      </c>
      <c r="H1683">
        <v>120</v>
      </c>
      <c r="I1683">
        <v>5.5354169999999998</v>
      </c>
    </row>
    <row r="1684" spans="1:9" x14ac:dyDescent="0.25">
      <c r="A1684">
        <v>2000920035</v>
      </c>
      <c r="B1684" t="s">
        <v>915</v>
      </c>
      <c r="C1684" t="s">
        <v>139</v>
      </c>
      <c r="D1684" t="s">
        <v>140</v>
      </c>
      <c r="E1684" s="2">
        <v>2</v>
      </c>
      <c r="F1684" t="s">
        <v>457</v>
      </c>
      <c r="G1684">
        <v>1</v>
      </c>
      <c r="H1684">
        <v>0</v>
      </c>
      <c r="I1684">
        <v>5.67</v>
      </c>
    </row>
    <row r="1685" spans="1:9" x14ac:dyDescent="0.25">
      <c r="A1685">
        <v>2000920036</v>
      </c>
      <c r="B1685" t="s">
        <v>916</v>
      </c>
      <c r="C1685" t="s">
        <v>307</v>
      </c>
      <c r="D1685" t="s">
        <v>308</v>
      </c>
      <c r="E1685" s="2">
        <v>29</v>
      </c>
      <c r="F1685" t="s">
        <v>457</v>
      </c>
      <c r="G1685">
        <v>0</v>
      </c>
      <c r="H1685" s="2">
        <v>0</v>
      </c>
      <c r="I1685">
        <v>5.5355169999999996</v>
      </c>
    </row>
    <row r="1686" spans="1:9" x14ac:dyDescent="0.25">
      <c r="A1686">
        <v>2000920036</v>
      </c>
      <c r="B1686" t="s">
        <v>916</v>
      </c>
      <c r="C1686" t="s">
        <v>130</v>
      </c>
      <c r="D1686" t="s">
        <v>131</v>
      </c>
      <c r="E1686" s="2">
        <v>3</v>
      </c>
      <c r="F1686" t="s">
        <v>457</v>
      </c>
      <c r="G1686">
        <v>60</v>
      </c>
      <c r="H1686">
        <v>389</v>
      </c>
      <c r="I1686">
        <v>6.0366669999999996</v>
      </c>
    </row>
    <row r="1687" spans="1:9" x14ac:dyDescent="0.25">
      <c r="A1687">
        <v>2000920036</v>
      </c>
      <c r="B1687" t="s">
        <v>916</v>
      </c>
      <c r="C1687" t="s">
        <v>126</v>
      </c>
      <c r="D1687" t="s">
        <v>127</v>
      </c>
      <c r="E1687" s="2">
        <v>1</v>
      </c>
      <c r="F1687" t="s">
        <v>457</v>
      </c>
      <c r="G1687">
        <v>0</v>
      </c>
      <c r="H1687">
        <v>0</v>
      </c>
      <c r="I1687">
        <v>6.04</v>
      </c>
    </row>
    <row r="1688" spans="1:9" x14ac:dyDescent="0.25">
      <c r="A1688">
        <v>2000920036</v>
      </c>
      <c r="B1688" t="s">
        <v>916</v>
      </c>
      <c r="C1688" t="s">
        <v>151</v>
      </c>
      <c r="D1688" t="s">
        <v>152</v>
      </c>
      <c r="E1688" s="2">
        <v>0</v>
      </c>
      <c r="F1688" t="s">
        <v>457</v>
      </c>
      <c r="G1688" s="2">
        <v>0</v>
      </c>
      <c r="H1688">
        <v>48</v>
      </c>
      <c r="I1688">
        <v>5.5358330000000002</v>
      </c>
    </row>
    <row r="1689" spans="1:9" x14ac:dyDescent="0.25">
      <c r="A1689">
        <v>2000920036</v>
      </c>
      <c r="B1689" t="s">
        <v>916</v>
      </c>
      <c r="C1689" t="s">
        <v>139</v>
      </c>
      <c r="D1689" t="s">
        <v>140</v>
      </c>
      <c r="E1689" s="2">
        <v>9</v>
      </c>
      <c r="F1689" t="s">
        <v>457</v>
      </c>
      <c r="G1689">
        <v>1</v>
      </c>
      <c r="H1689">
        <v>0</v>
      </c>
      <c r="I1689">
        <v>5.661111</v>
      </c>
    </row>
    <row r="1690" spans="1:9" x14ac:dyDescent="0.25">
      <c r="A1690">
        <v>2000920037</v>
      </c>
      <c r="B1690" t="s">
        <v>917</v>
      </c>
      <c r="C1690" t="s">
        <v>307</v>
      </c>
      <c r="D1690" t="s">
        <v>308</v>
      </c>
      <c r="E1690" s="2">
        <v>35</v>
      </c>
      <c r="F1690" t="s">
        <v>457</v>
      </c>
      <c r="G1690">
        <v>0</v>
      </c>
      <c r="H1690" s="2">
        <v>0</v>
      </c>
      <c r="I1690">
        <v>5.6231429999999998</v>
      </c>
    </row>
    <row r="1691" spans="1:9" x14ac:dyDescent="0.25">
      <c r="A1691">
        <v>2000920037</v>
      </c>
      <c r="B1691" t="s">
        <v>917</v>
      </c>
      <c r="C1691" t="s">
        <v>130</v>
      </c>
      <c r="D1691" t="s">
        <v>131</v>
      </c>
      <c r="E1691" s="2">
        <v>6.4</v>
      </c>
      <c r="F1691" t="s">
        <v>457</v>
      </c>
      <c r="G1691">
        <v>409</v>
      </c>
      <c r="H1691">
        <v>554</v>
      </c>
      <c r="I1691">
        <v>6.05</v>
      </c>
    </row>
    <row r="1692" spans="1:9" x14ac:dyDescent="0.25">
      <c r="A1692">
        <v>2000920037</v>
      </c>
      <c r="B1692" t="s">
        <v>917</v>
      </c>
      <c r="C1692" t="s">
        <v>126</v>
      </c>
      <c r="D1692" t="s">
        <v>127</v>
      </c>
      <c r="E1692" s="2">
        <v>1</v>
      </c>
      <c r="F1692" t="s">
        <v>457</v>
      </c>
      <c r="G1692">
        <v>0</v>
      </c>
      <c r="H1692">
        <v>0</v>
      </c>
      <c r="I1692">
        <v>6.04</v>
      </c>
    </row>
    <row r="1693" spans="1:9" x14ac:dyDescent="0.25">
      <c r="A1693">
        <v>2000920037</v>
      </c>
      <c r="B1693" t="s">
        <v>917</v>
      </c>
      <c r="C1693" t="s">
        <v>151</v>
      </c>
      <c r="D1693" t="s">
        <v>152</v>
      </c>
      <c r="E1693" s="2">
        <v>0</v>
      </c>
      <c r="F1693" t="s">
        <v>457</v>
      </c>
      <c r="G1693">
        <v>0</v>
      </c>
      <c r="H1693">
        <v>96</v>
      </c>
      <c r="I1693">
        <v>5.5354169999999998</v>
      </c>
    </row>
    <row r="1694" spans="1:9" x14ac:dyDescent="0.25">
      <c r="A1694">
        <v>2000920037</v>
      </c>
      <c r="B1694" t="s">
        <v>917</v>
      </c>
      <c r="C1694" t="s">
        <v>139</v>
      </c>
      <c r="D1694" t="s">
        <v>140</v>
      </c>
      <c r="E1694" s="2">
        <v>2</v>
      </c>
      <c r="F1694" t="s">
        <v>457</v>
      </c>
      <c r="G1694">
        <v>1</v>
      </c>
      <c r="H1694">
        <v>0</v>
      </c>
      <c r="I1694">
        <v>5.66</v>
      </c>
    </row>
    <row r="1695" spans="1:9" x14ac:dyDescent="0.25">
      <c r="A1695">
        <v>2000920038</v>
      </c>
      <c r="B1695" t="s">
        <v>918</v>
      </c>
      <c r="C1695" t="s">
        <v>126</v>
      </c>
      <c r="D1695" t="s">
        <v>127</v>
      </c>
      <c r="E1695" s="2">
        <v>1</v>
      </c>
      <c r="F1695" t="s">
        <v>457</v>
      </c>
      <c r="G1695">
        <v>0</v>
      </c>
      <c r="H1695">
        <v>0</v>
      </c>
      <c r="I1695">
        <v>7.84</v>
      </c>
    </row>
    <row r="1696" spans="1:9" x14ac:dyDescent="0.25">
      <c r="A1696">
        <v>2000920039</v>
      </c>
      <c r="B1696" t="s">
        <v>919</v>
      </c>
      <c r="C1696" t="s">
        <v>307</v>
      </c>
      <c r="D1696" t="s">
        <v>308</v>
      </c>
      <c r="E1696" s="2">
        <v>18</v>
      </c>
      <c r="F1696" t="s">
        <v>457</v>
      </c>
      <c r="G1696">
        <v>0</v>
      </c>
      <c r="H1696">
        <v>0</v>
      </c>
      <c r="I1696">
        <v>5.5350000000000001</v>
      </c>
    </row>
    <row r="1697" spans="1:9" x14ac:dyDescent="0.25">
      <c r="A1697">
        <v>2000920039</v>
      </c>
      <c r="B1697" t="s">
        <v>919</v>
      </c>
      <c r="C1697" t="s">
        <v>130</v>
      </c>
      <c r="D1697" t="s">
        <v>131</v>
      </c>
      <c r="E1697" s="2">
        <v>0.5</v>
      </c>
      <c r="F1697" t="s">
        <v>457</v>
      </c>
      <c r="G1697" s="2">
        <v>38</v>
      </c>
      <c r="H1697">
        <v>236</v>
      </c>
      <c r="I1697">
        <v>6.06</v>
      </c>
    </row>
    <row r="1698" spans="1:9" x14ac:dyDescent="0.25">
      <c r="A1698">
        <v>2000920039</v>
      </c>
      <c r="B1698" t="s">
        <v>919</v>
      </c>
      <c r="C1698" t="s">
        <v>126</v>
      </c>
      <c r="D1698" t="s">
        <v>127</v>
      </c>
      <c r="E1698" s="2">
        <v>1</v>
      </c>
      <c r="F1698" t="s">
        <v>457</v>
      </c>
      <c r="G1698">
        <v>0</v>
      </c>
      <c r="H1698">
        <v>0</v>
      </c>
      <c r="I1698">
        <v>6.06</v>
      </c>
    </row>
    <row r="1699" spans="1:9" x14ac:dyDescent="0.25">
      <c r="A1699">
        <v>2000920039</v>
      </c>
      <c r="B1699" t="s">
        <v>919</v>
      </c>
      <c r="C1699" t="s">
        <v>151</v>
      </c>
      <c r="D1699" t="s">
        <v>152</v>
      </c>
      <c r="E1699" s="2">
        <v>0</v>
      </c>
      <c r="F1699" t="s">
        <v>457</v>
      </c>
      <c r="G1699">
        <v>0</v>
      </c>
      <c r="H1699">
        <v>24</v>
      </c>
      <c r="I1699">
        <v>5.5345829999999996</v>
      </c>
    </row>
    <row r="1700" spans="1:9" x14ac:dyDescent="0.25">
      <c r="A1700">
        <v>2000920039</v>
      </c>
      <c r="B1700" t="s">
        <v>919</v>
      </c>
      <c r="C1700" t="s">
        <v>139</v>
      </c>
      <c r="D1700" t="s">
        <v>140</v>
      </c>
      <c r="E1700" s="2">
        <v>1</v>
      </c>
      <c r="F1700" t="s">
        <v>457</v>
      </c>
      <c r="G1700">
        <v>0</v>
      </c>
      <c r="H1700">
        <v>0</v>
      </c>
      <c r="I1700">
        <v>5.68</v>
      </c>
    </row>
    <row r="1701" spans="1:9" x14ac:dyDescent="0.25">
      <c r="A1701">
        <v>2000920040</v>
      </c>
      <c r="B1701" t="s">
        <v>920</v>
      </c>
      <c r="C1701" t="s">
        <v>307</v>
      </c>
      <c r="D1701" t="s">
        <v>308</v>
      </c>
      <c r="E1701" s="2">
        <v>15</v>
      </c>
      <c r="F1701" t="s">
        <v>457</v>
      </c>
      <c r="G1701">
        <v>0</v>
      </c>
      <c r="H1701">
        <v>0</v>
      </c>
      <c r="I1701">
        <v>5.5739999999999998</v>
      </c>
    </row>
    <row r="1702" spans="1:9" x14ac:dyDescent="0.25">
      <c r="A1702">
        <v>2000920040</v>
      </c>
      <c r="B1702" t="s">
        <v>920</v>
      </c>
      <c r="C1702" t="s">
        <v>130</v>
      </c>
      <c r="D1702" t="s">
        <v>131</v>
      </c>
      <c r="E1702" s="2">
        <v>15</v>
      </c>
      <c r="F1702" t="s">
        <v>457</v>
      </c>
      <c r="G1702">
        <v>93</v>
      </c>
      <c r="H1702">
        <v>96</v>
      </c>
      <c r="I1702">
        <v>5.5739999999999998</v>
      </c>
    </row>
    <row r="1703" spans="1:9" x14ac:dyDescent="0.25">
      <c r="A1703">
        <v>2000920040</v>
      </c>
      <c r="B1703" t="s">
        <v>920</v>
      </c>
      <c r="C1703" t="s">
        <v>151</v>
      </c>
      <c r="D1703" t="s">
        <v>152</v>
      </c>
      <c r="E1703" s="2">
        <v>0</v>
      </c>
      <c r="F1703" t="s">
        <v>457</v>
      </c>
      <c r="G1703">
        <v>0</v>
      </c>
      <c r="H1703">
        <v>72</v>
      </c>
      <c r="I1703">
        <v>5.5347220000000004</v>
      </c>
    </row>
    <row r="1704" spans="1:9" x14ac:dyDescent="0.25">
      <c r="A1704">
        <v>2000920040</v>
      </c>
      <c r="B1704" t="s">
        <v>920</v>
      </c>
      <c r="C1704" t="s">
        <v>139</v>
      </c>
      <c r="D1704" t="s">
        <v>140</v>
      </c>
      <c r="E1704" s="2">
        <v>5</v>
      </c>
      <c r="F1704" t="s">
        <v>457</v>
      </c>
      <c r="G1704">
        <v>0</v>
      </c>
      <c r="H1704">
        <v>0</v>
      </c>
      <c r="I1704">
        <v>5.6879999999999997</v>
      </c>
    </row>
    <row r="1705" spans="1:9" x14ac:dyDescent="0.25">
      <c r="A1705">
        <v>2000920041</v>
      </c>
      <c r="B1705" t="s">
        <v>921</v>
      </c>
      <c r="C1705" t="s">
        <v>130</v>
      </c>
      <c r="D1705" t="s">
        <v>131</v>
      </c>
      <c r="E1705" s="2">
        <v>13</v>
      </c>
      <c r="F1705" t="s">
        <v>457</v>
      </c>
      <c r="G1705">
        <v>66</v>
      </c>
      <c r="H1705">
        <v>334</v>
      </c>
      <c r="I1705">
        <v>5.6184620000000001</v>
      </c>
    </row>
    <row r="1706" spans="1:9" x14ac:dyDescent="0.25">
      <c r="A1706">
        <v>2000920041</v>
      </c>
      <c r="B1706" t="s">
        <v>921</v>
      </c>
      <c r="C1706" t="s">
        <v>151</v>
      </c>
      <c r="D1706" t="s">
        <v>152</v>
      </c>
      <c r="E1706" s="2">
        <v>0</v>
      </c>
      <c r="F1706" t="s">
        <v>457</v>
      </c>
      <c r="G1706">
        <v>0</v>
      </c>
      <c r="H1706">
        <v>48</v>
      </c>
      <c r="I1706">
        <v>5.5345829999999996</v>
      </c>
    </row>
    <row r="1707" spans="1:9" x14ac:dyDescent="0.25">
      <c r="A1707">
        <v>2000920041</v>
      </c>
      <c r="B1707" t="s">
        <v>921</v>
      </c>
      <c r="C1707" t="s">
        <v>139</v>
      </c>
      <c r="D1707" t="s">
        <v>140</v>
      </c>
      <c r="E1707" s="2">
        <v>7</v>
      </c>
      <c r="F1707" t="s">
        <v>457</v>
      </c>
      <c r="G1707">
        <v>0</v>
      </c>
      <c r="H1707">
        <v>0</v>
      </c>
      <c r="I1707">
        <v>5.68</v>
      </c>
    </row>
    <row r="1708" spans="1:9" x14ac:dyDescent="0.25">
      <c r="A1708">
        <v>2000920042</v>
      </c>
      <c r="B1708" t="s">
        <v>922</v>
      </c>
      <c r="C1708" t="s">
        <v>130</v>
      </c>
      <c r="D1708" t="s">
        <v>131</v>
      </c>
      <c r="E1708" s="2">
        <v>1</v>
      </c>
      <c r="F1708" t="s">
        <v>457</v>
      </c>
      <c r="G1708">
        <v>108</v>
      </c>
      <c r="H1708">
        <v>30</v>
      </c>
      <c r="I1708">
        <v>5.53</v>
      </c>
    </row>
    <row r="1709" spans="1:9" x14ac:dyDescent="0.25">
      <c r="A1709">
        <v>2000920042</v>
      </c>
      <c r="B1709" t="s">
        <v>922</v>
      </c>
      <c r="C1709" t="s">
        <v>126</v>
      </c>
      <c r="D1709" t="s">
        <v>127</v>
      </c>
      <c r="E1709" s="2">
        <v>0.9</v>
      </c>
      <c r="F1709" t="s">
        <v>457</v>
      </c>
      <c r="G1709">
        <v>0</v>
      </c>
      <c r="H1709">
        <v>0</v>
      </c>
      <c r="I1709">
        <v>6.0444440000000004</v>
      </c>
    </row>
    <row r="1710" spans="1:9" x14ac:dyDescent="0.25">
      <c r="A1710">
        <v>2000920042</v>
      </c>
      <c r="B1710" t="s">
        <v>922</v>
      </c>
      <c r="C1710" t="s">
        <v>151</v>
      </c>
      <c r="D1710" t="s">
        <v>152</v>
      </c>
      <c r="E1710" s="2">
        <v>0</v>
      </c>
      <c r="F1710" t="s">
        <v>457</v>
      </c>
      <c r="G1710">
        <v>0</v>
      </c>
      <c r="H1710">
        <v>72</v>
      </c>
      <c r="I1710">
        <v>5.5345829999999996</v>
      </c>
    </row>
    <row r="1711" spans="1:9" x14ac:dyDescent="0.25">
      <c r="A1711">
        <v>2000920043</v>
      </c>
      <c r="B1711" t="s">
        <v>923</v>
      </c>
      <c r="C1711" t="s">
        <v>130</v>
      </c>
      <c r="D1711" t="s">
        <v>131</v>
      </c>
      <c r="E1711" s="2">
        <v>0.9</v>
      </c>
      <c r="F1711" t="s">
        <v>457</v>
      </c>
      <c r="G1711">
        <v>120</v>
      </c>
      <c r="H1711" s="2">
        <v>1022</v>
      </c>
      <c r="I1711">
        <v>6.0444440000000004</v>
      </c>
    </row>
    <row r="1712" spans="1:9" x14ac:dyDescent="0.25">
      <c r="A1712">
        <v>2000920043</v>
      </c>
      <c r="B1712" t="s">
        <v>923</v>
      </c>
      <c r="C1712" t="s">
        <v>151</v>
      </c>
      <c r="D1712" t="s">
        <v>152</v>
      </c>
      <c r="E1712" s="2">
        <v>0</v>
      </c>
      <c r="F1712" t="s">
        <v>457</v>
      </c>
      <c r="G1712">
        <v>0</v>
      </c>
      <c r="H1712">
        <v>120</v>
      </c>
      <c r="I1712">
        <v>5.5533330000000003</v>
      </c>
    </row>
    <row r="1713" spans="1:9" x14ac:dyDescent="0.25">
      <c r="A1713">
        <v>2000920043</v>
      </c>
      <c r="B1713" t="s">
        <v>923</v>
      </c>
      <c r="C1713" t="s">
        <v>139</v>
      </c>
      <c r="D1713" t="s">
        <v>140</v>
      </c>
      <c r="E1713" s="2">
        <v>417</v>
      </c>
      <c r="F1713" t="s">
        <v>457</v>
      </c>
      <c r="G1713">
        <v>174</v>
      </c>
      <c r="H1713" s="2">
        <v>0</v>
      </c>
      <c r="I1713">
        <v>5.5749880000000003</v>
      </c>
    </row>
    <row r="1714" spans="1:9" x14ac:dyDescent="0.25">
      <c r="A1714">
        <v>2000920044</v>
      </c>
      <c r="B1714" t="s">
        <v>924</v>
      </c>
      <c r="C1714" t="s">
        <v>126</v>
      </c>
      <c r="D1714" t="s">
        <v>127</v>
      </c>
      <c r="E1714" s="2">
        <v>1</v>
      </c>
      <c r="F1714" t="s">
        <v>457</v>
      </c>
      <c r="G1714">
        <v>0</v>
      </c>
      <c r="H1714">
        <v>0</v>
      </c>
      <c r="I1714">
        <v>7.87</v>
      </c>
    </row>
    <row r="1715" spans="1:9" x14ac:dyDescent="0.25">
      <c r="A1715">
        <v>2000920045</v>
      </c>
      <c r="B1715" t="s">
        <v>925</v>
      </c>
      <c r="C1715" t="s">
        <v>130</v>
      </c>
      <c r="D1715" t="s">
        <v>131</v>
      </c>
      <c r="E1715" s="2">
        <v>1.2</v>
      </c>
      <c r="F1715" t="s">
        <v>457</v>
      </c>
      <c r="G1715">
        <v>0</v>
      </c>
      <c r="H1715">
        <v>0</v>
      </c>
      <c r="I1715">
        <v>29.8</v>
      </c>
    </row>
    <row r="1716" spans="1:9" x14ac:dyDescent="0.25">
      <c r="A1716">
        <v>2000920046</v>
      </c>
      <c r="B1716" t="s">
        <v>926</v>
      </c>
      <c r="C1716" t="s">
        <v>130</v>
      </c>
      <c r="D1716" t="s">
        <v>131</v>
      </c>
      <c r="E1716" s="2">
        <v>8</v>
      </c>
      <c r="F1716" t="s">
        <v>457</v>
      </c>
      <c r="G1716">
        <v>0</v>
      </c>
      <c r="H1716">
        <v>0</v>
      </c>
      <c r="I1716">
        <v>29.806249999999999</v>
      </c>
    </row>
    <row r="1717" spans="1:9" x14ac:dyDescent="0.25">
      <c r="A1717">
        <v>2000920046</v>
      </c>
      <c r="B1717" t="s">
        <v>926</v>
      </c>
      <c r="C1717" t="s">
        <v>126</v>
      </c>
      <c r="D1717" t="s">
        <v>127</v>
      </c>
      <c r="E1717" s="2">
        <v>3</v>
      </c>
      <c r="F1717" t="s">
        <v>457</v>
      </c>
      <c r="G1717">
        <v>0</v>
      </c>
      <c r="H1717" s="2">
        <v>0</v>
      </c>
      <c r="I1717">
        <v>29.806667000000001</v>
      </c>
    </row>
    <row r="1718" spans="1:9" x14ac:dyDescent="0.25">
      <c r="A1718">
        <v>2000920047</v>
      </c>
      <c r="B1718" t="s">
        <v>927</v>
      </c>
      <c r="C1718" t="s">
        <v>126</v>
      </c>
      <c r="D1718" t="s">
        <v>127</v>
      </c>
      <c r="E1718" s="2">
        <v>4</v>
      </c>
      <c r="F1718" t="s">
        <v>457</v>
      </c>
      <c r="G1718" s="2">
        <v>0</v>
      </c>
      <c r="H1718">
        <v>0</v>
      </c>
      <c r="I1718">
        <v>23.6175</v>
      </c>
    </row>
    <row r="1719" spans="1:9" x14ac:dyDescent="0.25">
      <c r="A1719">
        <v>2000920048</v>
      </c>
      <c r="B1719" t="s">
        <v>928</v>
      </c>
      <c r="C1719" t="s">
        <v>126</v>
      </c>
      <c r="D1719" t="s">
        <v>127</v>
      </c>
      <c r="E1719" s="2">
        <v>1</v>
      </c>
      <c r="F1719" t="s">
        <v>457</v>
      </c>
      <c r="G1719">
        <v>0</v>
      </c>
      <c r="H1719">
        <v>0</v>
      </c>
      <c r="I1719">
        <v>31.31</v>
      </c>
    </row>
    <row r="1720" spans="1:9" x14ac:dyDescent="0.25">
      <c r="A1720">
        <v>2000920049</v>
      </c>
      <c r="B1720" t="s">
        <v>929</v>
      </c>
      <c r="C1720" t="s">
        <v>130</v>
      </c>
      <c r="D1720" t="s">
        <v>131</v>
      </c>
      <c r="E1720" s="2">
        <v>12</v>
      </c>
      <c r="F1720" t="s">
        <v>457</v>
      </c>
      <c r="G1720">
        <v>0</v>
      </c>
      <c r="H1720">
        <v>0</v>
      </c>
      <c r="I1720">
        <v>31.261666999999999</v>
      </c>
    </row>
    <row r="1721" spans="1:9" x14ac:dyDescent="0.25">
      <c r="A1721">
        <v>2000920050</v>
      </c>
      <c r="B1721" t="s">
        <v>930</v>
      </c>
      <c r="C1721" t="s">
        <v>130</v>
      </c>
      <c r="D1721" t="s">
        <v>131</v>
      </c>
      <c r="E1721" s="2">
        <v>1</v>
      </c>
      <c r="F1721" t="s">
        <v>457</v>
      </c>
      <c r="G1721">
        <v>0</v>
      </c>
      <c r="H1721">
        <v>0</v>
      </c>
      <c r="I1721">
        <v>31.21</v>
      </c>
    </row>
    <row r="1722" spans="1:9" x14ac:dyDescent="0.25">
      <c r="A1722">
        <v>2000920051</v>
      </c>
      <c r="B1722" t="s">
        <v>931</v>
      </c>
      <c r="C1722" t="s">
        <v>130</v>
      </c>
      <c r="D1722" t="s">
        <v>131</v>
      </c>
      <c r="E1722" s="2">
        <v>99</v>
      </c>
      <c r="F1722" t="s">
        <v>457</v>
      </c>
      <c r="G1722">
        <v>0</v>
      </c>
      <c r="H1722">
        <v>0</v>
      </c>
      <c r="I1722">
        <v>29.351514999999999</v>
      </c>
    </row>
    <row r="1723" spans="1:9" x14ac:dyDescent="0.25">
      <c r="A1723">
        <v>2000920052</v>
      </c>
      <c r="B1723" t="s">
        <v>932</v>
      </c>
      <c r="C1723" t="s">
        <v>130</v>
      </c>
      <c r="D1723" t="s">
        <v>131</v>
      </c>
      <c r="E1723" s="2">
        <v>14</v>
      </c>
      <c r="F1723" t="s">
        <v>457</v>
      </c>
      <c r="G1723">
        <v>0</v>
      </c>
      <c r="H1723">
        <v>0</v>
      </c>
      <c r="I1723">
        <v>29.326429000000001</v>
      </c>
    </row>
    <row r="1724" spans="1:9" x14ac:dyDescent="0.25">
      <c r="A1724">
        <v>2000920057</v>
      </c>
      <c r="B1724" t="s">
        <v>933</v>
      </c>
      <c r="C1724" t="s">
        <v>130</v>
      </c>
      <c r="D1724" t="s">
        <v>131</v>
      </c>
      <c r="E1724" s="2">
        <v>349.08</v>
      </c>
      <c r="F1724" t="s">
        <v>457</v>
      </c>
      <c r="G1724" s="2">
        <v>0</v>
      </c>
      <c r="H1724">
        <v>0</v>
      </c>
      <c r="I1724">
        <v>24.426234999999998</v>
      </c>
    </row>
    <row r="1725" spans="1:9" x14ac:dyDescent="0.25">
      <c r="A1725">
        <v>2000920058</v>
      </c>
      <c r="B1725" t="s">
        <v>934</v>
      </c>
      <c r="C1725" t="s">
        <v>130</v>
      </c>
      <c r="D1725" t="s">
        <v>131</v>
      </c>
      <c r="E1725" s="2">
        <v>381.1</v>
      </c>
      <c r="F1725" t="s">
        <v>457</v>
      </c>
      <c r="G1725">
        <v>0</v>
      </c>
      <c r="H1725">
        <v>0</v>
      </c>
      <c r="I1725">
        <v>24.417345000000001</v>
      </c>
    </row>
    <row r="1726" spans="1:9" x14ac:dyDescent="0.25">
      <c r="A1726">
        <v>2000920059</v>
      </c>
      <c r="B1726" t="s">
        <v>935</v>
      </c>
      <c r="C1726" t="s">
        <v>130</v>
      </c>
      <c r="D1726" t="s">
        <v>131</v>
      </c>
      <c r="E1726" s="2">
        <v>250</v>
      </c>
      <c r="F1726" t="s">
        <v>457</v>
      </c>
      <c r="G1726">
        <v>0</v>
      </c>
      <c r="H1726" s="2">
        <v>0</v>
      </c>
      <c r="I1726">
        <v>24.49972</v>
      </c>
    </row>
    <row r="1727" spans="1:9" x14ac:dyDescent="0.25">
      <c r="A1727">
        <v>2000920060</v>
      </c>
      <c r="B1727" t="s">
        <v>936</v>
      </c>
      <c r="C1727" t="s">
        <v>130</v>
      </c>
      <c r="D1727" t="s">
        <v>131</v>
      </c>
      <c r="E1727" s="2">
        <v>270</v>
      </c>
      <c r="F1727" t="s">
        <v>457</v>
      </c>
      <c r="G1727">
        <v>0</v>
      </c>
      <c r="H1727">
        <v>0</v>
      </c>
      <c r="I1727">
        <v>24.479704000000002</v>
      </c>
    </row>
    <row r="1728" spans="1:9" x14ac:dyDescent="0.25">
      <c r="A1728">
        <v>2000920061</v>
      </c>
      <c r="B1728" t="s">
        <v>937</v>
      </c>
      <c r="C1728" t="s">
        <v>130</v>
      </c>
      <c r="D1728" t="s">
        <v>131</v>
      </c>
      <c r="E1728" s="2">
        <v>358</v>
      </c>
      <c r="F1728" t="s">
        <v>457</v>
      </c>
      <c r="G1728">
        <v>0</v>
      </c>
      <c r="H1728">
        <v>0</v>
      </c>
      <c r="I1728">
        <v>24.423155999999999</v>
      </c>
    </row>
    <row r="1729" spans="1:9" x14ac:dyDescent="0.25">
      <c r="A1729">
        <v>2000920062</v>
      </c>
      <c r="B1729" t="s">
        <v>938</v>
      </c>
      <c r="C1729" t="s">
        <v>130</v>
      </c>
      <c r="D1729" t="s">
        <v>131</v>
      </c>
      <c r="E1729" s="2">
        <v>412</v>
      </c>
      <c r="F1729" t="s">
        <v>457</v>
      </c>
      <c r="G1729">
        <v>0</v>
      </c>
      <c r="H1729">
        <v>0</v>
      </c>
      <c r="I1729">
        <v>24.406358999999998</v>
      </c>
    </row>
    <row r="1730" spans="1:9" x14ac:dyDescent="0.25">
      <c r="A1730">
        <v>2000920063</v>
      </c>
      <c r="B1730" t="s">
        <v>939</v>
      </c>
      <c r="C1730" t="s">
        <v>126</v>
      </c>
      <c r="D1730" t="s">
        <v>127</v>
      </c>
      <c r="E1730" s="2">
        <v>1</v>
      </c>
      <c r="F1730" t="s">
        <v>457</v>
      </c>
      <c r="G1730">
        <v>0</v>
      </c>
      <c r="H1730">
        <v>0</v>
      </c>
      <c r="I1730">
        <v>22.3</v>
      </c>
    </row>
    <row r="1731" spans="1:9" x14ac:dyDescent="0.25">
      <c r="A1731">
        <v>2000920064</v>
      </c>
      <c r="B1731" t="s">
        <v>940</v>
      </c>
      <c r="C1731" t="s">
        <v>307</v>
      </c>
      <c r="D1731" t="s">
        <v>308</v>
      </c>
      <c r="E1731" s="2">
        <v>22</v>
      </c>
      <c r="F1731" t="s">
        <v>457</v>
      </c>
      <c r="G1731">
        <v>0</v>
      </c>
      <c r="H1731">
        <v>0</v>
      </c>
      <c r="I1731">
        <v>8.4663640000000004</v>
      </c>
    </row>
    <row r="1732" spans="1:9" x14ac:dyDescent="0.25">
      <c r="A1732">
        <v>2000920064</v>
      </c>
      <c r="B1732" t="s">
        <v>940</v>
      </c>
      <c r="C1732" t="s">
        <v>130</v>
      </c>
      <c r="D1732" t="s">
        <v>131</v>
      </c>
      <c r="E1732" s="2">
        <v>0</v>
      </c>
      <c r="F1732" t="s">
        <v>457</v>
      </c>
      <c r="G1732">
        <v>100</v>
      </c>
      <c r="H1732">
        <v>670</v>
      </c>
      <c r="I1732">
        <v>8.4820829999999994</v>
      </c>
    </row>
    <row r="1733" spans="1:9" x14ac:dyDescent="0.25">
      <c r="A1733">
        <v>2000920064</v>
      </c>
      <c r="B1733" t="s">
        <v>940</v>
      </c>
      <c r="C1733" t="s">
        <v>137</v>
      </c>
      <c r="D1733" t="s">
        <v>138</v>
      </c>
      <c r="E1733" s="2">
        <v>0</v>
      </c>
      <c r="F1733" t="s">
        <v>457</v>
      </c>
      <c r="G1733">
        <v>0</v>
      </c>
      <c r="H1733">
        <v>1</v>
      </c>
      <c r="I1733">
        <v>0</v>
      </c>
    </row>
    <row r="1734" spans="1:9" x14ac:dyDescent="0.25">
      <c r="A1734">
        <v>2000920064</v>
      </c>
      <c r="B1734" t="s">
        <v>940</v>
      </c>
      <c r="C1734" t="s">
        <v>151</v>
      </c>
      <c r="D1734" t="s">
        <v>152</v>
      </c>
      <c r="E1734" s="2">
        <v>0</v>
      </c>
      <c r="F1734" t="s">
        <v>457</v>
      </c>
      <c r="G1734">
        <v>0</v>
      </c>
      <c r="H1734">
        <v>96</v>
      </c>
      <c r="I1734">
        <v>8.4662500000000005</v>
      </c>
    </row>
    <row r="1735" spans="1:9" x14ac:dyDescent="0.25">
      <c r="A1735">
        <v>2000920064</v>
      </c>
      <c r="B1735" t="s">
        <v>940</v>
      </c>
      <c r="C1735" t="s">
        <v>139</v>
      </c>
      <c r="D1735" t="s">
        <v>140</v>
      </c>
      <c r="E1735" s="2">
        <v>1</v>
      </c>
      <c r="F1735" t="s">
        <v>457</v>
      </c>
      <c r="G1735">
        <v>0</v>
      </c>
      <c r="H1735">
        <v>0</v>
      </c>
      <c r="I1735">
        <v>8.5399999999999991</v>
      </c>
    </row>
    <row r="1736" spans="1:9" x14ac:dyDescent="0.25">
      <c r="A1736">
        <v>2000920065</v>
      </c>
      <c r="B1736" t="s">
        <v>941</v>
      </c>
      <c r="C1736" t="s">
        <v>130</v>
      </c>
      <c r="D1736" t="s">
        <v>131</v>
      </c>
      <c r="E1736" s="2">
        <v>27</v>
      </c>
      <c r="F1736" t="s">
        <v>457</v>
      </c>
      <c r="G1736">
        <v>120</v>
      </c>
      <c r="H1736">
        <v>0</v>
      </c>
      <c r="I1736">
        <v>11.694815</v>
      </c>
    </row>
    <row r="1737" spans="1:9" x14ac:dyDescent="0.25">
      <c r="A1737">
        <v>2000920065</v>
      </c>
      <c r="B1737" t="s">
        <v>941</v>
      </c>
      <c r="C1737" t="s">
        <v>126</v>
      </c>
      <c r="D1737" t="s">
        <v>127</v>
      </c>
      <c r="E1737" s="2">
        <v>15.8</v>
      </c>
      <c r="F1737" t="s">
        <v>457</v>
      </c>
      <c r="G1737">
        <v>0</v>
      </c>
      <c r="H1737">
        <v>0</v>
      </c>
      <c r="I1737">
        <v>12.776581999999999</v>
      </c>
    </row>
    <row r="1738" spans="1:9" x14ac:dyDescent="0.25">
      <c r="A1738">
        <v>2000920065</v>
      </c>
      <c r="B1738" t="s">
        <v>941</v>
      </c>
      <c r="C1738" t="s">
        <v>151</v>
      </c>
      <c r="D1738" t="s">
        <v>152</v>
      </c>
      <c r="E1738" s="2">
        <v>0</v>
      </c>
      <c r="F1738" t="s">
        <v>457</v>
      </c>
      <c r="G1738">
        <v>0</v>
      </c>
      <c r="H1738">
        <v>120</v>
      </c>
      <c r="I1738">
        <v>11.694750000000001</v>
      </c>
    </row>
    <row r="1739" spans="1:9" x14ac:dyDescent="0.25">
      <c r="A1739">
        <v>2000920065</v>
      </c>
      <c r="B1739" t="s">
        <v>941</v>
      </c>
      <c r="C1739" t="s">
        <v>139</v>
      </c>
      <c r="D1739" t="s">
        <v>140</v>
      </c>
      <c r="E1739" s="2">
        <v>15</v>
      </c>
      <c r="F1739" t="s">
        <v>457</v>
      </c>
      <c r="G1739">
        <v>0</v>
      </c>
      <c r="H1739" s="2">
        <v>0</v>
      </c>
      <c r="I1739">
        <v>11.984</v>
      </c>
    </row>
    <row r="1740" spans="1:9" x14ac:dyDescent="0.25">
      <c r="A1740">
        <v>2000920066</v>
      </c>
      <c r="B1740" t="s">
        <v>942</v>
      </c>
      <c r="C1740" t="s">
        <v>307</v>
      </c>
      <c r="D1740" t="s">
        <v>308</v>
      </c>
      <c r="E1740" s="2">
        <v>39</v>
      </c>
      <c r="F1740" t="s">
        <v>457</v>
      </c>
      <c r="G1740">
        <v>0</v>
      </c>
      <c r="H1740">
        <v>0</v>
      </c>
      <c r="I1740">
        <v>12.529487</v>
      </c>
    </row>
    <row r="1741" spans="1:9" x14ac:dyDescent="0.25">
      <c r="A1741">
        <v>2000920066</v>
      </c>
      <c r="B1741" t="s">
        <v>942</v>
      </c>
      <c r="C1741" t="s">
        <v>130</v>
      </c>
      <c r="D1741" t="s">
        <v>131</v>
      </c>
      <c r="E1741" s="2">
        <v>2</v>
      </c>
      <c r="F1741" t="s">
        <v>457</v>
      </c>
      <c r="G1741">
        <v>29</v>
      </c>
      <c r="H1741">
        <v>0</v>
      </c>
      <c r="I1741">
        <v>13.865</v>
      </c>
    </row>
    <row r="1742" spans="1:9" x14ac:dyDescent="0.25">
      <c r="A1742">
        <v>2000920066</v>
      </c>
      <c r="B1742" t="s">
        <v>942</v>
      </c>
      <c r="C1742" t="s">
        <v>151</v>
      </c>
      <c r="D1742" t="s">
        <v>152</v>
      </c>
      <c r="E1742" s="2">
        <v>0</v>
      </c>
      <c r="F1742" t="s">
        <v>457</v>
      </c>
      <c r="G1742">
        <v>0</v>
      </c>
      <c r="H1742">
        <v>24</v>
      </c>
      <c r="I1742">
        <v>11.695</v>
      </c>
    </row>
    <row r="1743" spans="1:9" x14ac:dyDescent="0.25">
      <c r="A1743">
        <v>2000920066</v>
      </c>
      <c r="B1743" t="s">
        <v>942</v>
      </c>
      <c r="C1743" t="s">
        <v>139</v>
      </c>
      <c r="D1743" t="s">
        <v>140</v>
      </c>
      <c r="E1743" s="2">
        <v>13</v>
      </c>
      <c r="F1743" t="s">
        <v>457</v>
      </c>
      <c r="G1743">
        <v>0</v>
      </c>
      <c r="H1743">
        <v>0</v>
      </c>
      <c r="I1743">
        <v>11.910769</v>
      </c>
    </row>
    <row r="1744" spans="1:9" x14ac:dyDescent="0.25">
      <c r="A1744">
        <v>2000920067</v>
      </c>
      <c r="B1744" t="s">
        <v>943</v>
      </c>
      <c r="C1744" t="s">
        <v>307</v>
      </c>
      <c r="D1744" t="s">
        <v>308</v>
      </c>
      <c r="E1744" s="2">
        <v>11</v>
      </c>
      <c r="F1744" t="s">
        <v>457</v>
      </c>
      <c r="G1744">
        <v>0</v>
      </c>
      <c r="H1744">
        <v>0</v>
      </c>
      <c r="I1744">
        <v>12.367273000000001</v>
      </c>
    </row>
    <row r="1745" spans="1:9" x14ac:dyDescent="0.25">
      <c r="A1745">
        <v>2000920067</v>
      </c>
      <c r="B1745" t="s">
        <v>943</v>
      </c>
      <c r="C1745" t="s">
        <v>130</v>
      </c>
      <c r="D1745" t="s">
        <v>131</v>
      </c>
      <c r="E1745" s="2">
        <v>1</v>
      </c>
      <c r="F1745" t="s">
        <v>457</v>
      </c>
      <c r="G1745" s="2">
        <v>18</v>
      </c>
      <c r="H1745" s="2">
        <v>0</v>
      </c>
      <c r="I1745">
        <v>12.36</v>
      </c>
    </row>
    <row r="1746" spans="1:9" x14ac:dyDescent="0.25">
      <c r="A1746">
        <v>2000920068</v>
      </c>
      <c r="B1746" t="s">
        <v>944</v>
      </c>
      <c r="C1746" t="s">
        <v>307</v>
      </c>
      <c r="D1746" t="s">
        <v>308</v>
      </c>
      <c r="E1746" s="2">
        <v>80</v>
      </c>
      <c r="F1746" t="s">
        <v>457</v>
      </c>
      <c r="G1746">
        <v>0</v>
      </c>
      <c r="H1746">
        <v>0</v>
      </c>
      <c r="I1746">
        <v>11.694750000000001</v>
      </c>
    </row>
    <row r="1747" spans="1:9" x14ac:dyDescent="0.25">
      <c r="A1747">
        <v>2000920068</v>
      </c>
      <c r="B1747" t="s">
        <v>944</v>
      </c>
      <c r="C1747" t="s">
        <v>199</v>
      </c>
      <c r="D1747" t="s">
        <v>200</v>
      </c>
      <c r="E1747" s="2">
        <v>3</v>
      </c>
      <c r="F1747" t="s">
        <v>457</v>
      </c>
      <c r="G1747">
        <v>0</v>
      </c>
      <c r="H1747">
        <v>0</v>
      </c>
      <c r="I1747">
        <v>11.693333000000001</v>
      </c>
    </row>
    <row r="1748" spans="1:9" x14ac:dyDescent="0.25">
      <c r="A1748">
        <v>2000920068</v>
      </c>
      <c r="B1748" t="s">
        <v>944</v>
      </c>
      <c r="C1748" t="s">
        <v>130</v>
      </c>
      <c r="D1748" t="s">
        <v>131</v>
      </c>
      <c r="E1748" s="2">
        <v>3.8</v>
      </c>
      <c r="F1748" t="s">
        <v>457</v>
      </c>
      <c r="G1748">
        <v>137</v>
      </c>
      <c r="H1748">
        <v>0</v>
      </c>
      <c r="I1748">
        <v>14.05</v>
      </c>
    </row>
    <row r="1749" spans="1:9" x14ac:dyDescent="0.25">
      <c r="A1749">
        <v>2000920068</v>
      </c>
      <c r="B1749" t="s">
        <v>944</v>
      </c>
      <c r="C1749" t="s">
        <v>151</v>
      </c>
      <c r="D1749" t="s">
        <v>152</v>
      </c>
      <c r="E1749" s="2">
        <v>0</v>
      </c>
      <c r="F1749" t="s">
        <v>457</v>
      </c>
      <c r="G1749">
        <v>0</v>
      </c>
      <c r="H1749">
        <v>120</v>
      </c>
      <c r="I1749">
        <v>11.694750000000001</v>
      </c>
    </row>
    <row r="1750" spans="1:9" x14ac:dyDescent="0.25">
      <c r="A1750">
        <v>2000920069</v>
      </c>
      <c r="B1750" t="s">
        <v>945</v>
      </c>
      <c r="C1750" t="s">
        <v>130</v>
      </c>
      <c r="D1750" t="s">
        <v>131</v>
      </c>
      <c r="E1750" s="2">
        <v>2.8</v>
      </c>
      <c r="F1750" t="s">
        <v>457</v>
      </c>
      <c r="G1750">
        <v>61</v>
      </c>
      <c r="H1750">
        <v>0</v>
      </c>
      <c r="I1750">
        <v>11.75</v>
      </c>
    </row>
    <row r="1751" spans="1:9" x14ac:dyDescent="0.25">
      <c r="A1751">
        <v>2000920069</v>
      </c>
      <c r="B1751" t="s">
        <v>945</v>
      </c>
      <c r="C1751" t="s">
        <v>151</v>
      </c>
      <c r="D1751" t="s">
        <v>152</v>
      </c>
      <c r="E1751" s="2">
        <v>0</v>
      </c>
      <c r="F1751" t="s">
        <v>457</v>
      </c>
      <c r="G1751">
        <v>0</v>
      </c>
      <c r="H1751">
        <v>24</v>
      </c>
      <c r="I1751">
        <v>11.695</v>
      </c>
    </row>
    <row r="1752" spans="1:9" x14ac:dyDescent="0.25">
      <c r="A1752">
        <v>2000920069</v>
      </c>
      <c r="B1752" t="s">
        <v>945</v>
      </c>
      <c r="C1752" t="s">
        <v>139</v>
      </c>
      <c r="D1752" t="s">
        <v>140</v>
      </c>
      <c r="E1752" s="2">
        <v>1</v>
      </c>
      <c r="F1752" t="s">
        <v>457</v>
      </c>
      <c r="G1752">
        <v>0</v>
      </c>
      <c r="H1752">
        <v>0</v>
      </c>
      <c r="I1752">
        <v>12</v>
      </c>
    </row>
    <row r="1753" spans="1:9" x14ac:dyDescent="0.25">
      <c r="A1753">
        <v>2000920070</v>
      </c>
      <c r="B1753" t="s">
        <v>946</v>
      </c>
      <c r="C1753" t="s">
        <v>307</v>
      </c>
      <c r="D1753" t="s">
        <v>308</v>
      </c>
      <c r="E1753" s="2">
        <v>50</v>
      </c>
      <c r="F1753" t="s">
        <v>457</v>
      </c>
      <c r="G1753">
        <v>0</v>
      </c>
      <c r="H1753">
        <v>0</v>
      </c>
      <c r="I1753">
        <v>11.982200000000001</v>
      </c>
    </row>
    <row r="1754" spans="1:9" x14ac:dyDescent="0.25">
      <c r="A1754">
        <v>2000920070</v>
      </c>
      <c r="B1754" t="s">
        <v>946</v>
      </c>
      <c r="C1754" t="s">
        <v>130</v>
      </c>
      <c r="D1754" t="s">
        <v>131</v>
      </c>
      <c r="E1754" s="2">
        <v>24.8</v>
      </c>
      <c r="F1754" t="s">
        <v>457</v>
      </c>
      <c r="G1754">
        <v>48</v>
      </c>
      <c r="H1754">
        <v>670</v>
      </c>
      <c r="I1754">
        <v>12.5375</v>
      </c>
    </row>
    <row r="1755" spans="1:9" x14ac:dyDescent="0.25">
      <c r="A1755">
        <v>2000920070</v>
      </c>
      <c r="B1755" t="s">
        <v>946</v>
      </c>
      <c r="C1755" t="s">
        <v>126</v>
      </c>
      <c r="D1755" t="s">
        <v>127</v>
      </c>
      <c r="E1755" s="2">
        <v>1</v>
      </c>
      <c r="F1755" t="s">
        <v>457</v>
      </c>
      <c r="G1755">
        <v>0</v>
      </c>
      <c r="H1755">
        <v>0</v>
      </c>
      <c r="I1755">
        <v>12.53</v>
      </c>
    </row>
    <row r="1756" spans="1:9" x14ac:dyDescent="0.25">
      <c r="A1756">
        <v>2000920070</v>
      </c>
      <c r="B1756" t="s">
        <v>946</v>
      </c>
      <c r="C1756" t="s">
        <v>151</v>
      </c>
      <c r="D1756" t="s">
        <v>152</v>
      </c>
      <c r="E1756" s="2">
        <v>0</v>
      </c>
      <c r="F1756" t="s">
        <v>457</v>
      </c>
      <c r="G1756">
        <v>0</v>
      </c>
      <c r="H1756">
        <v>48</v>
      </c>
      <c r="I1756">
        <v>11.694792</v>
      </c>
    </row>
    <row r="1757" spans="1:9" x14ac:dyDescent="0.25">
      <c r="A1757">
        <v>2000920070</v>
      </c>
      <c r="B1757" t="s">
        <v>946</v>
      </c>
      <c r="C1757" t="s">
        <v>139</v>
      </c>
      <c r="D1757" t="s">
        <v>140</v>
      </c>
      <c r="E1757" s="2">
        <v>137</v>
      </c>
      <c r="F1757" t="s">
        <v>457</v>
      </c>
      <c r="G1757">
        <v>0</v>
      </c>
      <c r="H1757">
        <v>0</v>
      </c>
      <c r="I1757">
        <v>11.852993</v>
      </c>
    </row>
    <row r="1758" spans="1:9" x14ac:dyDescent="0.25">
      <c r="A1758">
        <v>2000920071</v>
      </c>
      <c r="B1758" t="s">
        <v>947</v>
      </c>
      <c r="C1758" t="s">
        <v>307</v>
      </c>
      <c r="D1758" t="s">
        <v>308</v>
      </c>
      <c r="E1758" s="2">
        <v>20</v>
      </c>
      <c r="F1758" t="s">
        <v>457</v>
      </c>
      <c r="G1758">
        <v>0</v>
      </c>
      <c r="H1758">
        <v>0</v>
      </c>
      <c r="I1758">
        <v>11.9415</v>
      </c>
    </row>
    <row r="1759" spans="1:9" x14ac:dyDescent="0.25">
      <c r="A1759">
        <v>2000920071</v>
      </c>
      <c r="B1759" t="s">
        <v>947</v>
      </c>
      <c r="C1759" t="s">
        <v>130</v>
      </c>
      <c r="D1759" t="s">
        <v>131</v>
      </c>
      <c r="E1759" s="2">
        <v>15</v>
      </c>
      <c r="F1759" t="s">
        <v>457</v>
      </c>
      <c r="G1759">
        <v>53</v>
      </c>
      <c r="H1759">
        <v>26</v>
      </c>
      <c r="I1759">
        <v>11.986667000000001</v>
      </c>
    </row>
    <row r="1760" spans="1:9" x14ac:dyDescent="0.25">
      <c r="A1760">
        <v>2000920071</v>
      </c>
      <c r="B1760" t="s">
        <v>947</v>
      </c>
      <c r="C1760" t="s">
        <v>151</v>
      </c>
      <c r="D1760" t="s">
        <v>152</v>
      </c>
      <c r="E1760" s="2">
        <v>0</v>
      </c>
      <c r="F1760" t="s">
        <v>457</v>
      </c>
      <c r="G1760">
        <v>0</v>
      </c>
      <c r="H1760">
        <v>48</v>
      </c>
      <c r="I1760">
        <v>11.694792</v>
      </c>
    </row>
    <row r="1761" spans="1:9" x14ac:dyDescent="0.25">
      <c r="A1761">
        <v>2000920072</v>
      </c>
      <c r="B1761" t="s">
        <v>948</v>
      </c>
      <c r="C1761" t="s">
        <v>307</v>
      </c>
      <c r="D1761" t="s">
        <v>308</v>
      </c>
      <c r="E1761" s="2">
        <v>46</v>
      </c>
      <c r="F1761" t="s">
        <v>457</v>
      </c>
      <c r="G1761" s="2">
        <v>0</v>
      </c>
      <c r="H1761">
        <v>0</v>
      </c>
      <c r="I1761">
        <v>11.694782999999999</v>
      </c>
    </row>
    <row r="1762" spans="1:9" x14ac:dyDescent="0.25">
      <c r="A1762">
        <v>2000920072</v>
      </c>
      <c r="B1762" t="s">
        <v>948</v>
      </c>
      <c r="C1762" t="s">
        <v>130</v>
      </c>
      <c r="D1762" t="s">
        <v>131</v>
      </c>
      <c r="E1762" s="2">
        <v>1.8</v>
      </c>
      <c r="F1762" t="s">
        <v>457</v>
      </c>
      <c r="G1762">
        <v>51</v>
      </c>
      <c r="H1762">
        <v>720</v>
      </c>
      <c r="I1762">
        <v>12.522221999999999</v>
      </c>
    </row>
    <row r="1763" spans="1:9" x14ac:dyDescent="0.25">
      <c r="A1763">
        <v>2000920072</v>
      </c>
      <c r="B1763" t="s">
        <v>948</v>
      </c>
      <c r="C1763" t="s">
        <v>151</v>
      </c>
      <c r="D1763" t="s">
        <v>152</v>
      </c>
      <c r="E1763" s="2">
        <v>0</v>
      </c>
      <c r="F1763" t="s">
        <v>457</v>
      </c>
      <c r="G1763">
        <v>0</v>
      </c>
      <c r="H1763">
        <v>48</v>
      </c>
      <c r="I1763">
        <v>11.694792</v>
      </c>
    </row>
    <row r="1764" spans="1:9" x14ac:dyDescent="0.25">
      <c r="A1764">
        <v>2000920072</v>
      </c>
      <c r="B1764" t="s">
        <v>948</v>
      </c>
      <c r="C1764" t="s">
        <v>139</v>
      </c>
      <c r="D1764" t="s">
        <v>140</v>
      </c>
      <c r="E1764" s="2">
        <v>1</v>
      </c>
      <c r="F1764" t="s">
        <v>457</v>
      </c>
      <c r="G1764">
        <v>0</v>
      </c>
      <c r="H1764">
        <v>0</v>
      </c>
      <c r="I1764">
        <v>11.91</v>
      </c>
    </row>
    <row r="1765" spans="1:9" x14ac:dyDescent="0.25">
      <c r="A1765">
        <v>2000920073</v>
      </c>
      <c r="B1765" t="s">
        <v>949</v>
      </c>
      <c r="C1765" t="s">
        <v>130</v>
      </c>
      <c r="D1765" t="s">
        <v>131</v>
      </c>
      <c r="E1765" s="2">
        <v>10</v>
      </c>
      <c r="F1765" t="s">
        <v>457</v>
      </c>
      <c r="G1765">
        <v>53</v>
      </c>
      <c r="H1765">
        <v>12</v>
      </c>
      <c r="I1765">
        <v>11.695</v>
      </c>
    </row>
    <row r="1766" spans="1:9" x14ac:dyDescent="0.25">
      <c r="A1766">
        <v>2000920073</v>
      </c>
      <c r="B1766" t="s">
        <v>949</v>
      </c>
      <c r="C1766" t="s">
        <v>151</v>
      </c>
      <c r="D1766" t="s">
        <v>152</v>
      </c>
      <c r="E1766" s="2">
        <v>0</v>
      </c>
      <c r="F1766" t="s">
        <v>457</v>
      </c>
      <c r="G1766">
        <v>0</v>
      </c>
      <c r="H1766" s="2">
        <v>48</v>
      </c>
      <c r="I1766">
        <v>11.695</v>
      </c>
    </row>
    <row r="1767" spans="1:9" x14ac:dyDescent="0.25">
      <c r="A1767">
        <v>2000920073</v>
      </c>
      <c r="B1767" t="s">
        <v>949</v>
      </c>
      <c r="C1767" t="s">
        <v>139</v>
      </c>
      <c r="D1767" t="s">
        <v>140</v>
      </c>
      <c r="E1767" s="2">
        <v>1</v>
      </c>
      <c r="F1767" t="s">
        <v>457</v>
      </c>
      <c r="G1767">
        <v>0</v>
      </c>
      <c r="H1767">
        <v>0</v>
      </c>
      <c r="I1767">
        <v>11.98</v>
      </c>
    </row>
    <row r="1768" spans="1:9" x14ac:dyDescent="0.25">
      <c r="A1768">
        <v>2000920074</v>
      </c>
      <c r="B1768" t="s">
        <v>950</v>
      </c>
      <c r="C1768" t="s">
        <v>307</v>
      </c>
      <c r="D1768" t="s">
        <v>308</v>
      </c>
      <c r="E1768" s="2">
        <v>23</v>
      </c>
      <c r="F1768" t="s">
        <v>457</v>
      </c>
      <c r="G1768" s="2">
        <v>0</v>
      </c>
      <c r="H1768">
        <v>0</v>
      </c>
      <c r="I1768">
        <v>11.754348</v>
      </c>
    </row>
    <row r="1769" spans="1:9" x14ac:dyDescent="0.25">
      <c r="A1769">
        <v>2000920074</v>
      </c>
      <c r="B1769" t="s">
        <v>950</v>
      </c>
      <c r="C1769" t="s">
        <v>130</v>
      </c>
      <c r="D1769" t="s">
        <v>131</v>
      </c>
      <c r="E1769" s="2">
        <v>0.8</v>
      </c>
      <c r="F1769" t="s">
        <v>457</v>
      </c>
      <c r="G1769">
        <v>56</v>
      </c>
      <c r="H1769">
        <v>0</v>
      </c>
      <c r="I1769">
        <v>13.2</v>
      </c>
    </row>
    <row r="1770" spans="1:9" x14ac:dyDescent="0.25">
      <c r="A1770">
        <v>2000920074</v>
      </c>
      <c r="B1770" t="s">
        <v>950</v>
      </c>
      <c r="C1770" t="s">
        <v>151</v>
      </c>
      <c r="D1770" t="s">
        <v>152</v>
      </c>
      <c r="E1770" s="2">
        <v>0</v>
      </c>
      <c r="F1770" t="s">
        <v>457</v>
      </c>
      <c r="G1770" s="2">
        <v>0</v>
      </c>
      <c r="H1770">
        <v>24</v>
      </c>
      <c r="I1770">
        <v>11.694583</v>
      </c>
    </row>
    <row r="1771" spans="1:9" x14ac:dyDescent="0.25">
      <c r="A1771">
        <v>2000920075</v>
      </c>
      <c r="B1771" t="s">
        <v>951</v>
      </c>
      <c r="C1771" t="s">
        <v>307</v>
      </c>
      <c r="D1771" t="s">
        <v>308</v>
      </c>
      <c r="E1771" s="2">
        <v>28</v>
      </c>
      <c r="F1771" t="s">
        <v>457</v>
      </c>
      <c r="G1771">
        <v>0</v>
      </c>
      <c r="H1771">
        <v>0</v>
      </c>
      <c r="I1771">
        <v>11.815</v>
      </c>
    </row>
    <row r="1772" spans="1:9" x14ac:dyDescent="0.25">
      <c r="A1772">
        <v>2000920075</v>
      </c>
      <c r="B1772" t="s">
        <v>951</v>
      </c>
      <c r="C1772" t="s">
        <v>130</v>
      </c>
      <c r="D1772" t="s">
        <v>131</v>
      </c>
      <c r="E1772" s="2">
        <v>2.8</v>
      </c>
      <c r="F1772" t="s">
        <v>457</v>
      </c>
      <c r="G1772">
        <v>41</v>
      </c>
      <c r="H1772">
        <v>226</v>
      </c>
      <c r="I1772">
        <v>12.535714</v>
      </c>
    </row>
    <row r="1773" spans="1:9" x14ac:dyDescent="0.25">
      <c r="A1773">
        <v>2000920075</v>
      </c>
      <c r="B1773" t="s">
        <v>951</v>
      </c>
      <c r="C1773" t="s">
        <v>151</v>
      </c>
      <c r="D1773" t="s">
        <v>152</v>
      </c>
      <c r="E1773" s="2">
        <v>0</v>
      </c>
      <c r="F1773" t="s">
        <v>457</v>
      </c>
      <c r="G1773">
        <v>0</v>
      </c>
      <c r="H1773">
        <v>24</v>
      </c>
      <c r="I1773">
        <v>11.695</v>
      </c>
    </row>
    <row r="1774" spans="1:9" x14ac:dyDescent="0.25">
      <c r="A1774">
        <v>2000920075</v>
      </c>
      <c r="B1774" t="s">
        <v>951</v>
      </c>
      <c r="C1774" t="s">
        <v>139</v>
      </c>
      <c r="D1774" t="s">
        <v>140</v>
      </c>
      <c r="E1774" s="2">
        <v>4</v>
      </c>
      <c r="F1774" t="s">
        <v>457</v>
      </c>
      <c r="G1774">
        <v>0</v>
      </c>
      <c r="H1774">
        <v>0</v>
      </c>
      <c r="I1774">
        <v>11.795</v>
      </c>
    </row>
    <row r="1775" spans="1:9" x14ac:dyDescent="0.25">
      <c r="A1775">
        <v>2000920076</v>
      </c>
      <c r="B1775" t="s">
        <v>952</v>
      </c>
      <c r="C1775" t="s">
        <v>307</v>
      </c>
      <c r="D1775" t="s">
        <v>308</v>
      </c>
      <c r="E1775" s="2">
        <v>9</v>
      </c>
      <c r="F1775" t="s">
        <v>457</v>
      </c>
      <c r="G1775">
        <v>0</v>
      </c>
      <c r="H1775">
        <v>0</v>
      </c>
      <c r="I1775">
        <v>11.836667</v>
      </c>
    </row>
    <row r="1776" spans="1:9" x14ac:dyDescent="0.25">
      <c r="A1776">
        <v>2000920076</v>
      </c>
      <c r="B1776" t="s">
        <v>952</v>
      </c>
      <c r="C1776" t="s">
        <v>130</v>
      </c>
      <c r="D1776" t="s">
        <v>131</v>
      </c>
      <c r="E1776" s="2">
        <v>5</v>
      </c>
      <c r="F1776" t="s">
        <v>457</v>
      </c>
      <c r="G1776">
        <v>58</v>
      </c>
      <c r="H1776">
        <v>0</v>
      </c>
      <c r="I1776">
        <v>11.836</v>
      </c>
    </row>
    <row r="1777" spans="1:9" x14ac:dyDescent="0.25">
      <c r="A1777">
        <v>2000920076</v>
      </c>
      <c r="B1777" t="s">
        <v>952</v>
      </c>
      <c r="C1777" t="s">
        <v>151</v>
      </c>
      <c r="D1777" t="s">
        <v>152</v>
      </c>
      <c r="E1777" s="2">
        <v>0</v>
      </c>
      <c r="F1777" t="s">
        <v>457</v>
      </c>
      <c r="G1777" s="2">
        <v>0</v>
      </c>
      <c r="H1777">
        <v>48</v>
      </c>
      <c r="I1777">
        <v>11.694792</v>
      </c>
    </row>
    <row r="1778" spans="1:9" x14ac:dyDescent="0.25">
      <c r="A1778">
        <v>2000920076</v>
      </c>
      <c r="B1778" t="s">
        <v>952</v>
      </c>
      <c r="C1778" t="s">
        <v>139</v>
      </c>
      <c r="D1778" t="s">
        <v>140</v>
      </c>
      <c r="E1778" s="2">
        <v>4</v>
      </c>
      <c r="F1778" t="s">
        <v>457</v>
      </c>
      <c r="G1778">
        <v>0</v>
      </c>
      <c r="H1778">
        <v>0</v>
      </c>
      <c r="I1778">
        <v>11.9925</v>
      </c>
    </row>
    <row r="1779" spans="1:9" x14ac:dyDescent="0.25">
      <c r="A1779">
        <v>2000920077</v>
      </c>
      <c r="B1779" t="s">
        <v>953</v>
      </c>
      <c r="C1779" t="s">
        <v>307</v>
      </c>
      <c r="D1779" t="s">
        <v>308</v>
      </c>
      <c r="E1779" s="2">
        <v>48</v>
      </c>
      <c r="F1779" t="s">
        <v>457</v>
      </c>
      <c r="G1779">
        <v>0</v>
      </c>
      <c r="H1779">
        <v>0</v>
      </c>
      <c r="I1779">
        <v>11.694792</v>
      </c>
    </row>
    <row r="1780" spans="1:9" x14ac:dyDescent="0.25">
      <c r="A1780">
        <v>2000920077</v>
      </c>
      <c r="B1780" t="s">
        <v>953</v>
      </c>
      <c r="C1780" t="s">
        <v>130</v>
      </c>
      <c r="D1780" t="s">
        <v>131</v>
      </c>
      <c r="E1780" s="2">
        <v>9.8000000000000007</v>
      </c>
      <c r="F1780" t="s">
        <v>457</v>
      </c>
      <c r="G1780">
        <v>68</v>
      </c>
      <c r="H1780">
        <v>2</v>
      </c>
      <c r="I1780">
        <v>14.4</v>
      </c>
    </row>
    <row r="1781" spans="1:9" x14ac:dyDescent="0.25">
      <c r="A1781">
        <v>2000920077</v>
      </c>
      <c r="B1781" t="s">
        <v>953</v>
      </c>
      <c r="C1781" t="s">
        <v>151</v>
      </c>
      <c r="D1781" t="s">
        <v>152</v>
      </c>
      <c r="E1781" s="2">
        <v>0</v>
      </c>
      <c r="F1781" t="s">
        <v>457</v>
      </c>
      <c r="G1781">
        <v>0</v>
      </c>
      <c r="H1781">
        <v>48</v>
      </c>
      <c r="I1781">
        <v>11.694792</v>
      </c>
    </row>
    <row r="1782" spans="1:9" x14ac:dyDescent="0.25">
      <c r="A1782">
        <v>2000920077</v>
      </c>
      <c r="B1782" t="s">
        <v>953</v>
      </c>
      <c r="C1782" t="s">
        <v>139</v>
      </c>
      <c r="D1782" t="s">
        <v>140</v>
      </c>
      <c r="E1782" s="2">
        <v>1</v>
      </c>
      <c r="F1782" t="s">
        <v>457</v>
      </c>
      <c r="G1782">
        <v>0</v>
      </c>
      <c r="H1782">
        <v>0</v>
      </c>
      <c r="I1782">
        <v>12</v>
      </c>
    </row>
    <row r="1783" spans="1:9" x14ac:dyDescent="0.25">
      <c r="A1783">
        <v>2000920078</v>
      </c>
      <c r="B1783" t="s">
        <v>954</v>
      </c>
      <c r="C1783" t="s">
        <v>130</v>
      </c>
      <c r="D1783" t="s">
        <v>131</v>
      </c>
      <c r="E1783" s="2">
        <v>0</v>
      </c>
      <c r="F1783" t="s">
        <v>457</v>
      </c>
      <c r="G1783">
        <v>0</v>
      </c>
      <c r="H1783">
        <v>198</v>
      </c>
      <c r="I1783">
        <v>16.510000000000002</v>
      </c>
    </row>
    <row r="1784" spans="1:9" x14ac:dyDescent="0.25">
      <c r="A1784">
        <v>2000920078</v>
      </c>
      <c r="B1784" t="s">
        <v>954</v>
      </c>
      <c r="C1784" t="s">
        <v>126</v>
      </c>
      <c r="D1784" t="s">
        <v>127</v>
      </c>
      <c r="E1784" s="2">
        <v>3</v>
      </c>
      <c r="F1784" t="s">
        <v>457</v>
      </c>
      <c r="G1784">
        <v>0</v>
      </c>
      <c r="H1784">
        <v>0</v>
      </c>
      <c r="I1784">
        <v>16.506667</v>
      </c>
    </row>
    <row r="1785" spans="1:9" x14ac:dyDescent="0.25">
      <c r="A1785">
        <v>2000920078</v>
      </c>
      <c r="B1785" t="s">
        <v>954</v>
      </c>
      <c r="C1785" t="s">
        <v>139</v>
      </c>
      <c r="D1785" t="s">
        <v>140</v>
      </c>
      <c r="E1785" s="2">
        <v>109</v>
      </c>
      <c r="F1785" t="s">
        <v>457</v>
      </c>
      <c r="G1785">
        <v>188</v>
      </c>
      <c r="H1785">
        <v>0</v>
      </c>
      <c r="I1785">
        <v>16.338256999999999</v>
      </c>
    </row>
    <row r="1786" spans="1:9" x14ac:dyDescent="0.25">
      <c r="A1786">
        <v>2000920079</v>
      </c>
      <c r="B1786" t="s">
        <v>955</v>
      </c>
      <c r="C1786" t="s">
        <v>307</v>
      </c>
      <c r="D1786" t="s">
        <v>308</v>
      </c>
      <c r="E1786" s="2">
        <v>12</v>
      </c>
      <c r="F1786" t="s">
        <v>457</v>
      </c>
      <c r="G1786">
        <v>0</v>
      </c>
      <c r="H1786">
        <v>0</v>
      </c>
      <c r="I1786">
        <v>17.726666999999999</v>
      </c>
    </row>
    <row r="1787" spans="1:9" x14ac:dyDescent="0.25">
      <c r="A1787">
        <v>2000920079</v>
      </c>
      <c r="B1787" t="s">
        <v>955</v>
      </c>
      <c r="C1787" t="s">
        <v>130</v>
      </c>
      <c r="D1787" t="s">
        <v>131</v>
      </c>
      <c r="E1787" s="2">
        <v>5</v>
      </c>
      <c r="F1787" t="s">
        <v>457</v>
      </c>
      <c r="G1787">
        <v>0</v>
      </c>
      <c r="H1787">
        <v>6</v>
      </c>
      <c r="I1787">
        <v>17.724</v>
      </c>
    </row>
    <row r="1788" spans="1:9" x14ac:dyDescent="0.25">
      <c r="A1788">
        <v>2000920079</v>
      </c>
      <c r="B1788" t="s">
        <v>955</v>
      </c>
      <c r="C1788" t="s">
        <v>126</v>
      </c>
      <c r="D1788" t="s">
        <v>127</v>
      </c>
      <c r="E1788" s="2">
        <v>5</v>
      </c>
      <c r="F1788" t="s">
        <v>457</v>
      </c>
      <c r="G1788">
        <v>0</v>
      </c>
      <c r="H1788">
        <v>0</v>
      </c>
      <c r="I1788">
        <v>17.725999999999999</v>
      </c>
    </row>
    <row r="1789" spans="1:9" x14ac:dyDescent="0.25">
      <c r="A1789">
        <v>2000920080</v>
      </c>
      <c r="B1789" t="s">
        <v>956</v>
      </c>
      <c r="C1789" t="s">
        <v>307</v>
      </c>
      <c r="D1789" t="s">
        <v>308</v>
      </c>
      <c r="E1789" s="2">
        <v>24</v>
      </c>
      <c r="F1789" t="s">
        <v>457</v>
      </c>
      <c r="G1789">
        <v>0</v>
      </c>
      <c r="H1789">
        <v>0</v>
      </c>
      <c r="I1789">
        <v>18.187916999999999</v>
      </c>
    </row>
    <row r="1790" spans="1:9" x14ac:dyDescent="0.25">
      <c r="A1790">
        <v>2000920080</v>
      </c>
      <c r="B1790" t="s">
        <v>956</v>
      </c>
      <c r="C1790" t="s">
        <v>130</v>
      </c>
      <c r="D1790" t="s">
        <v>131</v>
      </c>
      <c r="E1790" s="2">
        <v>1</v>
      </c>
      <c r="F1790" t="s">
        <v>457</v>
      </c>
      <c r="G1790">
        <v>1</v>
      </c>
      <c r="H1790">
        <v>0</v>
      </c>
      <c r="I1790">
        <v>18.190000000000001</v>
      </c>
    </row>
    <row r="1791" spans="1:9" x14ac:dyDescent="0.25">
      <c r="A1791">
        <v>2000920080</v>
      </c>
      <c r="B1791" t="s">
        <v>956</v>
      </c>
      <c r="C1791" t="s">
        <v>126</v>
      </c>
      <c r="D1791" t="s">
        <v>127</v>
      </c>
      <c r="E1791" s="2">
        <v>3</v>
      </c>
      <c r="F1791" t="s">
        <v>457</v>
      </c>
      <c r="G1791">
        <v>0</v>
      </c>
      <c r="H1791">
        <v>0</v>
      </c>
      <c r="I1791">
        <v>18.186667</v>
      </c>
    </row>
    <row r="1792" spans="1:9" x14ac:dyDescent="0.25">
      <c r="A1792">
        <v>2000920081</v>
      </c>
      <c r="B1792" t="s">
        <v>957</v>
      </c>
      <c r="C1792" t="s">
        <v>130</v>
      </c>
      <c r="D1792" t="s">
        <v>131</v>
      </c>
      <c r="E1792" s="2">
        <v>0</v>
      </c>
      <c r="F1792" t="s">
        <v>457</v>
      </c>
      <c r="G1792">
        <v>0</v>
      </c>
      <c r="H1792">
        <v>26</v>
      </c>
      <c r="I1792">
        <v>0</v>
      </c>
    </row>
    <row r="1793" spans="1:9" x14ac:dyDescent="0.25">
      <c r="A1793">
        <v>2000920081</v>
      </c>
      <c r="B1793" t="s">
        <v>957</v>
      </c>
      <c r="C1793" t="s">
        <v>126</v>
      </c>
      <c r="D1793" t="s">
        <v>127</v>
      </c>
      <c r="E1793" s="2">
        <v>3</v>
      </c>
      <c r="F1793" t="s">
        <v>457</v>
      </c>
      <c r="G1793" s="2">
        <v>0</v>
      </c>
      <c r="H1793">
        <v>0</v>
      </c>
      <c r="I1793">
        <v>16.64</v>
      </c>
    </row>
    <row r="1794" spans="1:9" x14ac:dyDescent="0.25">
      <c r="A1794">
        <v>2000920081</v>
      </c>
      <c r="B1794" t="s">
        <v>957</v>
      </c>
      <c r="C1794" t="s">
        <v>139</v>
      </c>
      <c r="D1794" t="s">
        <v>140</v>
      </c>
      <c r="E1794" s="2">
        <v>71</v>
      </c>
      <c r="F1794" t="s">
        <v>457</v>
      </c>
      <c r="G1794">
        <v>26</v>
      </c>
      <c r="H1794">
        <v>0</v>
      </c>
      <c r="I1794">
        <v>16.334365999999999</v>
      </c>
    </row>
    <row r="1795" spans="1:9" x14ac:dyDescent="0.25">
      <c r="A1795">
        <v>2000920082</v>
      </c>
      <c r="B1795" t="s">
        <v>958</v>
      </c>
      <c r="C1795" t="s">
        <v>307</v>
      </c>
      <c r="D1795" t="s">
        <v>308</v>
      </c>
      <c r="E1795" s="2">
        <v>12</v>
      </c>
      <c r="F1795" t="s">
        <v>457</v>
      </c>
      <c r="G1795">
        <v>0</v>
      </c>
      <c r="H1795">
        <v>0</v>
      </c>
      <c r="I1795">
        <v>16.512499999999999</v>
      </c>
    </row>
    <row r="1796" spans="1:9" x14ac:dyDescent="0.25">
      <c r="A1796">
        <v>2000920082</v>
      </c>
      <c r="B1796" t="s">
        <v>958</v>
      </c>
      <c r="C1796" t="s">
        <v>130</v>
      </c>
      <c r="D1796" t="s">
        <v>131</v>
      </c>
      <c r="E1796" s="2">
        <v>0</v>
      </c>
      <c r="F1796" t="s">
        <v>457</v>
      </c>
      <c r="G1796">
        <v>0</v>
      </c>
      <c r="H1796">
        <v>53</v>
      </c>
      <c r="I1796">
        <v>16.513332999999999</v>
      </c>
    </row>
    <row r="1797" spans="1:9" x14ac:dyDescent="0.25">
      <c r="A1797">
        <v>2000920082</v>
      </c>
      <c r="B1797" t="s">
        <v>958</v>
      </c>
      <c r="C1797" t="s">
        <v>126</v>
      </c>
      <c r="D1797" t="s">
        <v>127</v>
      </c>
      <c r="E1797" s="2">
        <v>4</v>
      </c>
      <c r="F1797" t="s">
        <v>457</v>
      </c>
      <c r="G1797">
        <v>0</v>
      </c>
      <c r="H1797">
        <v>0</v>
      </c>
      <c r="I1797">
        <v>16.512499999999999</v>
      </c>
    </row>
    <row r="1798" spans="1:9" x14ac:dyDescent="0.25">
      <c r="A1798">
        <v>2000920082</v>
      </c>
      <c r="B1798" t="s">
        <v>958</v>
      </c>
      <c r="C1798" t="s">
        <v>139</v>
      </c>
      <c r="D1798" t="s">
        <v>140</v>
      </c>
      <c r="E1798" s="2">
        <v>18</v>
      </c>
      <c r="F1798" t="s">
        <v>457</v>
      </c>
      <c r="G1798">
        <v>49</v>
      </c>
      <c r="H1798">
        <v>0</v>
      </c>
      <c r="I1798">
        <v>16.440000000000001</v>
      </c>
    </row>
    <row r="1799" spans="1:9" x14ac:dyDescent="0.25">
      <c r="A1799">
        <v>2000920083</v>
      </c>
      <c r="B1799" t="s">
        <v>959</v>
      </c>
      <c r="C1799" t="s">
        <v>307</v>
      </c>
      <c r="D1799" t="s">
        <v>308</v>
      </c>
      <c r="E1799" s="2">
        <v>12</v>
      </c>
      <c r="F1799" t="s">
        <v>457</v>
      </c>
      <c r="G1799">
        <v>0</v>
      </c>
      <c r="H1799">
        <v>0</v>
      </c>
      <c r="I1799">
        <v>17.637499999999999</v>
      </c>
    </row>
    <row r="1800" spans="1:9" x14ac:dyDescent="0.25">
      <c r="A1800">
        <v>2000920083</v>
      </c>
      <c r="B1800" t="s">
        <v>959</v>
      </c>
      <c r="C1800" t="s">
        <v>130</v>
      </c>
      <c r="D1800" t="s">
        <v>131</v>
      </c>
      <c r="E1800" s="2">
        <v>0</v>
      </c>
      <c r="F1800" t="s">
        <v>457</v>
      </c>
      <c r="G1800">
        <v>1</v>
      </c>
      <c r="H1800">
        <v>20</v>
      </c>
      <c r="I1800">
        <v>17.63</v>
      </c>
    </row>
    <row r="1801" spans="1:9" x14ac:dyDescent="0.25">
      <c r="A1801">
        <v>2000920083</v>
      </c>
      <c r="B1801" t="s">
        <v>959</v>
      </c>
      <c r="C1801" t="s">
        <v>126</v>
      </c>
      <c r="D1801" t="s">
        <v>127</v>
      </c>
      <c r="E1801" s="2">
        <v>10</v>
      </c>
      <c r="F1801" t="s">
        <v>457</v>
      </c>
      <c r="G1801" s="2">
        <v>0</v>
      </c>
      <c r="H1801">
        <v>0</v>
      </c>
      <c r="I1801">
        <v>17.637</v>
      </c>
    </row>
    <row r="1802" spans="1:9" x14ac:dyDescent="0.25">
      <c r="A1802">
        <v>2000920083</v>
      </c>
      <c r="B1802" t="s">
        <v>959</v>
      </c>
      <c r="C1802" t="s">
        <v>139</v>
      </c>
      <c r="D1802" t="s">
        <v>140</v>
      </c>
      <c r="E1802" s="2">
        <v>6</v>
      </c>
      <c r="F1802" t="s">
        <v>457</v>
      </c>
      <c r="G1802">
        <v>0</v>
      </c>
      <c r="H1802">
        <v>0</v>
      </c>
      <c r="I1802">
        <v>16.426666999999998</v>
      </c>
    </row>
    <row r="1803" spans="1:9" x14ac:dyDescent="0.25">
      <c r="A1803">
        <v>2000920084</v>
      </c>
      <c r="B1803" t="s">
        <v>960</v>
      </c>
      <c r="C1803" t="s">
        <v>307</v>
      </c>
      <c r="D1803" t="s">
        <v>308</v>
      </c>
      <c r="E1803" s="2">
        <v>11</v>
      </c>
      <c r="F1803" t="s">
        <v>457</v>
      </c>
      <c r="G1803">
        <v>0</v>
      </c>
      <c r="H1803">
        <v>0</v>
      </c>
      <c r="I1803">
        <v>17.791817999999999</v>
      </c>
    </row>
    <row r="1804" spans="1:9" x14ac:dyDescent="0.25">
      <c r="A1804">
        <v>2000920084</v>
      </c>
      <c r="B1804" t="s">
        <v>960</v>
      </c>
      <c r="C1804" t="s">
        <v>130</v>
      </c>
      <c r="D1804" t="s">
        <v>131</v>
      </c>
      <c r="E1804" s="2">
        <v>2</v>
      </c>
      <c r="F1804" t="s">
        <v>457</v>
      </c>
      <c r="G1804">
        <v>10</v>
      </c>
      <c r="H1804">
        <v>8</v>
      </c>
      <c r="I1804">
        <v>17.79</v>
      </c>
    </row>
    <row r="1805" spans="1:9" x14ac:dyDescent="0.25">
      <c r="A1805">
        <v>2000920084</v>
      </c>
      <c r="B1805" t="s">
        <v>960</v>
      </c>
      <c r="C1805" t="s">
        <v>126</v>
      </c>
      <c r="D1805" t="s">
        <v>127</v>
      </c>
      <c r="E1805" s="2">
        <v>5</v>
      </c>
      <c r="F1805" t="s">
        <v>457</v>
      </c>
      <c r="G1805">
        <v>0</v>
      </c>
      <c r="H1805" s="2">
        <v>0</v>
      </c>
      <c r="I1805">
        <v>17.792000000000002</v>
      </c>
    </row>
    <row r="1806" spans="1:9" x14ac:dyDescent="0.25">
      <c r="A1806">
        <v>2000920084</v>
      </c>
      <c r="B1806" t="s">
        <v>960</v>
      </c>
      <c r="C1806" t="s">
        <v>139</v>
      </c>
      <c r="D1806" t="s">
        <v>140</v>
      </c>
      <c r="E1806" s="2">
        <v>13</v>
      </c>
      <c r="F1806" t="s">
        <v>457</v>
      </c>
      <c r="G1806">
        <v>0</v>
      </c>
      <c r="H1806">
        <v>0</v>
      </c>
      <c r="I1806">
        <v>16.346923</v>
      </c>
    </row>
    <row r="1807" spans="1:9" x14ac:dyDescent="0.25">
      <c r="A1807">
        <v>2000920085</v>
      </c>
      <c r="B1807" t="s">
        <v>961</v>
      </c>
      <c r="C1807" t="s">
        <v>307</v>
      </c>
      <c r="D1807" t="s">
        <v>308</v>
      </c>
      <c r="E1807" s="2">
        <v>12</v>
      </c>
      <c r="F1807" t="s">
        <v>457</v>
      </c>
      <c r="G1807">
        <v>0</v>
      </c>
      <c r="H1807">
        <v>0</v>
      </c>
      <c r="I1807">
        <v>16.745000000000001</v>
      </c>
    </row>
    <row r="1808" spans="1:9" x14ac:dyDescent="0.25">
      <c r="A1808">
        <v>2000920085</v>
      </c>
      <c r="B1808" t="s">
        <v>961</v>
      </c>
      <c r="C1808" t="s">
        <v>130</v>
      </c>
      <c r="D1808" t="s">
        <v>131</v>
      </c>
      <c r="E1808" s="2">
        <v>3</v>
      </c>
      <c r="F1808" t="s">
        <v>457</v>
      </c>
      <c r="G1808">
        <v>0</v>
      </c>
      <c r="H1808">
        <v>10</v>
      </c>
      <c r="I1808">
        <v>16.743333</v>
      </c>
    </row>
    <row r="1809" spans="1:9" x14ac:dyDescent="0.25">
      <c r="A1809">
        <v>2000920085</v>
      </c>
      <c r="B1809" t="s">
        <v>961</v>
      </c>
      <c r="C1809" t="s">
        <v>126</v>
      </c>
      <c r="D1809" t="s">
        <v>127</v>
      </c>
      <c r="E1809" s="2">
        <v>13</v>
      </c>
      <c r="F1809" t="s">
        <v>457</v>
      </c>
      <c r="G1809">
        <v>0</v>
      </c>
      <c r="H1809">
        <v>0</v>
      </c>
      <c r="I1809">
        <v>16.744615</v>
      </c>
    </row>
    <row r="1810" spans="1:9" x14ac:dyDescent="0.25">
      <c r="A1810">
        <v>2000920085</v>
      </c>
      <c r="B1810" t="s">
        <v>961</v>
      </c>
      <c r="C1810" t="s">
        <v>139</v>
      </c>
      <c r="D1810" t="s">
        <v>140</v>
      </c>
      <c r="E1810" s="2">
        <v>4</v>
      </c>
      <c r="F1810" t="s">
        <v>457</v>
      </c>
      <c r="G1810" s="2">
        <v>0</v>
      </c>
      <c r="H1810">
        <v>0</v>
      </c>
      <c r="I1810">
        <v>16.412500000000001</v>
      </c>
    </row>
    <row r="1811" spans="1:9" x14ac:dyDescent="0.25">
      <c r="A1811">
        <v>2000920086</v>
      </c>
      <c r="B1811" t="s">
        <v>962</v>
      </c>
      <c r="C1811" t="s">
        <v>307</v>
      </c>
      <c r="D1811" t="s">
        <v>308</v>
      </c>
      <c r="E1811" s="2">
        <v>12</v>
      </c>
      <c r="F1811" t="s">
        <v>457</v>
      </c>
      <c r="G1811" s="2">
        <v>0</v>
      </c>
      <c r="H1811">
        <v>0</v>
      </c>
      <c r="I1811">
        <v>16.554167</v>
      </c>
    </row>
    <row r="1812" spans="1:9" x14ac:dyDescent="0.25">
      <c r="A1812">
        <v>2000920086</v>
      </c>
      <c r="B1812" t="s">
        <v>962</v>
      </c>
      <c r="C1812" t="s">
        <v>130</v>
      </c>
      <c r="D1812" t="s">
        <v>131</v>
      </c>
      <c r="E1812" s="2">
        <v>4</v>
      </c>
      <c r="F1812" t="s">
        <v>457</v>
      </c>
      <c r="G1812">
        <v>0</v>
      </c>
      <c r="H1812">
        <v>114</v>
      </c>
      <c r="I1812">
        <v>16.239999999999998</v>
      </c>
    </row>
    <row r="1813" spans="1:9" x14ac:dyDescent="0.25">
      <c r="A1813">
        <v>2000920086</v>
      </c>
      <c r="B1813" t="s">
        <v>962</v>
      </c>
      <c r="C1813" t="s">
        <v>126</v>
      </c>
      <c r="D1813" t="s">
        <v>127</v>
      </c>
      <c r="E1813" s="2">
        <v>3</v>
      </c>
      <c r="F1813" t="s">
        <v>457</v>
      </c>
      <c r="G1813">
        <v>0</v>
      </c>
      <c r="H1813">
        <v>0</v>
      </c>
      <c r="I1813">
        <v>16.553332999999999</v>
      </c>
    </row>
    <row r="1814" spans="1:9" x14ac:dyDescent="0.25">
      <c r="A1814">
        <v>2000920086</v>
      </c>
      <c r="B1814" t="s">
        <v>962</v>
      </c>
      <c r="C1814" t="s">
        <v>139</v>
      </c>
      <c r="D1814" t="s">
        <v>140</v>
      </c>
      <c r="E1814" s="2">
        <v>40</v>
      </c>
      <c r="F1814" t="s">
        <v>457</v>
      </c>
      <c r="G1814">
        <v>114</v>
      </c>
      <c r="H1814">
        <v>0</v>
      </c>
      <c r="I1814">
        <v>16.373999999999999</v>
      </c>
    </row>
    <row r="1815" spans="1:9" x14ac:dyDescent="0.25">
      <c r="A1815">
        <v>2000920087</v>
      </c>
      <c r="B1815" t="s">
        <v>963</v>
      </c>
      <c r="C1815" t="s">
        <v>307</v>
      </c>
      <c r="D1815" t="s">
        <v>308</v>
      </c>
      <c r="E1815" s="2">
        <v>12</v>
      </c>
      <c r="F1815" t="s">
        <v>457</v>
      </c>
      <c r="G1815">
        <v>0</v>
      </c>
      <c r="H1815">
        <v>0</v>
      </c>
      <c r="I1815">
        <v>17.342500000000001</v>
      </c>
    </row>
    <row r="1816" spans="1:9" x14ac:dyDescent="0.25">
      <c r="A1816">
        <v>2000920087</v>
      </c>
      <c r="B1816" t="s">
        <v>963</v>
      </c>
      <c r="C1816" t="s">
        <v>130</v>
      </c>
      <c r="D1816" t="s">
        <v>131</v>
      </c>
      <c r="E1816" s="2">
        <v>0</v>
      </c>
      <c r="F1816" t="s">
        <v>457</v>
      </c>
      <c r="G1816">
        <v>0</v>
      </c>
      <c r="H1816">
        <v>26</v>
      </c>
      <c r="I1816">
        <v>17.34</v>
      </c>
    </row>
    <row r="1817" spans="1:9" x14ac:dyDescent="0.25">
      <c r="A1817">
        <v>2000920087</v>
      </c>
      <c r="B1817" t="s">
        <v>963</v>
      </c>
      <c r="C1817" t="s">
        <v>126</v>
      </c>
      <c r="D1817" t="s">
        <v>127</v>
      </c>
      <c r="E1817" s="2">
        <v>1</v>
      </c>
      <c r="F1817" t="s">
        <v>457</v>
      </c>
      <c r="G1817">
        <v>0</v>
      </c>
      <c r="H1817">
        <v>0</v>
      </c>
      <c r="I1817">
        <v>17.34</v>
      </c>
    </row>
    <row r="1818" spans="1:9" x14ac:dyDescent="0.25">
      <c r="A1818">
        <v>2000920087</v>
      </c>
      <c r="B1818" t="s">
        <v>963</v>
      </c>
      <c r="C1818" t="s">
        <v>139</v>
      </c>
      <c r="D1818" t="s">
        <v>140</v>
      </c>
      <c r="E1818" s="2">
        <v>73</v>
      </c>
      <c r="F1818" t="s">
        <v>457</v>
      </c>
      <c r="G1818">
        <v>26</v>
      </c>
      <c r="H1818">
        <v>0</v>
      </c>
      <c r="I1818">
        <v>16.406164</v>
      </c>
    </row>
    <row r="1819" spans="1:9" x14ac:dyDescent="0.25">
      <c r="A1819">
        <v>2000920088</v>
      </c>
      <c r="B1819" t="s">
        <v>964</v>
      </c>
      <c r="C1819" t="s">
        <v>307</v>
      </c>
      <c r="D1819" t="s">
        <v>308</v>
      </c>
      <c r="E1819" s="2">
        <v>12</v>
      </c>
      <c r="F1819" t="s">
        <v>457</v>
      </c>
      <c r="G1819">
        <v>0</v>
      </c>
      <c r="H1819">
        <v>0</v>
      </c>
      <c r="I1819">
        <v>16.591667000000001</v>
      </c>
    </row>
    <row r="1820" spans="1:9" x14ac:dyDescent="0.25">
      <c r="A1820">
        <v>2000920088</v>
      </c>
      <c r="B1820" t="s">
        <v>964</v>
      </c>
      <c r="C1820" t="s">
        <v>130</v>
      </c>
      <c r="D1820" t="s">
        <v>131</v>
      </c>
      <c r="E1820" s="2">
        <v>1</v>
      </c>
      <c r="F1820" t="s">
        <v>457</v>
      </c>
      <c r="G1820">
        <v>0</v>
      </c>
      <c r="H1820">
        <v>0</v>
      </c>
      <c r="I1820">
        <v>16.59</v>
      </c>
    </row>
    <row r="1821" spans="1:9" x14ac:dyDescent="0.25">
      <c r="A1821">
        <v>2000920088</v>
      </c>
      <c r="B1821" t="s">
        <v>964</v>
      </c>
      <c r="C1821" t="s">
        <v>126</v>
      </c>
      <c r="D1821" t="s">
        <v>127</v>
      </c>
      <c r="E1821" s="2">
        <v>3</v>
      </c>
      <c r="F1821" t="s">
        <v>457</v>
      </c>
      <c r="G1821">
        <v>0</v>
      </c>
      <c r="H1821">
        <v>0</v>
      </c>
      <c r="I1821">
        <v>16.59</v>
      </c>
    </row>
    <row r="1822" spans="1:9" x14ac:dyDescent="0.25">
      <c r="A1822">
        <v>2000920088</v>
      </c>
      <c r="B1822" t="s">
        <v>964</v>
      </c>
      <c r="C1822" t="s">
        <v>139</v>
      </c>
      <c r="D1822" t="s">
        <v>140</v>
      </c>
      <c r="E1822" s="2">
        <v>48</v>
      </c>
      <c r="F1822" t="s">
        <v>457</v>
      </c>
      <c r="G1822">
        <v>0</v>
      </c>
      <c r="H1822">
        <v>0</v>
      </c>
      <c r="I1822">
        <v>16.351458000000001</v>
      </c>
    </row>
    <row r="1823" spans="1:9" x14ac:dyDescent="0.25">
      <c r="A1823">
        <v>2000920089</v>
      </c>
      <c r="B1823" t="s">
        <v>965</v>
      </c>
      <c r="C1823" t="s">
        <v>126</v>
      </c>
      <c r="D1823" t="s">
        <v>127</v>
      </c>
      <c r="E1823" s="2">
        <v>7</v>
      </c>
      <c r="F1823" t="s">
        <v>457</v>
      </c>
      <c r="G1823" s="2">
        <v>0</v>
      </c>
      <c r="H1823">
        <v>0</v>
      </c>
      <c r="I1823">
        <v>16.989999999999998</v>
      </c>
    </row>
    <row r="1824" spans="1:9" x14ac:dyDescent="0.25">
      <c r="A1824">
        <v>2000920090</v>
      </c>
      <c r="B1824" t="s">
        <v>966</v>
      </c>
      <c r="C1824" t="s">
        <v>307</v>
      </c>
      <c r="D1824" t="s">
        <v>308</v>
      </c>
      <c r="E1824" s="2">
        <v>11</v>
      </c>
      <c r="F1824" t="s">
        <v>457</v>
      </c>
      <c r="G1824">
        <v>0</v>
      </c>
      <c r="H1824">
        <v>0</v>
      </c>
      <c r="I1824">
        <v>16.532727000000001</v>
      </c>
    </row>
    <row r="1825" spans="1:9" x14ac:dyDescent="0.25">
      <c r="A1825">
        <v>2000920090</v>
      </c>
      <c r="B1825" t="s">
        <v>966</v>
      </c>
      <c r="C1825" t="s">
        <v>130</v>
      </c>
      <c r="D1825" t="s">
        <v>131</v>
      </c>
      <c r="E1825" s="2">
        <v>0</v>
      </c>
      <c r="F1825" t="s">
        <v>457</v>
      </c>
      <c r="G1825">
        <v>0</v>
      </c>
      <c r="H1825">
        <v>30</v>
      </c>
      <c r="I1825">
        <v>0</v>
      </c>
    </row>
    <row r="1826" spans="1:9" x14ac:dyDescent="0.25">
      <c r="A1826">
        <v>2000920090</v>
      </c>
      <c r="B1826" t="s">
        <v>966</v>
      </c>
      <c r="C1826" t="s">
        <v>126</v>
      </c>
      <c r="D1826" t="s">
        <v>127</v>
      </c>
      <c r="E1826" s="2">
        <v>2</v>
      </c>
      <c r="F1826" t="s">
        <v>457</v>
      </c>
      <c r="G1826">
        <v>0</v>
      </c>
      <c r="H1826">
        <v>0</v>
      </c>
      <c r="I1826">
        <v>16.535</v>
      </c>
    </row>
    <row r="1827" spans="1:9" x14ac:dyDescent="0.25">
      <c r="A1827">
        <v>2000920090</v>
      </c>
      <c r="B1827" t="s">
        <v>966</v>
      </c>
      <c r="C1827" t="s">
        <v>139</v>
      </c>
      <c r="D1827" t="s">
        <v>140</v>
      </c>
      <c r="E1827" s="2">
        <v>15</v>
      </c>
      <c r="F1827" t="s">
        <v>457</v>
      </c>
      <c r="G1827">
        <v>22</v>
      </c>
      <c r="H1827">
        <v>0</v>
      </c>
      <c r="I1827">
        <v>16.43</v>
      </c>
    </row>
    <row r="1828" spans="1:9" x14ac:dyDescent="0.25">
      <c r="A1828">
        <v>2000920091</v>
      </c>
      <c r="B1828" t="s">
        <v>967</v>
      </c>
      <c r="C1828" t="s">
        <v>307</v>
      </c>
      <c r="D1828" t="s">
        <v>308</v>
      </c>
      <c r="E1828" s="2">
        <v>11</v>
      </c>
      <c r="F1828" t="s">
        <v>457</v>
      </c>
      <c r="G1828">
        <v>0</v>
      </c>
      <c r="H1828">
        <v>0</v>
      </c>
      <c r="I1828">
        <v>17.350909000000001</v>
      </c>
    </row>
    <row r="1829" spans="1:9" x14ac:dyDescent="0.25">
      <c r="A1829">
        <v>2000920091</v>
      </c>
      <c r="B1829" t="s">
        <v>967</v>
      </c>
      <c r="C1829" t="s">
        <v>130</v>
      </c>
      <c r="D1829" t="s">
        <v>131</v>
      </c>
      <c r="E1829" s="2">
        <v>0</v>
      </c>
      <c r="F1829" t="s">
        <v>457</v>
      </c>
      <c r="G1829">
        <v>1</v>
      </c>
      <c r="H1829">
        <v>0</v>
      </c>
      <c r="I1829">
        <v>17.350000000000001</v>
      </c>
    </row>
    <row r="1830" spans="1:9" x14ac:dyDescent="0.25">
      <c r="A1830">
        <v>2000920091</v>
      </c>
      <c r="B1830" t="s">
        <v>967</v>
      </c>
      <c r="C1830" t="s">
        <v>126</v>
      </c>
      <c r="D1830" t="s">
        <v>127</v>
      </c>
      <c r="E1830" s="2">
        <v>8</v>
      </c>
      <c r="F1830" t="s">
        <v>457</v>
      </c>
      <c r="G1830">
        <v>0</v>
      </c>
      <c r="H1830">
        <v>0</v>
      </c>
      <c r="I1830">
        <v>17.35125</v>
      </c>
    </row>
    <row r="1831" spans="1:9" x14ac:dyDescent="0.25">
      <c r="A1831">
        <v>2000920091</v>
      </c>
      <c r="B1831" t="s">
        <v>967</v>
      </c>
      <c r="C1831" t="s">
        <v>137</v>
      </c>
      <c r="D1831" t="s">
        <v>138</v>
      </c>
      <c r="E1831" s="2">
        <v>1</v>
      </c>
      <c r="F1831" t="s">
        <v>457</v>
      </c>
      <c r="G1831">
        <v>0</v>
      </c>
      <c r="H1831">
        <v>1</v>
      </c>
      <c r="I1831">
        <v>17.350000000000001</v>
      </c>
    </row>
    <row r="1832" spans="1:9" x14ac:dyDescent="0.25">
      <c r="A1832">
        <v>2000920091</v>
      </c>
      <c r="B1832" t="s">
        <v>967</v>
      </c>
      <c r="C1832" t="s">
        <v>139</v>
      </c>
      <c r="D1832" t="s">
        <v>140</v>
      </c>
      <c r="E1832" s="2">
        <v>60</v>
      </c>
      <c r="F1832" t="s">
        <v>457</v>
      </c>
      <c r="G1832">
        <v>0</v>
      </c>
      <c r="H1832">
        <v>0</v>
      </c>
      <c r="I1832">
        <v>16.414000000000001</v>
      </c>
    </row>
    <row r="1833" spans="1:9" x14ac:dyDescent="0.25">
      <c r="A1833">
        <v>2000920105</v>
      </c>
      <c r="B1833" t="s">
        <v>968</v>
      </c>
      <c r="C1833" t="s">
        <v>199</v>
      </c>
      <c r="D1833" t="s">
        <v>200</v>
      </c>
      <c r="E1833" s="2">
        <v>48</v>
      </c>
      <c r="F1833" t="s">
        <v>36</v>
      </c>
      <c r="G1833">
        <v>0</v>
      </c>
      <c r="H1833">
        <v>0</v>
      </c>
      <c r="I1833">
        <v>8.5879169999999991</v>
      </c>
    </row>
    <row r="1834" spans="1:9" x14ac:dyDescent="0.25">
      <c r="A1834">
        <v>2000920105</v>
      </c>
      <c r="B1834" t="s">
        <v>968</v>
      </c>
      <c r="C1834" t="s">
        <v>130</v>
      </c>
      <c r="D1834" t="s">
        <v>131</v>
      </c>
      <c r="E1834" s="2">
        <v>6</v>
      </c>
      <c r="F1834" t="s">
        <v>36</v>
      </c>
      <c r="G1834">
        <v>196</v>
      </c>
      <c r="H1834">
        <v>546</v>
      </c>
      <c r="I1834">
        <v>8.5866670000000003</v>
      </c>
    </row>
    <row r="1835" spans="1:9" x14ac:dyDescent="0.25">
      <c r="A1835">
        <v>2000920105</v>
      </c>
      <c r="B1835" t="s">
        <v>968</v>
      </c>
      <c r="C1835" t="s">
        <v>137</v>
      </c>
      <c r="D1835" t="s">
        <v>138</v>
      </c>
      <c r="E1835" s="2">
        <v>0</v>
      </c>
      <c r="F1835" t="s">
        <v>36</v>
      </c>
      <c r="G1835" s="2">
        <v>0</v>
      </c>
      <c r="H1835">
        <v>1</v>
      </c>
      <c r="I1835">
        <v>0.93500000000000005</v>
      </c>
    </row>
    <row r="1836" spans="1:9" x14ac:dyDescent="0.25">
      <c r="A1836">
        <v>2000920105</v>
      </c>
      <c r="B1836" t="s">
        <v>968</v>
      </c>
      <c r="C1836" t="s">
        <v>151</v>
      </c>
      <c r="D1836" t="s">
        <v>152</v>
      </c>
      <c r="E1836" s="2">
        <v>0</v>
      </c>
      <c r="F1836" t="s">
        <v>36</v>
      </c>
      <c r="G1836">
        <v>0</v>
      </c>
      <c r="H1836">
        <v>288</v>
      </c>
      <c r="I1836">
        <v>8.5879169999999991</v>
      </c>
    </row>
    <row r="1837" spans="1:9" x14ac:dyDescent="0.25">
      <c r="A1837">
        <v>2000920105</v>
      </c>
      <c r="B1837" t="s">
        <v>968</v>
      </c>
      <c r="C1837" t="s">
        <v>139</v>
      </c>
      <c r="D1837" t="s">
        <v>140</v>
      </c>
      <c r="E1837" s="2">
        <v>5</v>
      </c>
      <c r="F1837" t="s">
        <v>36</v>
      </c>
      <c r="G1837">
        <v>96</v>
      </c>
      <c r="H1837">
        <v>0</v>
      </c>
      <c r="I1837">
        <v>8.5860000000000003</v>
      </c>
    </row>
    <row r="1838" spans="1:9" x14ac:dyDescent="0.25">
      <c r="A1838">
        <v>2000920106</v>
      </c>
      <c r="B1838" t="s">
        <v>969</v>
      </c>
      <c r="C1838" t="s">
        <v>199</v>
      </c>
      <c r="D1838" t="s">
        <v>200</v>
      </c>
      <c r="E1838" s="2">
        <v>48</v>
      </c>
      <c r="F1838" t="s">
        <v>36</v>
      </c>
      <c r="G1838">
        <v>0</v>
      </c>
      <c r="H1838">
        <v>0</v>
      </c>
      <c r="I1838">
        <v>8.3033330000000003</v>
      </c>
    </row>
    <row r="1839" spans="1:9" x14ac:dyDescent="0.25">
      <c r="A1839">
        <v>2000920106</v>
      </c>
      <c r="B1839" t="s">
        <v>969</v>
      </c>
      <c r="C1839" t="s">
        <v>130</v>
      </c>
      <c r="D1839" t="s">
        <v>131</v>
      </c>
      <c r="E1839" s="2">
        <v>2</v>
      </c>
      <c r="F1839" t="s">
        <v>36</v>
      </c>
      <c r="G1839">
        <v>41</v>
      </c>
      <c r="H1839">
        <v>288</v>
      </c>
      <c r="I1839">
        <v>8.57</v>
      </c>
    </row>
    <row r="1840" spans="1:9" x14ac:dyDescent="0.25">
      <c r="A1840">
        <v>2000920106</v>
      </c>
      <c r="B1840" t="s">
        <v>969</v>
      </c>
      <c r="C1840" t="s">
        <v>137</v>
      </c>
      <c r="D1840" t="s">
        <v>138</v>
      </c>
      <c r="E1840" s="2">
        <v>0</v>
      </c>
      <c r="F1840" t="s">
        <v>36</v>
      </c>
      <c r="G1840">
        <v>0</v>
      </c>
      <c r="H1840">
        <v>1</v>
      </c>
      <c r="I1840">
        <v>0</v>
      </c>
    </row>
    <row r="1841" spans="1:9" x14ac:dyDescent="0.25">
      <c r="A1841">
        <v>2000920106</v>
      </c>
      <c r="B1841" t="s">
        <v>969</v>
      </c>
      <c r="C1841" t="s">
        <v>151</v>
      </c>
      <c r="D1841" t="s">
        <v>152</v>
      </c>
      <c r="E1841" s="2">
        <v>0</v>
      </c>
      <c r="F1841" t="s">
        <v>36</v>
      </c>
      <c r="G1841">
        <v>0</v>
      </c>
      <c r="H1841">
        <v>24</v>
      </c>
      <c r="I1841">
        <v>8.6220829999999999</v>
      </c>
    </row>
    <row r="1842" spans="1:9" x14ac:dyDescent="0.25">
      <c r="A1842">
        <v>2000920107</v>
      </c>
      <c r="B1842" t="s">
        <v>970</v>
      </c>
      <c r="C1842" t="s">
        <v>130</v>
      </c>
      <c r="D1842" t="s">
        <v>131</v>
      </c>
      <c r="E1842" s="2">
        <v>629</v>
      </c>
      <c r="F1842" t="s">
        <v>36</v>
      </c>
      <c r="G1842">
        <v>0</v>
      </c>
      <c r="H1842">
        <v>0</v>
      </c>
      <c r="I1842">
        <v>1.656852</v>
      </c>
    </row>
    <row r="1843" spans="1:9" x14ac:dyDescent="0.25">
      <c r="A1843">
        <v>2000920107</v>
      </c>
      <c r="B1843" t="s">
        <v>970</v>
      </c>
      <c r="C1843" t="s">
        <v>139</v>
      </c>
      <c r="D1843" t="s">
        <v>140</v>
      </c>
      <c r="E1843" s="2">
        <v>100</v>
      </c>
      <c r="F1843" t="s">
        <v>36</v>
      </c>
      <c r="G1843">
        <v>0</v>
      </c>
      <c r="H1843">
        <v>0</v>
      </c>
      <c r="I1843">
        <v>16.188700000000001</v>
      </c>
    </row>
    <row r="1844" spans="1:9" x14ac:dyDescent="0.25">
      <c r="A1844">
        <v>2000920108</v>
      </c>
      <c r="B1844" t="s">
        <v>971</v>
      </c>
      <c r="C1844" t="s">
        <v>199</v>
      </c>
      <c r="D1844" t="s">
        <v>200</v>
      </c>
      <c r="E1844" s="2">
        <v>96</v>
      </c>
      <c r="F1844" t="s">
        <v>36</v>
      </c>
      <c r="G1844">
        <v>0</v>
      </c>
      <c r="H1844">
        <v>0</v>
      </c>
      <c r="I1844">
        <v>5.601979</v>
      </c>
    </row>
    <row r="1845" spans="1:9" x14ac:dyDescent="0.25">
      <c r="A1845">
        <v>2000920108</v>
      </c>
      <c r="B1845" t="s">
        <v>971</v>
      </c>
      <c r="C1845" t="s">
        <v>130</v>
      </c>
      <c r="D1845" t="s">
        <v>131</v>
      </c>
      <c r="E1845" s="2">
        <v>3</v>
      </c>
      <c r="F1845" t="s">
        <v>36</v>
      </c>
      <c r="G1845">
        <v>19</v>
      </c>
      <c r="H1845">
        <v>192</v>
      </c>
      <c r="I1845">
        <v>5.66</v>
      </c>
    </row>
    <row r="1846" spans="1:9" x14ac:dyDescent="0.25">
      <c r="A1846">
        <v>2000920108</v>
      </c>
      <c r="B1846" t="s">
        <v>971</v>
      </c>
      <c r="C1846" t="s">
        <v>139</v>
      </c>
      <c r="D1846" t="s">
        <v>140</v>
      </c>
      <c r="E1846" s="2">
        <v>1</v>
      </c>
      <c r="F1846" t="s">
        <v>36</v>
      </c>
      <c r="G1846">
        <v>0</v>
      </c>
      <c r="H1846">
        <v>0</v>
      </c>
      <c r="I1846">
        <v>5.67</v>
      </c>
    </row>
    <row r="1847" spans="1:9" x14ac:dyDescent="0.25">
      <c r="A1847">
        <v>2000920110</v>
      </c>
      <c r="B1847" t="s">
        <v>972</v>
      </c>
      <c r="C1847" t="s">
        <v>199</v>
      </c>
      <c r="D1847" t="s">
        <v>200</v>
      </c>
      <c r="E1847" s="2">
        <v>72</v>
      </c>
      <c r="F1847" t="s">
        <v>36</v>
      </c>
      <c r="G1847">
        <v>0</v>
      </c>
      <c r="H1847">
        <v>0</v>
      </c>
      <c r="I1847">
        <v>5.4704170000000003</v>
      </c>
    </row>
    <row r="1848" spans="1:9" x14ac:dyDescent="0.25">
      <c r="A1848">
        <v>2000920110</v>
      </c>
      <c r="B1848" t="s">
        <v>972</v>
      </c>
      <c r="C1848" t="s">
        <v>130</v>
      </c>
      <c r="D1848" t="s">
        <v>131</v>
      </c>
      <c r="E1848" s="2">
        <v>2</v>
      </c>
      <c r="F1848" t="s">
        <v>36</v>
      </c>
      <c r="G1848">
        <v>1</v>
      </c>
      <c r="H1848">
        <v>0</v>
      </c>
      <c r="I1848">
        <v>5.47</v>
      </c>
    </row>
    <row r="1849" spans="1:9" x14ac:dyDescent="0.25">
      <c r="A1849">
        <v>2000920111</v>
      </c>
      <c r="B1849" t="s">
        <v>973</v>
      </c>
      <c r="C1849" t="s">
        <v>130</v>
      </c>
      <c r="D1849" t="s">
        <v>131</v>
      </c>
      <c r="E1849" s="2">
        <v>56</v>
      </c>
      <c r="F1849" t="s">
        <v>36</v>
      </c>
      <c r="G1849">
        <v>5</v>
      </c>
      <c r="H1849">
        <v>226</v>
      </c>
      <c r="I1849">
        <v>1.255536</v>
      </c>
    </row>
    <row r="1850" spans="1:9" x14ac:dyDescent="0.25">
      <c r="A1850">
        <v>2000920111</v>
      </c>
      <c r="B1850" t="s">
        <v>973</v>
      </c>
      <c r="C1850" t="s">
        <v>139</v>
      </c>
      <c r="D1850" t="s">
        <v>140</v>
      </c>
      <c r="E1850" s="2">
        <v>49</v>
      </c>
      <c r="F1850" t="s">
        <v>36</v>
      </c>
      <c r="G1850">
        <v>0</v>
      </c>
      <c r="H1850">
        <v>0</v>
      </c>
      <c r="I1850">
        <v>11.893469</v>
      </c>
    </row>
    <row r="1851" spans="1:9" x14ac:dyDescent="0.25">
      <c r="A1851">
        <v>2000920112</v>
      </c>
      <c r="B1851" t="s">
        <v>974</v>
      </c>
      <c r="C1851" t="s">
        <v>130</v>
      </c>
      <c r="D1851" t="s">
        <v>131</v>
      </c>
      <c r="E1851" s="2">
        <v>4</v>
      </c>
      <c r="F1851" t="s">
        <v>36</v>
      </c>
      <c r="G1851">
        <v>21</v>
      </c>
      <c r="H1851">
        <v>0</v>
      </c>
      <c r="I1851">
        <v>1.25</v>
      </c>
    </row>
    <row r="1852" spans="1:9" x14ac:dyDescent="0.25">
      <c r="A1852">
        <v>2000920112</v>
      </c>
      <c r="B1852" t="s">
        <v>974</v>
      </c>
      <c r="C1852" t="s">
        <v>137</v>
      </c>
      <c r="D1852" t="s">
        <v>138</v>
      </c>
      <c r="E1852" s="2">
        <v>0</v>
      </c>
      <c r="F1852" t="s">
        <v>36</v>
      </c>
      <c r="G1852">
        <v>0</v>
      </c>
      <c r="H1852">
        <v>2</v>
      </c>
      <c r="I1852">
        <v>0</v>
      </c>
    </row>
    <row r="1853" spans="1:9" x14ac:dyDescent="0.25">
      <c r="A1853">
        <v>2000920112</v>
      </c>
      <c r="B1853" t="s">
        <v>974</v>
      </c>
      <c r="C1853" t="s">
        <v>139</v>
      </c>
      <c r="D1853" t="s">
        <v>140</v>
      </c>
      <c r="E1853" s="2">
        <v>1</v>
      </c>
      <c r="F1853" t="s">
        <v>36</v>
      </c>
      <c r="G1853">
        <v>0</v>
      </c>
      <c r="H1853" s="2">
        <v>0</v>
      </c>
      <c r="I1853">
        <v>12</v>
      </c>
    </row>
    <row r="1854" spans="1:9" x14ac:dyDescent="0.25">
      <c r="A1854">
        <v>2000920113</v>
      </c>
      <c r="B1854" t="s">
        <v>975</v>
      </c>
      <c r="C1854" t="s">
        <v>130</v>
      </c>
      <c r="D1854" t="s">
        <v>131</v>
      </c>
      <c r="E1854" s="2">
        <v>7</v>
      </c>
      <c r="F1854" t="s">
        <v>457</v>
      </c>
      <c r="G1854">
        <v>211</v>
      </c>
      <c r="H1854">
        <v>0</v>
      </c>
      <c r="I1854">
        <v>2.9371429999999998</v>
      </c>
    </row>
    <row r="1855" spans="1:9" x14ac:dyDescent="0.25">
      <c r="A1855">
        <v>2000920113</v>
      </c>
      <c r="B1855" t="s">
        <v>975</v>
      </c>
      <c r="C1855" t="s">
        <v>137</v>
      </c>
      <c r="D1855" t="s">
        <v>138</v>
      </c>
      <c r="E1855" s="2">
        <v>0</v>
      </c>
      <c r="F1855" t="s">
        <v>457</v>
      </c>
      <c r="G1855">
        <v>0</v>
      </c>
      <c r="H1855">
        <v>1</v>
      </c>
      <c r="I1855">
        <v>2.936496</v>
      </c>
    </row>
    <row r="1856" spans="1:9" x14ac:dyDescent="0.25">
      <c r="A1856">
        <v>2000920114</v>
      </c>
      <c r="B1856" t="s">
        <v>976</v>
      </c>
      <c r="C1856" t="s">
        <v>130</v>
      </c>
      <c r="D1856" t="s">
        <v>131</v>
      </c>
      <c r="E1856" s="2">
        <v>3</v>
      </c>
      <c r="F1856" t="s">
        <v>457</v>
      </c>
      <c r="G1856">
        <v>0</v>
      </c>
      <c r="H1856">
        <v>0</v>
      </c>
      <c r="I1856">
        <v>13.916667</v>
      </c>
    </row>
    <row r="1857" spans="1:9" x14ac:dyDescent="0.25">
      <c r="A1857">
        <v>2000920115</v>
      </c>
      <c r="B1857" t="s">
        <v>977</v>
      </c>
      <c r="C1857" t="s">
        <v>130</v>
      </c>
      <c r="D1857" t="s">
        <v>131</v>
      </c>
      <c r="E1857" s="2">
        <v>5</v>
      </c>
      <c r="F1857" t="s">
        <v>457</v>
      </c>
      <c r="G1857">
        <v>0</v>
      </c>
      <c r="H1857">
        <v>0</v>
      </c>
      <c r="I1857">
        <v>13.757999999999999</v>
      </c>
    </row>
    <row r="1858" spans="1:9" x14ac:dyDescent="0.25">
      <c r="A1858">
        <v>2000920117</v>
      </c>
      <c r="B1858" t="s">
        <v>978</v>
      </c>
      <c r="C1858" t="s">
        <v>130</v>
      </c>
      <c r="D1858" t="s">
        <v>131</v>
      </c>
      <c r="E1858" s="2">
        <v>2</v>
      </c>
      <c r="F1858" t="s">
        <v>457</v>
      </c>
      <c r="G1858">
        <v>0</v>
      </c>
      <c r="H1858">
        <v>0</v>
      </c>
      <c r="I1858">
        <v>14.46</v>
      </c>
    </row>
    <row r="1859" spans="1:9" x14ac:dyDescent="0.25">
      <c r="A1859">
        <v>2000920118</v>
      </c>
      <c r="B1859" t="s">
        <v>979</v>
      </c>
      <c r="C1859" t="s">
        <v>126</v>
      </c>
      <c r="D1859" t="s">
        <v>127</v>
      </c>
      <c r="E1859" s="2">
        <v>5</v>
      </c>
      <c r="F1859" t="s">
        <v>457</v>
      </c>
      <c r="G1859">
        <v>0</v>
      </c>
      <c r="H1859" s="2">
        <v>0</v>
      </c>
      <c r="I1859">
        <v>14.036</v>
      </c>
    </row>
    <row r="1860" spans="1:9" x14ac:dyDescent="0.25">
      <c r="A1860">
        <v>2000920119</v>
      </c>
      <c r="B1860" t="s">
        <v>980</v>
      </c>
      <c r="C1860" t="s">
        <v>126</v>
      </c>
      <c r="D1860" t="s">
        <v>127</v>
      </c>
      <c r="E1860" s="2">
        <v>7</v>
      </c>
      <c r="F1860" t="s">
        <v>457</v>
      </c>
      <c r="G1860">
        <v>0</v>
      </c>
      <c r="H1860">
        <v>0</v>
      </c>
      <c r="I1860">
        <v>13.881429000000001</v>
      </c>
    </row>
    <row r="1861" spans="1:9" x14ac:dyDescent="0.25">
      <c r="A1861">
        <v>2000920120</v>
      </c>
      <c r="B1861" t="s">
        <v>981</v>
      </c>
      <c r="C1861" t="s">
        <v>126</v>
      </c>
      <c r="D1861" t="s">
        <v>127</v>
      </c>
      <c r="E1861" s="2">
        <v>2</v>
      </c>
      <c r="F1861" t="s">
        <v>457</v>
      </c>
      <c r="G1861">
        <v>0</v>
      </c>
      <c r="H1861">
        <v>0</v>
      </c>
      <c r="I1861">
        <v>13.775</v>
      </c>
    </row>
    <row r="1862" spans="1:9" x14ac:dyDescent="0.25">
      <c r="A1862">
        <v>2000920121</v>
      </c>
      <c r="B1862" t="s">
        <v>982</v>
      </c>
      <c r="C1862" t="s">
        <v>126</v>
      </c>
      <c r="D1862" t="s">
        <v>127</v>
      </c>
      <c r="E1862" s="2">
        <v>7</v>
      </c>
      <c r="F1862" t="s">
        <v>457</v>
      </c>
      <c r="G1862">
        <v>0</v>
      </c>
      <c r="H1862">
        <v>0</v>
      </c>
      <c r="I1862">
        <v>14.032857</v>
      </c>
    </row>
    <row r="1863" spans="1:9" x14ac:dyDescent="0.25">
      <c r="A1863">
        <v>2000920124</v>
      </c>
      <c r="B1863" t="s">
        <v>983</v>
      </c>
      <c r="C1863" t="s">
        <v>126</v>
      </c>
      <c r="D1863" t="s">
        <v>127</v>
      </c>
      <c r="E1863" s="2">
        <v>11</v>
      </c>
      <c r="F1863" t="s">
        <v>457</v>
      </c>
      <c r="G1863">
        <v>0</v>
      </c>
      <c r="H1863">
        <v>0</v>
      </c>
      <c r="I1863">
        <v>14.027272999999999</v>
      </c>
    </row>
    <row r="1864" spans="1:9" x14ac:dyDescent="0.25">
      <c r="A1864">
        <v>2000920127</v>
      </c>
      <c r="B1864" t="s">
        <v>984</v>
      </c>
      <c r="C1864" t="s">
        <v>130</v>
      </c>
      <c r="D1864" t="s">
        <v>131</v>
      </c>
      <c r="E1864" s="2">
        <v>1</v>
      </c>
      <c r="F1864" t="s">
        <v>457</v>
      </c>
      <c r="G1864">
        <v>0</v>
      </c>
      <c r="H1864">
        <v>0</v>
      </c>
      <c r="I1864">
        <v>10.71</v>
      </c>
    </row>
    <row r="1865" spans="1:9" x14ac:dyDescent="0.25">
      <c r="A1865">
        <v>2000920129</v>
      </c>
      <c r="B1865" t="s">
        <v>985</v>
      </c>
      <c r="C1865" t="s">
        <v>130</v>
      </c>
      <c r="D1865" t="s">
        <v>131</v>
      </c>
      <c r="E1865" s="2">
        <v>18</v>
      </c>
      <c r="F1865" t="s">
        <v>457</v>
      </c>
      <c r="G1865">
        <v>0</v>
      </c>
      <c r="H1865">
        <v>0</v>
      </c>
      <c r="I1865">
        <v>10.676111000000001</v>
      </c>
    </row>
    <row r="1866" spans="1:9" x14ac:dyDescent="0.25">
      <c r="A1866">
        <v>2000920130</v>
      </c>
      <c r="B1866" t="s">
        <v>986</v>
      </c>
      <c r="C1866" t="s">
        <v>130</v>
      </c>
      <c r="D1866" t="s">
        <v>131</v>
      </c>
      <c r="E1866" s="2">
        <v>10</v>
      </c>
      <c r="F1866" t="s">
        <v>457</v>
      </c>
      <c r="G1866">
        <v>0</v>
      </c>
      <c r="H1866">
        <v>0</v>
      </c>
      <c r="I1866">
        <v>10.638999999999999</v>
      </c>
    </row>
    <row r="1867" spans="1:9" x14ac:dyDescent="0.25">
      <c r="A1867">
        <v>2000920135</v>
      </c>
      <c r="B1867" t="s">
        <v>987</v>
      </c>
      <c r="C1867" t="s">
        <v>130</v>
      </c>
      <c r="D1867" t="s">
        <v>131</v>
      </c>
      <c r="E1867" s="2">
        <v>5</v>
      </c>
      <c r="F1867" t="s">
        <v>457</v>
      </c>
      <c r="G1867">
        <v>0</v>
      </c>
      <c r="H1867">
        <v>0</v>
      </c>
      <c r="I1867">
        <v>10.692</v>
      </c>
    </row>
    <row r="1868" spans="1:9" x14ac:dyDescent="0.25">
      <c r="A1868">
        <v>2000920136</v>
      </c>
      <c r="B1868" t="s">
        <v>988</v>
      </c>
      <c r="C1868" t="s">
        <v>130</v>
      </c>
      <c r="D1868" t="s">
        <v>131</v>
      </c>
      <c r="E1868" s="2">
        <v>4</v>
      </c>
      <c r="F1868" t="s">
        <v>457</v>
      </c>
      <c r="G1868">
        <v>0</v>
      </c>
      <c r="H1868">
        <v>0</v>
      </c>
      <c r="I1868">
        <v>10.6325</v>
      </c>
    </row>
    <row r="1869" spans="1:9" x14ac:dyDescent="0.25">
      <c r="A1869">
        <v>2000920139</v>
      </c>
      <c r="B1869" t="s">
        <v>989</v>
      </c>
      <c r="C1869" t="s">
        <v>130</v>
      </c>
      <c r="D1869" t="s">
        <v>131</v>
      </c>
      <c r="E1869" s="2">
        <v>3</v>
      </c>
      <c r="F1869" t="s">
        <v>457</v>
      </c>
      <c r="G1869">
        <v>0</v>
      </c>
      <c r="H1869">
        <v>0</v>
      </c>
      <c r="I1869">
        <v>10.63</v>
      </c>
    </row>
    <row r="1870" spans="1:9" x14ac:dyDescent="0.25">
      <c r="A1870">
        <v>2000920140</v>
      </c>
      <c r="B1870" t="s">
        <v>990</v>
      </c>
      <c r="C1870" t="s">
        <v>130</v>
      </c>
      <c r="D1870" t="s">
        <v>131</v>
      </c>
      <c r="E1870" s="2">
        <v>9</v>
      </c>
      <c r="F1870" t="s">
        <v>457</v>
      </c>
      <c r="G1870">
        <v>0</v>
      </c>
      <c r="H1870">
        <v>0</v>
      </c>
      <c r="I1870">
        <v>11.15</v>
      </c>
    </row>
    <row r="1871" spans="1:9" x14ac:dyDescent="0.25">
      <c r="A1871">
        <v>2000920141</v>
      </c>
      <c r="B1871" t="s">
        <v>991</v>
      </c>
      <c r="C1871" t="s">
        <v>307</v>
      </c>
      <c r="D1871" t="s">
        <v>308</v>
      </c>
      <c r="E1871" s="2">
        <v>9</v>
      </c>
      <c r="F1871" t="s">
        <v>457</v>
      </c>
      <c r="G1871">
        <v>0</v>
      </c>
      <c r="H1871">
        <v>0</v>
      </c>
      <c r="I1871">
        <v>21.75</v>
      </c>
    </row>
    <row r="1872" spans="1:9" x14ac:dyDescent="0.25">
      <c r="A1872">
        <v>2000920141</v>
      </c>
      <c r="B1872" t="s">
        <v>991</v>
      </c>
      <c r="C1872" t="s">
        <v>126</v>
      </c>
      <c r="D1872" t="s">
        <v>127</v>
      </c>
      <c r="E1872" s="2">
        <v>2</v>
      </c>
      <c r="F1872" t="s">
        <v>457</v>
      </c>
      <c r="G1872">
        <v>0</v>
      </c>
      <c r="H1872">
        <v>0</v>
      </c>
      <c r="I1872">
        <v>21.75</v>
      </c>
    </row>
    <row r="1873" spans="1:9" x14ac:dyDescent="0.25">
      <c r="A1873">
        <v>2000920142</v>
      </c>
      <c r="B1873" t="s">
        <v>992</v>
      </c>
      <c r="C1873" t="s">
        <v>307</v>
      </c>
      <c r="D1873" t="s">
        <v>308</v>
      </c>
      <c r="E1873" s="2">
        <v>12</v>
      </c>
      <c r="F1873" t="s">
        <v>457</v>
      </c>
      <c r="G1873">
        <v>0</v>
      </c>
      <c r="H1873">
        <v>0</v>
      </c>
      <c r="I1873">
        <v>21.75</v>
      </c>
    </row>
    <row r="1874" spans="1:9" x14ac:dyDescent="0.25">
      <c r="A1874">
        <v>2000920143</v>
      </c>
      <c r="B1874" t="s">
        <v>993</v>
      </c>
      <c r="C1874" t="s">
        <v>126</v>
      </c>
      <c r="D1874" t="s">
        <v>127</v>
      </c>
      <c r="E1874" s="2">
        <v>2</v>
      </c>
      <c r="F1874" t="s">
        <v>457</v>
      </c>
      <c r="G1874">
        <v>0</v>
      </c>
      <c r="H1874">
        <v>0</v>
      </c>
      <c r="I1874">
        <v>21.75</v>
      </c>
    </row>
    <row r="1875" spans="1:9" x14ac:dyDescent="0.25">
      <c r="A1875">
        <v>2000920144</v>
      </c>
      <c r="B1875" t="s">
        <v>994</v>
      </c>
      <c r="C1875" t="s">
        <v>307</v>
      </c>
      <c r="D1875" t="s">
        <v>308</v>
      </c>
      <c r="E1875" s="2">
        <v>48</v>
      </c>
      <c r="F1875" t="s">
        <v>457</v>
      </c>
      <c r="G1875">
        <v>0</v>
      </c>
      <c r="H1875">
        <v>0</v>
      </c>
      <c r="I1875">
        <v>21.75</v>
      </c>
    </row>
    <row r="1876" spans="1:9" x14ac:dyDescent="0.25">
      <c r="A1876">
        <v>2000920144</v>
      </c>
      <c r="B1876" t="s">
        <v>994</v>
      </c>
      <c r="C1876" t="s">
        <v>130</v>
      </c>
      <c r="D1876" t="s">
        <v>131</v>
      </c>
      <c r="E1876" s="2">
        <v>3</v>
      </c>
      <c r="F1876" t="s">
        <v>457</v>
      </c>
      <c r="G1876">
        <v>0</v>
      </c>
      <c r="H1876">
        <v>0</v>
      </c>
      <c r="I1876">
        <v>21.75</v>
      </c>
    </row>
    <row r="1877" spans="1:9" x14ac:dyDescent="0.25">
      <c r="A1877">
        <v>2000920145</v>
      </c>
      <c r="B1877" t="s">
        <v>995</v>
      </c>
      <c r="C1877" t="s">
        <v>307</v>
      </c>
      <c r="D1877" t="s">
        <v>308</v>
      </c>
      <c r="E1877" s="2">
        <v>48</v>
      </c>
      <c r="F1877" t="s">
        <v>457</v>
      </c>
      <c r="G1877">
        <v>0</v>
      </c>
      <c r="H1877">
        <v>0</v>
      </c>
      <c r="I1877">
        <v>21.753958000000001</v>
      </c>
    </row>
    <row r="1878" spans="1:9" x14ac:dyDescent="0.25">
      <c r="A1878">
        <v>2000920145</v>
      </c>
      <c r="B1878" t="s">
        <v>995</v>
      </c>
      <c r="C1878" t="s">
        <v>130</v>
      </c>
      <c r="D1878" t="s">
        <v>131</v>
      </c>
      <c r="E1878" s="2">
        <v>15</v>
      </c>
      <c r="F1878" t="s">
        <v>457</v>
      </c>
      <c r="G1878">
        <v>0</v>
      </c>
      <c r="H1878">
        <v>0</v>
      </c>
      <c r="I1878">
        <v>21.754667000000001</v>
      </c>
    </row>
    <row r="1879" spans="1:9" x14ac:dyDescent="0.25">
      <c r="A1879">
        <v>2000920146</v>
      </c>
      <c r="B1879" t="s">
        <v>996</v>
      </c>
      <c r="C1879" t="s">
        <v>307</v>
      </c>
      <c r="D1879" t="s">
        <v>308</v>
      </c>
      <c r="E1879" s="2">
        <v>10</v>
      </c>
      <c r="F1879" t="s">
        <v>457</v>
      </c>
      <c r="G1879">
        <v>0</v>
      </c>
      <c r="H1879" s="2">
        <v>0</v>
      </c>
      <c r="I1879">
        <v>21.75</v>
      </c>
    </row>
    <row r="1880" spans="1:9" x14ac:dyDescent="0.25">
      <c r="A1880">
        <v>2000920146</v>
      </c>
      <c r="B1880" t="s">
        <v>996</v>
      </c>
      <c r="C1880" t="s">
        <v>130</v>
      </c>
      <c r="D1880" t="s">
        <v>131</v>
      </c>
      <c r="E1880" s="2">
        <v>31</v>
      </c>
      <c r="F1880" t="s">
        <v>457</v>
      </c>
      <c r="G1880">
        <v>0</v>
      </c>
      <c r="H1880">
        <v>0</v>
      </c>
      <c r="I1880">
        <v>21.75</v>
      </c>
    </row>
    <row r="1881" spans="1:9" x14ac:dyDescent="0.25">
      <c r="A1881">
        <v>2000920147</v>
      </c>
      <c r="B1881" t="s">
        <v>997</v>
      </c>
      <c r="C1881" t="s">
        <v>130</v>
      </c>
      <c r="D1881" t="s">
        <v>131</v>
      </c>
      <c r="E1881" s="2">
        <v>3.3</v>
      </c>
      <c r="F1881" t="s">
        <v>457</v>
      </c>
      <c r="G1881">
        <v>0</v>
      </c>
      <c r="H1881">
        <v>0</v>
      </c>
      <c r="I1881">
        <v>13.757576</v>
      </c>
    </row>
    <row r="1882" spans="1:9" x14ac:dyDescent="0.25">
      <c r="A1882">
        <v>2000920147</v>
      </c>
      <c r="B1882" t="s">
        <v>997</v>
      </c>
      <c r="C1882" t="s">
        <v>126</v>
      </c>
      <c r="D1882" t="s">
        <v>127</v>
      </c>
      <c r="E1882" s="2">
        <v>7</v>
      </c>
      <c r="F1882" t="s">
        <v>457</v>
      </c>
      <c r="G1882">
        <v>0</v>
      </c>
      <c r="H1882">
        <v>0</v>
      </c>
      <c r="I1882">
        <v>13.758571</v>
      </c>
    </row>
    <row r="1883" spans="1:9" x14ac:dyDescent="0.25">
      <c r="A1883">
        <v>2000920148</v>
      </c>
      <c r="B1883" t="s">
        <v>998</v>
      </c>
      <c r="C1883" t="s">
        <v>130</v>
      </c>
      <c r="D1883" t="s">
        <v>131</v>
      </c>
      <c r="E1883" s="2">
        <v>2</v>
      </c>
      <c r="F1883" t="s">
        <v>457</v>
      </c>
      <c r="G1883" s="2">
        <v>0</v>
      </c>
      <c r="H1883">
        <v>0</v>
      </c>
      <c r="I1883">
        <v>13.76</v>
      </c>
    </row>
    <row r="1884" spans="1:9" x14ac:dyDescent="0.25">
      <c r="A1884">
        <v>2000920149</v>
      </c>
      <c r="B1884" t="s">
        <v>999</v>
      </c>
      <c r="C1884" t="s">
        <v>130</v>
      </c>
      <c r="D1884" t="s">
        <v>131</v>
      </c>
      <c r="E1884" s="2">
        <v>18</v>
      </c>
      <c r="F1884" t="s">
        <v>457</v>
      </c>
      <c r="G1884">
        <v>0</v>
      </c>
      <c r="H1884">
        <v>0</v>
      </c>
      <c r="I1884">
        <v>6.4233330000000004</v>
      </c>
    </row>
    <row r="1885" spans="1:9" x14ac:dyDescent="0.25">
      <c r="A1885">
        <v>2000920150</v>
      </c>
      <c r="B1885" t="s">
        <v>1000</v>
      </c>
      <c r="C1885" t="s">
        <v>130</v>
      </c>
      <c r="D1885" t="s">
        <v>131</v>
      </c>
      <c r="E1885" s="2">
        <v>2</v>
      </c>
      <c r="F1885" t="s">
        <v>457</v>
      </c>
      <c r="G1885">
        <v>0</v>
      </c>
      <c r="H1885">
        <v>0</v>
      </c>
      <c r="I1885">
        <v>6.4249999999999998</v>
      </c>
    </row>
    <row r="1886" spans="1:9" x14ac:dyDescent="0.25">
      <c r="A1886">
        <v>2000920151</v>
      </c>
      <c r="B1886" t="s">
        <v>1001</v>
      </c>
      <c r="C1886" t="s">
        <v>130</v>
      </c>
      <c r="D1886" t="s">
        <v>131</v>
      </c>
      <c r="E1886" s="2">
        <v>55</v>
      </c>
      <c r="F1886" t="s">
        <v>457</v>
      </c>
      <c r="G1886" s="2">
        <v>0</v>
      </c>
      <c r="H1886" s="2">
        <v>0</v>
      </c>
      <c r="I1886">
        <v>6.423273</v>
      </c>
    </row>
    <row r="1887" spans="1:9" x14ac:dyDescent="0.25">
      <c r="A1887">
        <v>2000920152</v>
      </c>
      <c r="B1887" t="s">
        <v>1002</v>
      </c>
      <c r="C1887" t="s">
        <v>130</v>
      </c>
      <c r="D1887" t="s">
        <v>131</v>
      </c>
      <c r="E1887" s="2">
        <v>2</v>
      </c>
      <c r="F1887" t="s">
        <v>457</v>
      </c>
      <c r="G1887">
        <v>0</v>
      </c>
      <c r="H1887">
        <v>0</v>
      </c>
      <c r="I1887">
        <v>6.4249999999999998</v>
      </c>
    </row>
    <row r="1888" spans="1:9" x14ac:dyDescent="0.25">
      <c r="A1888">
        <v>2000920156</v>
      </c>
      <c r="B1888" t="s">
        <v>1003</v>
      </c>
      <c r="C1888" t="s">
        <v>130</v>
      </c>
      <c r="D1888" t="s">
        <v>131</v>
      </c>
      <c r="E1888" s="2">
        <v>4</v>
      </c>
      <c r="F1888" t="s">
        <v>457</v>
      </c>
      <c r="G1888">
        <v>0</v>
      </c>
      <c r="H1888">
        <v>0</v>
      </c>
      <c r="I1888">
        <v>6.4225000000000003</v>
      </c>
    </row>
    <row r="1889" spans="1:9" x14ac:dyDescent="0.25">
      <c r="A1889">
        <v>2000920157</v>
      </c>
      <c r="B1889" t="s">
        <v>1004</v>
      </c>
      <c r="C1889" t="s">
        <v>130</v>
      </c>
      <c r="D1889" t="s">
        <v>131</v>
      </c>
      <c r="E1889" s="2">
        <v>164</v>
      </c>
      <c r="F1889" t="s">
        <v>457</v>
      </c>
      <c r="G1889">
        <v>0</v>
      </c>
      <c r="H1889">
        <v>0</v>
      </c>
      <c r="I1889">
        <v>6.4234150000000003</v>
      </c>
    </row>
    <row r="1890" spans="1:9" x14ac:dyDescent="0.25">
      <c r="A1890">
        <v>2000920158</v>
      </c>
      <c r="B1890" t="s">
        <v>1005</v>
      </c>
      <c r="C1890" t="s">
        <v>130</v>
      </c>
      <c r="D1890" t="s">
        <v>131</v>
      </c>
      <c r="E1890" s="2">
        <v>1</v>
      </c>
      <c r="F1890" t="s">
        <v>457</v>
      </c>
      <c r="G1890">
        <v>0</v>
      </c>
      <c r="H1890">
        <v>0</v>
      </c>
      <c r="I1890">
        <v>6.42</v>
      </c>
    </row>
    <row r="1891" spans="1:9" x14ac:dyDescent="0.25">
      <c r="A1891">
        <v>2000920160</v>
      </c>
      <c r="B1891" t="s">
        <v>1006</v>
      </c>
      <c r="C1891" t="s">
        <v>130</v>
      </c>
      <c r="D1891" t="s">
        <v>131</v>
      </c>
      <c r="E1891" s="2">
        <v>8</v>
      </c>
      <c r="F1891" t="s">
        <v>457</v>
      </c>
      <c r="G1891">
        <v>0</v>
      </c>
      <c r="H1891">
        <v>0</v>
      </c>
      <c r="I1891">
        <v>6.4225000000000003</v>
      </c>
    </row>
    <row r="1892" spans="1:9" x14ac:dyDescent="0.25">
      <c r="A1892">
        <v>2000920162</v>
      </c>
      <c r="B1892" t="s">
        <v>1007</v>
      </c>
      <c r="C1892" t="s">
        <v>130</v>
      </c>
      <c r="D1892" t="s">
        <v>131</v>
      </c>
      <c r="E1892" s="2">
        <v>1</v>
      </c>
      <c r="F1892" t="s">
        <v>457</v>
      </c>
      <c r="G1892">
        <v>0</v>
      </c>
      <c r="H1892">
        <v>0</v>
      </c>
      <c r="I1892">
        <v>6.42</v>
      </c>
    </row>
    <row r="1893" spans="1:9" x14ac:dyDescent="0.25">
      <c r="A1893">
        <v>2000920162</v>
      </c>
      <c r="B1893" t="s">
        <v>1007</v>
      </c>
      <c r="C1893" t="s">
        <v>126</v>
      </c>
      <c r="D1893" t="s">
        <v>127</v>
      </c>
      <c r="E1893" s="2">
        <v>847</v>
      </c>
      <c r="F1893" t="s">
        <v>457</v>
      </c>
      <c r="G1893">
        <v>0</v>
      </c>
      <c r="H1893">
        <v>0</v>
      </c>
      <c r="I1893">
        <v>6.4233880000000001</v>
      </c>
    </row>
    <row r="1894" spans="1:9" x14ac:dyDescent="0.25">
      <c r="A1894">
        <v>2000920164</v>
      </c>
      <c r="B1894" t="s">
        <v>1008</v>
      </c>
      <c r="C1894" t="s">
        <v>130</v>
      </c>
      <c r="D1894" t="s">
        <v>131</v>
      </c>
      <c r="E1894" s="2">
        <v>1</v>
      </c>
      <c r="F1894" t="s">
        <v>457</v>
      </c>
      <c r="G1894">
        <v>0</v>
      </c>
      <c r="H1894" s="2">
        <v>0</v>
      </c>
      <c r="I1894">
        <v>6.42</v>
      </c>
    </row>
    <row r="1895" spans="1:9" x14ac:dyDescent="0.25">
      <c r="A1895">
        <v>2000930001</v>
      </c>
      <c r="B1895" t="s">
        <v>1009</v>
      </c>
      <c r="C1895" t="s">
        <v>130</v>
      </c>
      <c r="D1895" t="s">
        <v>131</v>
      </c>
      <c r="E1895" s="2">
        <v>0</v>
      </c>
      <c r="F1895" t="s">
        <v>36</v>
      </c>
      <c r="G1895">
        <v>112</v>
      </c>
      <c r="H1895">
        <v>0</v>
      </c>
      <c r="I1895">
        <v>3.67</v>
      </c>
    </row>
    <row r="1896" spans="1:9" x14ac:dyDescent="0.25">
      <c r="A1896">
        <v>2000930001</v>
      </c>
      <c r="B1896" t="s">
        <v>1009</v>
      </c>
      <c r="C1896" t="s">
        <v>137</v>
      </c>
      <c r="D1896" t="s">
        <v>138</v>
      </c>
      <c r="E1896" s="2">
        <v>0</v>
      </c>
      <c r="F1896" t="s">
        <v>36</v>
      </c>
      <c r="G1896">
        <v>0</v>
      </c>
      <c r="H1896">
        <v>32</v>
      </c>
      <c r="I1896">
        <v>3.67</v>
      </c>
    </row>
    <row r="1897" spans="1:9" x14ac:dyDescent="0.25">
      <c r="A1897">
        <v>2000930002</v>
      </c>
      <c r="B1897" t="s">
        <v>1010</v>
      </c>
      <c r="C1897" t="s">
        <v>130</v>
      </c>
      <c r="D1897" t="s">
        <v>131</v>
      </c>
      <c r="E1897" s="2">
        <v>0</v>
      </c>
      <c r="F1897" t="s">
        <v>36</v>
      </c>
      <c r="G1897">
        <v>80</v>
      </c>
      <c r="H1897">
        <v>0</v>
      </c>
      <c r="I1897">
        <v>3.625</v>
      </c>
    </row>
    <row r="1898" spans="1:9" x14ac:dyDescent="0.25">
      <c r="A1898">
        <v>2000930003</v>
      </c>
      <c r="B1898" t="s">
        <v>1011</v>
      </c>
      <c r="C1898" t="s">
        <v>130</v>
      </c>
      <c r="D1898" t="s">
        <v>131</v>
      </c>
      <c r="E1898" s="2">
        <v>0</v>
      </c>
      <c r="F1898" t="s">
        <v>36</v>
      </c>
      <c r="G1898">
        <v>50</v>
      </c>
      <c r="H1898">
        <v>0</v>
      </c>
      <c r="I1898">
        <v>3.6866669999999999</v>
      </c>
    </row>
    <row r="1899" spans="1:9" x14ac:dyDescent="0.25">
      <c r="A1899">
        <v>2000930004</v>
      </c>
      <c r="B1899" t="s">
        <v>1012</v>
      </c>
      <c r="C1899" t="s">
        <v>130</v>
      </c>
      <c r="D1899" t="s">
        <v>131</v>
      </c>
      <c r="E1899" s="2">
        <v>23</v>
      </c>
      <c r="F1899" t="s">
        <v>36</v>
      </c>
      <c r="G1899" s="2">
        <v>0</v>
      </c>
      <c r="H1899">
        <v>0</v>
      </c>
      <c r="I1899">
        <v>4.3878259999999996</v>
      </c>
    </row>
    <row r="1900" spans="1:9" x14ac:dyDescent="0.25">
      <c r="A1900">
        <v>2000930006</v>
      </c>
      <c r="B1900" t="s">
        <v>1013</v>
      </c>
      <c r="C1900" t="s">
        <v>130</v>
      </c>
      <c r="D1900" t="s">
        <v>131</v>
      </c>
      <c r="E1900" s="2">
        <v>1751</v>
      </c>
      <c r="F1900" t="s">
        <v>36</v>
      </c>
      <c r="G1900">
        <v>0</v>
      </c>
      <c r="H1900">
        <v>0</v>
      </c>
      <c r="I1900">
        <v>4.4986860000000002</v>
      </c>
    </row>
    <row r="1901" spans="1:9" x14ac:dyDescent="0.25">
      <c r="A1901">
        <v>2000940001</v>
      </c>
      <c r="B1901" t="s">
        <v>1014</v>
      </c>
      <c r="C1901" t="s">
        <v>130</v>
      </c>
      <c r="D1901" t="s">
        <v>131</v>
      </c>
      <c r="E1901" s="2">
        <v>11347</v>
      </c>
      <c r="F1901" t="s">
        <v>1015</v>
      </c>
      <c r="G1901">
        <v>4</v>
      </c>
      <c r="H1901">
        <v>17</v>
      </c>
      <c r="I1901">
        <v>1.660954</v>
      </c>
    </row>
    <row r="1902" spans="1:9" x14ac:dyDescent="0.25">
      <c r="A1902">
        <v>2000940001</v>
      </c>
      <c r="B1902" t="s">
        <v>1014</v>
      </c>
      <c r="C1902" t="s">
        <v>137</v>
      </c>
      <c r="D1902" t="s">
        <v>138</v>
      </c>
      <c r="E1902" s="2">
        <v>5</v>
      </c>
      <c r="F1902" t="s">
        <v>1015</v>
      </c>
      <c r="G1902">
        <v>0</v>
      </c>
      <c r="H1902">
        <v>0</v>
      </c>
      <c r="I1902">
        <v>1.6819999999999999</v>
      </c>
    </row>
    <row r="1903" spans="1:9" x14ac:dyDescent="0.25">
      <c r="A1903">
        <v>2000940001</v>
      </c>
      <c r="B1903" t="s">
        <v>1014</v>
      </c>
      <c r="C1903" t="s">
        <v>139</v>
      </c>
      <c r="D1903" t="s">
        <v>140</v>
      </c>
      <c r="E1903" s="2">
        <v>17</v>
      </c>
      <c r="F1903" t="s">
        <v>1015</v>
      </c>
      <c r="G1903">
        <v>17</v>
      </c>
      <c r="H1903" s="2">
        <v>0</v>
      </c>
      <c r="I1903">
        <v>1.661176</v>
      </c>
    </row>
    <row r="1904" spans="1:9" x14ac:dyDescent="0.25">
      <c r="A1904">
        <v>2000940002</v>
      </c>
      <c r="B1904" t="s">
        <v>1016</v>
      </c>
      <c r="C1904" t="s">
        <v>130</v>
      </c>
      <c r="D1904" t="s">
        <v>131</v>
      </c>
      <c r="E1904" s="2">
        <v>60</v>
      </c>
      <c r="F1904" t="s">
        <v>1015</v>
      </c>
      <c r="G1904" s="2">
        <v>1068</v>
      </c>
      <c r="H1904">
        <v>0</v>
      </c>
      <c r="I1904">
        <v>0.95</v>
      </c>
    </row>
    <row r="1905" spans="1:9" x14ac:dyDescent="0.25">
      <c r="A1905">
        <v>2000940002</v>
      </c>
      <c r="B1905" t="s">
        <v>1016</v>
      </c>
      <c r="C1905" t="s">
        <v>137</v>
      </c>
      <c r="D1905" t="s">
        <v>138</v>
      </c>
      <c r="E1905" s="2">
        <v>1</v>
      </c>
      <c r="F1905" t="s">
        <v>1015</v>
      </c>
      <c r="G1905">
        <v>0</v>
      </c>
      <c r="H1905">
        <v>0</v>
      </c>
      <c r="I1905">
        <v>1.02</v>
      </c>
    </row>
    <row r="1906" spans="1:9" x14ac:dyDescent="0.25">
      <c r="A1906">
        <v>2000940006</v>
      </c>
      <c r="B1906" t="s">
        <v>1017</v>
      </c>
      <c r="C1906" t="s">
        <v>130</v>
      </c>
      <c r="D1906" t="s">
        <v>131</v>
      </c>
      <c r="E1906" s="2">
        <v>53302</v>
      </c>
      <c r="F1906" t="s">
        <v>36</v>
      </c>
      <c r="G1906" s="2">
        <v>2150</v>
      </c>
      <c r="H1906" s="2">
        <v>69400</v>
      </c>
      <c r="I1906">
        <v>1.626382</v>
      </c>
    </row>
    <row r="1907" spans="1:9" x14ac:dyDescent="0.25">
      <c r="A1907">
        <v>2000940006</v>
      </c>
      <c r="B1907" t="s">
        <v>1017</v>
      </c>
      <c r="C1907" t="s">
        <v>142</v>
      </c>
      <c r="D1907" t="s">
        <v>143</v>
      </c>
      <c r="E1907" s="2">
        <v>1859</v>
      </c>
      <c r="F1907" t="s">
        <v>36</v>
      </c>
      <c r="G1907">
        <v>0</v>
      </c>
      <c r="H1907">
        <v>0</v>
      </c>
      <c r="I1907">
        <v>1.6263799999999999</v>
      </c>
    </row>
    <row r="1908" spans="1:9" x14ac:dyDescent="0.25">
      <c r="A1908">
        <v>2000940006</v>
      </c>
      <c r="B1908" t="s">
        <v>1017</v>
      </c>
      <c r="C1908" t="s">
        <v>137</v>
      </c>
      <c r="D1908" t="s">
        <v>138</v>
      </c>
      <c r="E1908" s="2">
        <v>5</v>
      </c>
      <c r="F1908" t="s">
        <v>36</v>
      </c>
      <c r="G1908">
        <v>0</v>
      </c>
      <c r="H1908">
        <v>0</v>
      </c>
      <c r="I1908">
        <v>1.6359999999999999</v>
      </c>
    </row>
    <row r="1909" spans="1:9" x14ac:dyDescent="0.25">
      <c r="A1909">
        <v>2000940006</v>
      </c>
      <c r="B1909" t="s">
        <v>1017</v>
      </c>
      <c r="C1909" t="s">
        <v>151</v>
      </c>
      <c r="D1909" t="s">
        <v>152</v>
      </c>
      <c r="E1909" s="2">
        <v>3240</v>
      </c>
      <c r="F1909" t="s">
        <v>36</v>
      </c>
      <c r="G1909">
        <v>0</v>
      </c>
      <c r="H1909">
        <v>0</v>
      </c>
      <c r="I1909">
        <v>1.6569100000000001</v>
      </c>
    </row>
    <row r="1910" spans="1:9" x14ac:dyDescent="0.25">
      <c r="A1910">
        <v>2000940007</v>
      </c>
      <c r="B1910" t="s">
        <v>1018</v>
      </c>
      <c r="C1910" t="s">
        <v>130</v>
      </c>
      <c r="D1910" t="s">
        <v>131</v>
      </c>
      <c r="E1910" s="2">
        <v>23203</v>
      </c>
      <c r="F1910" t="s">
        <v>36</v>
      </c>
      <c r="G1910" s="2">
        <v>1025</v>
      </c>
      <c r="H1910" s="2">
        <v>27400</v>
      </c>
      <c r="I1910">
        <v>2.1280399999999999</v>
      </c>
    </row>
    <row r="1911" spans="1:9" x14ac:dyDescent="0.25">
      <c r="A1911">
        <v>2000940007</v>
      </c>
      <c r="B1911" t="s">
        <v>1018</v>
      </c>
      <c r="C1911" t="s">
        <v>137</v>
      </c>
      <c r="D1911" t="s">
        <v>138</v>
      </c>
      <c r="E1911" s="2">
        <v>4</v>
      </c>
      <c r="F1911" t="s">
        <v>36</v>
      </c>
      <c r="G1911">
        <v>0</v>
      </c>
      <c r="H1911">
        <v>0</v>
      </c>
      <c r="I1911">
        <v>2.1775000000000002</v>
      </c>
    </row>
    <row r="1912" spans="1:9" x14ac:dyDescent="0.25">
      <c r="A1912">
        <v>2000940008</v>
      </c>
      <c r="B1912" t="s">
        <v>1019</v>
      </c>
      <c r="C1912" t="s">
        <v>130</v>
      </c>
      <c r="D1912" t="s">
        <v>131</v>
      </c>
      <c r="E1912" s="2">
        <v>2617</v>
      </c>
      <c r="F1912" t="s">
        <v>36</v>
      </c>
      <c r="G1912" s="2">
        <v>2366</v>
      </c>
      <c r="H1912">
        <v>552</v>
      </c>
      <c r="I1912">
        <v>3.5864579999999999</v>
      </c>
    </row>
    <row r="1913" spans="1:9" x14ac:dyDescent="0.25">
      <c r="A1913">
        <v>2000940008</v>
      </c>
      <c r="B1913" t="s">
        <v>1019</v>
      </c>
      <c r="C1913" t="s">
        <v>137</v>
      </c>
      <c r="D1913" t="s">
        <v>138</v>
      </c>
      <c r="E1913" s="2">
        <v>29</v>
      </c>
      <c r="F1913" t="s">
        <v>36</v>
      </c>
      <c r="G1913">
        <v>0</v>
      </c>
      <c r="H1913">
        <v>42</v>
      </c>
      <c r="I1913">
        <v>3.5875859999999999</v>
      </c>
    </row>
    <row r="1914" spans="1:9" x14ac:dyDescent="0.25">
      <c r="A1914">
        <v>2000940008</v>
      </c>
      <c r="B1914" t="s">
        <v>1019</v>
      </c>
      <c r="C1914" t="s">
        <v>151</v>
      </c>
      <c r="D1914" t="s">
        <v>152</v>
      </c>
      <c r="E1914" s="2">
        <v>2000</v>
      </c>
      <c r="F1914" t="s">
        <v>36</v>
      </c>
      <c r="G1914">
        <v>0</v>
      </c>
      <c r="H1914">
        <v>0</v>
      </c>
      <c r="I1914">
        <v>3.5864799999999999</v>
      </c>
    </row>
    <row r="1915" spans="1:9" x14ac:dyDescent="0.25">
      <c r="A1915">
        <v>2000940008</v>
      </c>
      <c r="B1915" t="s">
        <v>1019</v>
      </c>
      <c r="C1915" t="s">
        <v>139</v>
      </c>
      <c r="D1915" t="s">
        <v>140</v>
      </c>
      <c r="E1915" s="2">
        <v>0</v>
      </c>
      <c r="F1915" t="s">
        <v>36</v>
      </c>
      <c r="G1915">
        <v>552</v>
      </c>
      <c r="H1915">
        <v>0</v>
      </c>
      <c r="I1915">
        <v>3.6745830000000002</v>
      </c>
    </row>
    <row r="1916" spans="1:9" x14ac:dyDescent="0.25">
      <c r="A1916">
        <v>2000950004</v>
      </c>
      <c r="B1916" t="s">
        <v>1020</v>
      </c>
      <c r="C1916" t="s">
        <v>130</v>
      </c>
      <c r="D1916" t="s">
        <v>131</v>
      </c>
      <c r="E1916" s="2">
        <v>241</v>
      </c>
      <c r="F1916" t="s">
        <v>36</v>
      </c>
      <c r="G1916">
        <v>0</v>
      </c>
      <c r="H1916">
        <v>0</v>
      </c>
      <c r="I1916">
        <v>4.5037339999999997</v>
      </c>
    </row>
    <row r="1917" spans="1:9" x14ac:dyDescent="0.25">
      <c r="A1917">
        <v>2000950006</v>
      </c>
      <c r="B1917" t="s">
        <v>1021</v>
      </c>
      <c r="C1917" t="s">
        <v>130</v>
      </c>
      <c r="D1917" t="s">
        <v>131</v>
      </c>
      <c r="E1917" s="2">
        <v>86</v>
      </c>
      <c r="F1917" t="s">
        <v>36</v>
      </c>
      <c r="G1917" s="2">
        <v>0</v>
      </c>
      <c r="H1917">
        <v>0</v>
      </c>
      <c r="I1917">
        <v>4.5066280000000001</v>
      </c>
    </row>
    <row r="1918" spans="1:9" x14ac:dyDescent="0.25">
      <c r="A1918">
        <v>2000950007</v>
      </c>
      <c r="B1918" t="s">
        <v>1022</v>
      </c>
      <c r="C1918" t="s">
        <v>130</v>
      </c>
      <c r="D1918" t="s">
        <v>131</v>
      </c>
      <c r="E1918" s="2">
        <v>1</v>
      </c>
      <c r="F1918" t="s">
        <v>36</v>
      </c>
      <c r="G1918">
        <v>0</v>
      </c>
      <c r="H1918">
        <v>0</v>
      </c>
      <c r="I1918">
        <v>3.68</v>
      </c>
    </row>
    <row r="1919" spans="1:9" x14ac:dyDescent="0.25">
      <c r="A1919">
        <v>2000950010</v>
      </c>
      <c r="B1919" t="s">
        <v>1023</v>
      </c>
      <c r="C1919" t="s">
        <v>130</v>
      </c>
      <c r="D1919" t="s">
        <v>131</v>
      </c>
      <c r="E1919" s="2">
        <v>28</v>
      </c>
      <c r="F1919" t="s">
        <v>36</v>
      </c>
      <c r="G1919">
        <v>0</v>
      </c>
      <c r="H1919">
        <v>0</v>
      </c>
      <c r="I1919">
        <v>5.3132140000000003</v>
      </c>
    </row>
    <row r="1920" spans="1:9" x14ac:dyDescent="0.25">
      <c r="A1920">
        <v>2000950011</v>
      </c>
      <c r="B1920" t="s">
        <v>1024</v>
      </c>
      <c r="C1920" t="s">
        <v>130</v>
      </c>
      <c r="D1920" t="s">
        <v>131</v>
      </c>
      <c r="E1920" s="2">
        <v>30</v>
      </c>
      <c r="F1920" t="s">
        <v>36</v>
      </c>
      <c r="G1920">
        <v>0</v>
      </c>
      <c r="H1920">
        <v>0</v>
      </c>
      <c r="I1920">
        <v>5.3046670000000002</v>
      </c>
    </row>
    <row r="1921" spans="1:9" x14ac:dyDescent="0.25">
      <c r="A1921">
        <v>2000950012</v>
      </c>
      <c r="B1921" t="s">
        <v>1025</v>
      </c>
      <c r="C1921" t="s">
        <v>130</v>
      </c>
      <c r="D1921" t="s">
        <v>131</v>
      </c>
      <c r="E1921" s="2">
        <v>115</v>
      </c>
      <c r="F1921" t="s">
        <v>36</v>
      </c>
      <c r="G1921">
        <v>0</v>
      </c>
      <c r="H1921">
        <v>0</v>
      </c>
      <c r="I1921">
        <v>5.2986089999999999</v>
      </c>
    </row>
    <row r="1922" spans="1:9" x14ac:dyDescent="0.25">
      <c r="A1922">
        <v>2000950012</v>
      </c>
      <c r="B1922" t="s">
        <v>1025</v>
      </c>
      <c r="C1922" t="s">
        <v>137</v>
      </c>
      <c r="D1922" t="s">
        <v>138</v>
      </c>
      <c r="E1922" s="2">
        <v>1</v>
      </c>
      <c r="F1922" t="s">
        <v>36</v>
      </c>
      <c r="G1922">
        <v>0</v>
      </c>
      <c r="H1922">
        <v>0</v>
      </c>
      <c r="I1922">
        <v>5.3</v>
      </c>
    </row>
    <row r="1923" spans="1:9" x14ac:dyDescent="0.25">
      <c r="A1923">
        <v>2000950013</v>
      </c>
      <c r="B1923" t="s">
        <v>1026</v>
      </c>
      <c r="C1923" t="s">
        <v>130</v>
      </c>
      <c r="D1923" t="s">
        <v>131</v>
      </c>
      <c r="E1923" s="2">
        <v>150</v>
      </c>
      <c r="F1923" t="s">
        <v>36</v>
      </c>
      <c r="G1923">
        <v>0</v>
      </c>
      <c r="H1923">
        <v>0</v>
      </c>
      <c r="I1923">
        <v>5.3086669999999998</v>
      </c>
    </row>
    <row r="1924" spans="1:9" x14ac:dyDescent="0.25">
      <c r="A1924">
        <v>2000950014</v>
      </c>
      <c r="B1924" t="s">
        <v>1027</v>
      </c>
      <c r="C1924" t="s">
        <v>130</v>
      </c>
      <c r="D1924" t="s">
        <v>131</v>
      </c>
      <c r="E1924" s="2">
        <v>252</v>
      </c>
      <c r="F1924" t="s">
        <v>36</v>
      </c>
      <c r="G1924">
        <v>0</v>
      </c>
      <c r="H1924">
        <v>0</v>
      </c>
      <c r="I1924">
        <v>5.4382140000000003</v>
      </c>
    </row>
    <row r="1925" spans="1:9" x14ac:dyDescent="0.25">
      <c r="A1925">
        <v>2000950015</v>
      </c>
      <c r="B1925" t="s">
        <v>1028</v>
      </c>
      <c r="C1925" t="s">
        <v>130</v>
      </c>
      <c r="D1925" t="s">
        <v>131</v>
      </c>
      <c r="E1925" s="2">
        <v>65</v>
      </c>
      <c r="F1925" t="s">
        <v>36</v>
      </c>
      <c r="G1925">
        <v>0</v>
      </c>
      <c r="H1925">
        <v>0</v>
      </c>
      <c r="I1925">
        <v>5.4916919999999996</v>
      </c>
    </row>
    <row r="1926" spans="1:9" x14ac:dyDescent="0.25">
      <c r="A1926">
        <v>2000950016</v>
      </c>
      <c r="B1926" t="s">
        <v>1029</v>
      </c>
      <c r="C1926" t="s">
        <v>130</v>
      </c>
      <c r="D1926" t="s">
        <v>131</v>
      </c>
      <c r="E1926" s="2">
        <v>46</v>
      </c>
      <c r="F1926" t="s">
        <v>36</v>
      </c>
      <c r="G1926">
        <v>0</v>
      </c>
      <c r="H1926">
        <v>0</v>
      </c>
      <c r="I1926">
        <v>4.8926090000000002</v>
      </c>
    </row>
    <row r="1927" spans="1:9" x14ac:dyDescent="0.25">
      <c r="A1927">
        <v>2000950018</v>
      </c>
      <c r="B1927" t="s">
        <v>1030</v>
      </c>
      <c r="C1927" t="s">
        <v>130</v>
      </c>
      <c r="D1927" t="s">
        <v>131</v>
      </c>
      <c r="E1927" s="2">
        <v>24</v>
      </c>
      <c r="F1927" t="s">
        <v>36</v>
      </c>
      <c r="G1927">
        <v>0</v>
      </c>
      <c r="H1927">
        <v>0</v>
      </c>
      <c r="I1927">
        <v>4.8925000000000001</v>
      </c>
    </row>
    <row r="1928" spans="1:9" x14ac:dyDescent="0.25">
      <c r="A1928">
        <v>2000950019</v>
      </c>
      <c r="B1928" t="s">
        <v>1031</v>
      </c>
      <c r="C1928" t="s">
        <v>130</v>
      </c>
      <c r="D1928" t="s">
        <v>131</v>
      </c>
      <c r="E1928" s="2">
        <v>44</v>
      </c>
      <c r="F1928" t="s">
        <v>36</v>
      </c>
      <c r="G1928">
        <v>0</v>
      </c>
      <c r="H1928">
        <v>0</v>
      </c>
      <c r="I1928">
        <v>4.8925000000000001</v>
      </c>
    </row>
    <row r="1929" spans="1:9" x14ac:dyDescent="0.25">
      <c r="A1929">
        <v>2000950020</v>
      </c>
      <c r="B1929" t="s">
        <v>1032</v>
      </c>
      <c r="C1929" t="s">
        <v>130</v>
      </c>
      <c r="D1929" t="s">
        <v>131</v>
      </c>
      <c r="E1929" s="2">
        <v>46</v>
      </c>
      <c r="F1929" t="s">
        <v>36</v>
      </c>
      <c r="G1929">
        <v>0</v>
      </c>
      <c r="H1929">
        <v>0</v>
      </c>
      <c r="I1929">
        <v>4.8926090000000002</v>
      </c>
    </row>
    <row r="1930" spans="1:9" x14ac:dyDescent="0.25">
      <c r="A1930">
        <v>2000950021</v>
      </c>
      <c r="B1930" t="s">
        <v>1033</v>
      </c>
      <c r="C1930" t="s">
        <v>130</v>
      </c>
      <c r="D1930" t="s">
        <v>131</v>
      </c>
      <c r="E1930" s="2">
        <v>2</v>
      </c>
      <c r="F1930" t="s">
        <v>36</v>
      </c>
      <c r="G1930">
        <v>0</v>
      </c>
      <c r="H1930">
        <v>0</v>
      </c>
      <c r="I1930">
        <v>4.8949999999999996</v>
      </c>
    </row>
    <row r="1931" spans="1:9" x14ac:dyDescent="0.25">
      <c r="A1931">
        <v>2000950022</v>
      </c>
      <c r="B1931" t="s">
        <v>1034</v>
      </c>
      <c r="C1931" t="s">
        <v>130</v>
      </c>
      <c r="D1931" t="s">
        <v>131</v>
      </c>
      <c r="E1931" s="2">
        <v>121</v>
      </c>
      <c r="F1931" t="s">
        <v>36</v>
      </c>
      <c r="G1931">
        <v>0</v>
      </c>
      <c r="H1931">
        <v>0</v>
      </c>
      <c r="I1931">
        <v>4.5066119999999996</v>
      </c>
    </row>
    <row r="1932" spans="1:9" x14ac:dyDescent="0.25">
      <c r="A1932">
        <v>2000950023</v>
      </c>
      <c r="B1932" t="s">
        <v>1035</v>
      </c>
      <c r="C1932" t="s">
        <v>130</v>
      </c>
      <c r="D1932" t="s">
        <v>131</v>
      </c>
      <c r="E1932" s="2">
        <v>9</v>
      </c>
      <c r="F1932" t="s">
        <v>36</v>
      </c>
      <c r="G1932">
        <v>0</v>
      </c>
      <c r="H1932">
        <v>0</v>
      </c>
      <c r="I1932">
        <v>4.5066670000000002</v>
      </c>
    </row>
    <row r="1933" spans="1:9" x14ac:dyDescent="0.25">
      <c r="A1933">
        <v>2000950024</v>
      </c>
      <c r="B1933" t="s">
        <v>1036</v>
      </c>
      <c r="C1933" t="s">
        <v>130</v>
      </c>
      <c r="D1933" t="s">
        <v>131</v>
      </c>
      <c r="E1933" s="2">
        <v>3</v>
      </c>
      <c r="F1933" t="s">
        <v>36</v>
      </c>
      <c r="G1933">
        <v>0</v>
      </c>
      <c r="H1933">
        <v>0</v>
      </c>
      <c r="I1933">
        <v>4.5133330000000003</v>
      </c>
    </row>
    <row r="1934" spans="1:9" x14ac:dyDescent="0.25">
      <c r="A1934">
        <v>2000950026</v>
      </c>
      <c r="B1934" t="s">
        <v>1037</v>
      </c>
      <c r="C1934" t="s">
        <v>130</v>
      </c>
      <c r="D1934" t="s">
        <v>131</v>
      </c>
      <c r="E1934" s="2">
        <v>4</v>
      </c>
      <c r="F1934" t="s">
        <v>36</v>
      </c>
      <c r="G1934">
        <v>0</v>
      </c>
      <c r="H1934">
        <v>0</v>
      </c>
      <c r="I1934">
        <v>4.6074999999999999</v>
      </c>
    </row>
    <row r="1935" spans="1:9" x14ac:dyDescent="0.25">
      <c r="A1935">
        <v>2000950027</v>
      </c>
      <c r="B1935" t="s">
        <v>1038</v>
      </c>
      <c r="C1935" t="s">
        <v>130</v>
      </c>
      <c r="D1935" t="s">
        <v>131</v>
      </c>
      <c r="E1935" s="2">
        <v>31</v>
      </c>
      <c r="F1935" t="s">
        <v>36</v>
      </c>
      <c r="G1935">
        <v>0</v>
      </c>
      <c r="H1935">
        <v>0</v>
      </c>
      <c r="I1935">
        <v>4.75</v>
      </c>
    </row>
    <row r="1936" spans="1:9" x14ac:dyDescent="0.25">
      <c r="A1936">
        <v>2000960001</v>
      </c>
      <c r="B1936" t="s">
        <v>1039</v>
      </c>
      <c r="C1936" t="s">
        <v>130</v>
      </c>
      <c r="D1936" t="s">
        <v>131</v>
      </c>
      <c r="E1936" s="2">
        <v>24</v>
      </c>
      <c r="F1936" t="s">
        <v>36</v>
      </c>
      <c r="G1936">
        <v>8</v>
      </c>
      <c r="H1936">
        <v>0</v>
      </c>
      <c r="I1936">
        <v>1.7749999999999999</v>
      </c>
    </row>
    <row r="1937" spans="1:9" x14ac:dyDescent="0.25">
      <c r="A1937">
        <v>2000960001</v>
      </c>
      <c r="B1937" t="s">
        <v>1039</v>
      </c>
      <c r="C1937" t="s">
        <v>137</v>
      </c>
      <c r="D1937" t="s">
        <v>138</v>
      </c>
      <c r="E1937" s="2">
        <v>14</v>
      </c>
      <c r="F1937" t="s">
        <v>36</v>
      </c>
      <c r="G1937">
        <v>0</v>
      </c>
      <c r="H1937">
        <v>0</v>
      </c>
      <c r="I1937">
        <v>1.862857</v>
      </c>
    </row>
    <row r="1938" spans="1:9" x14ac:dyDescent="0.25">
      <c r="A1938">
        <v>2000960001</v>
      </c>
      <c r="B1938" t="s">
        <v>1039</v>
      </c>
      <c r="C1938" t="s">
        <v>151</v>
      </c>
      <c r="D1938" t="s">
        <v>152</v>
      </c>
      <c r="E1938" s="2">
        <v>2750</v>
      </c>
      <c r="F1938" t="s">
        <v>36</v>
      </c>
      <c r="G1938">
        <v>0</v>
      </c>
      <c r="H1938">
        <v>0</v>
      </c>
      <c r="I1938">
        <v>1.774742</v>
      </c>
    </row>
    <row r="1939" spans="1:9" x14ac:dyDescent="0.25">
      <c r="A1939">
        <v>2000960001</v>
      </c>
      <c r="B1939" t="s">
        <v>1039</v>
      </c>
      <c r="C1939" t="s">
        <v>139</v>
      </c>
      <c r="D1939" t="s">
        <v>140</v>
      </c>
      <c r="E1939" s="2">
        <v>8349</v>
      </c>
      <c r="F1939" t="s">
        <v>36</v>
      </c>
      <c r="G1939">
        <v>0</v>
      </c>
      <c r="H1939">
        <v>0</v>
      </c>
      <c r="I1939">
        <v>1.7990679999999999</v>
      </c>
    </row>
    <row r="1940" spans="1:9" x14ac:dyDescent="0.25">
      <c r="A1940">
        <v>2000960002</v>
      </c>
      <c r="B1940" t="s">
        <v>1040</v>
      </c>
      <c r="C1940" t="s">
        <v>307</v>
      </c>
      <c r="D1940" t="s">
        <v>308</v>
      </c>
      <c r="E1940" s="2">
        <v>238</v>
      </c>
      <c r="F1940" t="s">
        <v>36</v>
      </c>
      <c r="G1940">
        <v>0</v>
      </c>
      <c r="H1940">
        <v>0</v>
      </c>
      <c r="I1940">
        <v>1.4536549999999999</v>
      </c>
    </row>
    <row r="1941" spans="1:9" x14ac:dyDescent="0.25">
      <c r="A1941">
        <v>2000960002</v>
      </c>
      <c r="B1941" t="s">
        <v>1040</v>
      </c>
      <c r="C1941" t="s">
        <v>130</v>
      </c>
      <c r="D1941" t="s">
        <v>131</v>
      </c>
      <c r="E1941" s="2">
        <v>461</v>
      </c>
      <c r="F1941" t="s">
        <v>36</v>
      </c>
      <c r="G1941">
        <v>0</v>
      </c>
      <c r="H1941">
        <v>0</v>
      </c>
      <c r="I1941">
        <v>1.4536880000000001</v>
      </c>
    </row>
    <row r="1942" spans="1:9" x14ac:dyDescent="0.25">
      <c r="A1942">
        <v>2000960003</v>
      </c>
      <c r="B1942" t="s">
        <v>1041</v>
      </c>
      <c r="C1942" t="s">
        <v>307</v>
      </c>
      <c r="D1942" t="s">
        <v>308</v>
      </c>
      <c r="E1942" s="2">
        <v>280</v>
      </c>
      <c r="F1942" t="s">
        <v>36</v>
      </c>
      <c r="G1942">
        <v>0</v>
      </c>
      <c r="H1942">
        <v>0</v>
      </c>
      <c r="I1942">
        <v>2.1924999999999999</v>
      </c>
    </row>
    <row r="1943" spans="1:9" x14ac:dyDescent="0.25">
      <c r="A1943">
        <v>2000960003</v>
      </c>
      <c r="B1943" t="s">
        <v>1041</v>
      </c>
      <c r="C1943" t="s">
        <v>130</v>
      </c>
      <c r="D1943" t="s">
        <v>131</v>
      </c>
      <c r="E1943" s="2">
        <v>71</v>
      </c>
      <c r="F1943" t="s">
        <v>36</v>
      </c>
      <c r="G1943" s="2">
        <v>5000</v>
      </c>
      <c r="H1943">
        <v>0</v>
      </c>
      <c r="I1943">
        <v>2.2016900000000001</v>
      </c>
    </row>
    <row r="1944" spans="1:9" x14ac:dyDescent="0.25">
      <c r="A1944">
        <v>2000960003</v>
      </c>
      <c r="B1944" t="s">
        <v>1041</v>
      </c>
      <c r="C1944" t="s">
        <v>151</v>
      </c>
      <c r="D1944" t="s">
        <v>152</v>
      </c>
      <c r="E1944" s="2">
        <v>2796</v>
      </c>
      <c r="F1944" t="s">
        <v>36</v>
      </c>
      <c r="G1944">
        <v>0</v>
      </c>
      <c r="H1944" s="2">
        <v>4750</v>
      </c>
      <c r="I1944">
        <v>2.2014740000000002</v>
      </c>
    </row>
    <row r="1945" spans="1:9" x14ac:dyDescent="0.25">
      <c r="A1945">
        <v>2000960003</v>
      </c>
      <c r="B1945" t="s">
        <v>1041</v>
      </c>
      <c r="C1945" t="s">
        <v>139</v>
      </c>
      <c r="D1945" t="s">
        <v>140</v>
      </c>
      <c r="E1945" s="2">
        <v>13</v>
      </c>
      <c r="F1945" t="s">
        <v>36</v>
      </c>
      <c r="G1945">
        <v>0</v>
      </c>
      <c r="H1945">
        <v>0</v>
      </c>
      <c r="I1945">
        <v>2.1876920000000002</v>
      </c>
    </row>
    <row r="1946" spans="1:9" x14ac:dyDescent="0.25">
      <c r="A1946">
        <v>2000960004</v>
      </c>
      <c r="B1946" t="s">
        <v>1042</v>
      </c>
      <c r="C1946" t="s">
        <v>307</v>
      </c>
      <c r="D1946" t="s">
        <v>308</v>
      </c>
      <c r="E1946" s="2">
        <v>280</v>
      </c>
      <c r="F1946" t="s">
        <v>36</v>
      </c>
      <c r="G1946" s="2">
        <v>0</v>
      </c>
      <c r="H1946">
        <v>0</v>
      </c>
      <c r="I1946">
        <v>2.2067139999999998</v>
      </c>
    </row>
    <row r="1947" spans="1:9" x14ac:dyDescent="0.25">
      <c r="A1947">
        <v>2000960004</v>
      </c>
      <c r="B1947" t="s">
        <v>1042</v>
      </c>
      <c r="C1947" t="s">
        <v>130</v>
      </c>
      <c r="D1947" t="s">
        <v>131</v>
      </c>
      <c r="E1947" s="2">
        <v>7</v>
      </c>
      <c r="F1947" t="s">
        <v>36</v>
      </c>
      <c r="G1947" s="2">
        <v>4550</v>
      </c>
      <c r="H1947">
        <v>0</v>
      </c>
      <c r="I1947">
        <v>2.1971430000000001</v>
      </c>
    </row>
    <row r="1948" spans="1:9" x14ac:dyDescent="0.25">
      <c r="A1948">
        <v>2000960004</v>
      </c>
      <c r="B1948" t="s">
        <v>1042</v>
      </c>
      <c r="C1948" t="s">
        <v>137</v>
      </c>
      <c r="D1948" t="s">
        <v>138</v>
      </c>
      <c r="E1948" s="2">
        <v>3</v>
      </c>
      <c r="F1948" t="s">
        <v>36</v>
      </c>
      <c r="G1948">
        <v>0</v>
      </c>
      <c r="H1948">
        <v>0</v>
      </c>
      <c r="I1948">
        <v>2.2000000000000002</v>
      </c>
    </row>
    <row r="1949" spans="1:9" x14ac:dyDescent="0.25">
      <c r="A1949">
        <v>2000960004</v>
      </c>
      <c r="B1949" t="s">
        <v>1042</v>
      </c>
      <c r="C1949" t="s">
        <v>151</v>
      </c>
      <c r="D1949" t="s">
        <v>152</v>
      </c>
      <c r="E1949" s="2">
        <v>2782</v>
      </c>
      <c r="F1949" t="s">
        <v>36</v>
      </c>
      <c r="G1949">
        <v>0</v>
      </c>
      <c r="H1949" s="2">
        <v>4550</v>
      </c>
      <c r="I1949">
        <v>2.1975129999999998</v>
      </c>
    </row>
    <row r="1950" spans="1:9" x14ac:dyDescent="0.25">
      <c r="A1950">
        <v>2000960004</v>
      </c>
      <c r="B1950" t="s">
        <v>1042</v>
      </c>
      <c r="C1950" t="s">
        <v>139</v>
      </c>
      <c r="D1950" t="s">
        <v>140</v>
      </c>
      <c r="E1950" s="2">
        <v>76</v>
      </c>
      <c r="F1950" t="s">
        <v>36</v>
      </c>
      <c r="G1950">
        <v>0</v>
      </c>
      <c r="H1950">
        <v>0</v>
      </c>
      <c r="I1950">
        <v>2.1875</v>
      </c>
    </row>
    <row r="1951" spans="1:9" x14ac:dyDescent="0.25">
      <c r="A1951">
        <v>2000960005</v>
      </c>
      <c r="B1951" t="s">
        <v>1043</v>
      </c>
      <c r="C1951" t="s">
        <v>130</v>
      </c>
      <c r="D1951" t="s">
        <v>131</v>
      </c>
      <c r="E1951" s="2">
        <v>1200</v>
      </c>
      <c r="F1951" t="s">
        <v>36</v>
      </c>
      <c r="G1951">
        <v>0</v>
      </c>
      <c r="H1951">
        <v>0</v>
      </c>
      <c r="I1951">
        <v>3.9985080000000002</v>
      </c>
    </row>
    <row r="1952" spans="1:9" x14ac:dyDescent="0.25">
      <c r="A1952">
        <v>2000960005</v>
      </c>
      <c r="B1952" t="s">
        <v>1043</v>
      </c>
      <c r="C1952" t="s">
        <v>137</v>
      </c>
      <c r="D1952" t="s">
        <v>138</v>
      </c>
      <c r="E1952" s="2">
        <v>4</v>
      </c>
      <c r="F1952" t="s">
        <v>36</v>
      </c>
      <c r="G1952">
        <v>0</v>
      </c>
      <c r="H1952">
        <v>0</v>
      </c>
      <c r="I1952">
        <v>4</v>
      </c>
    </row>
    <row r="1953" spans="1:9" x14ac:dyDescent="0.25">
      <c r="A1953">
        <v>2000960006</v>
      </c>
      <c r="B1953" t="s">
        <v>1044</v>
      </c>
      <c r="C1953" t="s">
        <v>130</v>
      </c>
      <c r="D1953" t="s">
        <v>131</v>
      </c>
      <c r="E1953" s="2">
        <v>0</v>
      </c>
      <c r="F1953" t="s">
        <v>36</v>
      </c>
      <c r="G1953">
        <v>661</v>
      </c>
      <c r="H1953">
        <v>0</v>
      </c>
      <c r="I1953">
        <v>2.21</v>
      </c>
    </row>
    <row r="1954" spans="1:9" x14ac:dyDescent="0.25">
      <c r="A1954">
        <v>2000960006</v>
      </c>
      <c r="B1954" t="s">
        <v>1044</v>
      </c>
      <c r="C1954" t="s">
        <v>137</v>
      </c>
      <c r="D1954" t="s">
        <v>138</v>
      </c>
      <c r="E1954" s="2">
        <v>18</v>
      </c>
      <c r="F1954" t="s">
        <v>36</v>
      </c>
      <c r="G1954">
        <v>0</v>
      </c>
      <c r="H1954">
        <v>0</v>
      </c>
      <c r="I1954">
        <v>2.2111109999999998</v>
      </c>
    </row>
    <row r="1955" spans="1:9" x14ac:dyDescent="0.25">
      <c r="A1955">
        <v>2000960006</v>
      </c>
      <c r="B1955" t="s">
        <v>1044</v>
      </c>
      <c r="C1955" t="s">
        <v>151</v>
      </c>
      <c r="D1955" t="s">
        <v>152</v>
      </c>
      <c r="E1955" s="2">
        <v>0</v>
      </c>
      <c r="F1955" t="s">
        <v>36</v>
      </c>
      <c r="G1955" s="2">
        <v>0</v>
      </c>
      <c r="H1955">
        <v>660</v>
      </c>
      <c r="I1955">
        <v>2.2115610000000001</v>
      </c>
    </row>
    <row r="1956" spans="1:9" x14ac:dyDescent="0.25">
      <c r="A1956">
        <v>2000960006</v>
      </c>
      <c r="B1956" t="s">
        <v>1044</v>
      </c>
      <c r="C1956" t="s">
        <v>139</v>
      </c>
      <c r="D1956" t="s">
        <v>140</v>
      </c>
      <c r="E1956" s="2">
        <v>6308</v>
      </c>
      <c r="F1956" t="s">
        <v>36</v>
      </c>
      <c r="G1956">
        <v>0</v>
      </c>
      <c r="H1956">
        <v>0</v>
      </c>
      <c r="I1956">
        <v>2.211554</v>
      </c>
    </row>
    <row r="1957" spans="1:9" x14ac:dyDescent="0.25">
      <c r="A1957">
        <v>2000960007</v>
      </c>
      <c r="B1957" t="s">
        <v>1045</v>
      </c>
      <c r="C1957" t="s">
        <v>130</v>
      </c>
      <c r="D1957" t="s">
        <v>131</v>
      </c>
      <c r="E1957" s="2">
        <v>7442</v>
      </c>
      <c r="F1957" t="s">
        <v>36</v>
      </c>
      <c r="G1957" s="2">
        <v>0</v>
      </c>
      <c r="H1957">
        <v>0</v>
      </c>
      <c r="I1957">
        <v>1.564093</v>
      </c>
    </row>
    <row r="1958" spans="1:9" x14ac:dyDescent="0.25">
      <c r="A1958">
        <v>2000960007</v>
      </c>
      <c r="B1958" t="s">
        <v>1045</v>
      </c>
      <c r="C1958" t="s">
        <v>139</v>
      </c>
      <c r="D1958" t="s">
        <v>140</v>
      </c>
      <c r="E1958" s="2">
        <v>9975</v>
      </c>
      <c r="F1958" t="s">
        <v>36</v>
      </c>
      <c r="G1958">
        <v>0</v>
      </c>
      <c r="H1958">
        <v>0</v>
      </c>
      <c r="I1958">
        <v>1.5510390000000001</v>
      </c>
    </row>
    <row r="1959" spans="1:9" x14ac:dyDescent="0.25">
      <c r="A1959">
        <v>2000980011</v>
      </c>
      <c r="B1959" t="s">
        <v>1046</v>
      </c>
      <c r="C1959" t="s">
        <v>130</v>
      </c>
      <c r="D1959" t="s">
        <v>131</v>
      </c>
      <c r="E1959" s="2">
        <v>5</v>
      </c>
      <c r="F1959" t="s">
        <v>36</v>
      </c>
      <c r="G1959">
        <v>0</v>
      </c>
      <c r="H1959">
        <v>0</v>
      </c>
      <c r="I1959">
        <v>30.44</v>
      </c>
    </row>
    <row r="1960" spans="1:9" x14ac:dyDescent="0.25">
      <c r="A1960">
        <v>2001060001</v>
      </c>
      <c r="B1960" t="s">
        <v>1047</v>
      </c>
      <c r="C1960" t="s">
        <v>130</v>
      </c>
      <c r="D1960" t="s">
        <v>131</v>
      </c>
      <c r="E1960" s="2">
        <v>0</v>
      </c>
      <c r="F1960" t="s">
        <v>36</v>
      </c>
      <c r="G1960" s="2">
        <v>3142</v>
      </c>
      <c r="H1960" s="2">
        <v>2159</v>
      </c>
      <c r="I1960">
        <v>1.797237</v>
      </c>
    </row>
    <row r="1961" spans="1:9" x14ac:dyDescent="0.25">
      <c r="A1961">
        <v>2001060001</v>
      </c>
      <c r="B1961" t="s">
        <v>1047</v>
      </c>
      <c r="C1961" t="s">
        <v>137</v>
      </c>
      <c r="D1961" t="s">
        <v>138</v>
      </c>
      <c r="E1961" s="2">
        <v>0</v>
      </c>
      <c r="F1961" t="s">
        <v>36</v>
      </c>
      <c r="G1961">
        <v>0</v>
      </c>
      <c r="H1961">
        <v>30</v>
      </c>
      <c r="I1961">
        <v>1.7971429999999999</v>
      </c>
    </row>
    <row r="1962" spans="1:9" x14ac:dyDescent="0.25">
      <c r="A1962">
        <v>2001060001</v>
      </c>
      <c r="B1962" t="s">
        <v>1047</v>
      </c>
      <c r="C1962" t="s">
        <v>151</v>
      </c>
      <c r="D1962" t="s">
        <v>152</v>
      </c>
      <c r="E1962" s="2">
        <v>180</v>
      </c>
      <c r="F1962" t="s">
        <v>36</v>
      </c>
      <c r="G1962">
        <v>0</v>
      </c>
      <c r="H1962" s="2">
        <v>2016</v>
      </c>
      <c r="I1962">
        <v>1.7972220000000001</v>
      </c>
    </row>
    <row r="1963" spans="1:9" x14ac:dyDescent="0.25">
      <c r="A1963">
        <v>2001060001</v>
      </c>
      <c r="B1963" t="s">
        <v>1047</v>
      </c>
      <c r="C1963" t="s">
        <v>139</v>
      </c>
      <c r="D1963" t="s">
        <v>140</v>
      </c>
      <c r="E1963" s="2">
        <v>0</v>
      </c>
      <c r="F1963" t="s">
        <v>36</v>
      </c>
      <c r="G1963" s="2">
        <v>2159</v>
      </c>
      <c r="H1963">
        <v>0</v>
      </c>
      <c r="I1963">
        <v>1.8</v>
      </c>
    </row>
    <row r="1964" spans="1:9" x14ac:dyDescent="0.25">
      <c r="A1964">
        <v>2001060002</v>
      </c>
      <c r="B1964" t="s">
        <v>1048</v>
      </c>
      <c r="C1964" t="s">
        <v>130</v>
      </c>
      <c r="D1964" t="s">
        <v>131</v>
      </c>
      <c r="E1964" s="2">
        <v>447</v>
      </c>
      <c r="F1964" t="s">
        <v>36</v>
      </c>
      <c r="G1964" s="2">
        <v>1807</v>
      </c>
      <c r="H1964">
        <v>0</v>
      </c>
      <c r="I1964">
        <v>4.1036020000000004</v>
      </c>
    </row>
    <row r="1965" spans="1:9" x14ac:dyDescent="0.25">
      <c r="A1965">
        <v>2001060002</v>
      </c>
      <c r="B1965" t="s">
        <v>1048</v>
      </c>
      <c r="C1965" t="s">
        <v>137</v>
      </c>
      <c r="D1965" t="s">
        <v>138</v>
      </c>
      <c r="E1965" s="2">
        <v>9</v>
      </c>
      <c r="F1965" t="s">
        <v>36</v>
      </c>
      <c r="G1965">
        <v>0</v>
      </c>
      <c r="H1965">
        <v>0</v>
      </c>
      <c r="I1965">
        <v>4.0999999999999996</v>
      </c>
    </row>
    <row r="1966" spans="1:9" x14ac:dyDescent="0.25">
      <c r="A1966">
        <v>2001060002</v>
      </c>
      <c r="B1966" t="s">
        <v>1048</v>
      </c>
      <c r="C1966" t="s">
        <v>151</v>
      </c>
      <c r="D1966" t="s">
        <v>152</v>
      </c>
      <c r="E1966" s="2">
        <v>0</v>
      </c>
      <c r="F1966" t="s">
        <v>36</v>
      </c>
      <c r="G1966">
        <v>0</v>
      </c>
      <c r="H1966" s="2">
        <v>1800</v>
      </c>
      <c r="I1966">
        <v>4.1022220000000003</v>
      </c>
    </row>
    <row r="1967" spans="1:9" x14ac:dyDescent="0.25">
      <c r="A1967">
        <v>2001060002</v>
      </c>
      <c r="B1967" t="s">
        <v>1048</v>
      </c>
      <c r="C1967" t="s">
        <v>139</v>
      </c>
      <c r="D1967" t="s">
        <v>140</v>
      </c>
      <c r="E1967" s="2">
        <v>33</v>
      </c>
      <c r="F1967" t="s">
        <v>36</v>
      </c>
      <c r="G1967">
        <v>0</v>
      </c>
      <c r="H1967">
        <v>0</v>
      </c>
      <c r="I1967">
        <v>4.1021210000000004</v>
      </c>
    </row>
    <row r="1968" spans="1:9" x14ac:dyDescent="0.25">
      <c r="A1968">
        <v>2009990075</v>
      </c>
      <c r="B1968" t="s">
        <v>1049</v>
      </c>
      <c r="C1968" t="s">
        <v>130</v>
      </c>
      <c r="D1968" t="s">
        <v>131</v>
      </c>
      <c r="E1968" s="2">
        <v>0</v>
      </c>
      <c r="F1968" t="s">
        <v>36</v>
      </c>
      <c r="G1968">
        <v>0</v>
      </c>
      <c r="H1968">
        <v>10</v>
      </c>
      <c r="I1968">
        <v>0</v>
      </c>
    </row>
    <row r="1969" spans="1:9" x14ac:dyDescent="0.25">
      <c r="A1969">
        <v>2009990075</v>
      </c>
      <c r="B1969" t="s">
        <v>1049</v>
      </c>
      <c r="C1969" t="s">
        <v>139</v>
      </c>
      <c r="D1969" t="s">
        <v>140</v>
      </c>
      <c r="E1969" s="2">
        <v>10</v>
      </c>
      <c r="F1969" t="s">
        <v>36</v>
      </c>
      <c r="G1969">
        <v>10</v>
      </c>
      <c r="H1969">
        <v>0</v>
      </c>
      <c r="I1969">
        <v>22.251000000000001</v>
      </c>
    </row>
    <row r="1970" spans="1:9" x14ac:dyDescent="0.25">
      <c r="A1970">
        <v>2009990094</v>
      </c>
      <c r="B1970" t="s">
        <v>1050</v>
      </c>
      <c r="C1970" t="s">
        <v>130</v>
      </c>
      <c r="D1970" t="s">
        <v>131</v>
      </c>
      <c r="E1970" s="2">
        <v>0</v>
      </c>
      <c r="F1970" t="s">
        <v>36</v>
      </c>
      <c r="G1970">
        <v>0</v>
      </c>
      <c r="H1970">
        <v>4</v>
      </c>
      <c r="I1970">
        <v>0</v>
      </c>
    </row>
    <row r="1971" spans="1:9" x14ac:dyDescent="0.25">
      <c r="A1971">
        <v>2009990094</v>
      </c>
      <c r="B1971" t="s">
        <v>1050</v>
      </c>
      <c r="C1971" t="s">
        <v>139</v>
      </c>
      <c r="D1971" t="s">
        <v>140</v>
      </c>
      <c r="E1971" s="2">
        <v>4</v>
      </c>
      <c r="F1971" t="s">
        <v>36</v>
      </c>
      <c r="G1971">
        <v>4</v>
      </c>
      <c r="H1971">
        <v>0</v>
      </c>
      <c r="I1971">
        <v>10.38</v>
      </c>
    </row>
    <row r="1972" spans="1:9" x14ac:dyDescent="0.25">
      <c r="A1972">
        <v>2009990095</v>
      </c>
      <c r="B1972" t="s">
        <v>1051</v>
      </c>
      <c r="C1972" t="s">
        <v>130</v>
      </c>
      <c r="D1972" t="s">
        <v>131</v>
      </c>
      <c r="E1972" s="2">
        <v>0</v>
      </c>
      <c r="F1972" t="s">
        <v>36</v>
      </c>
      <c r="G1972">
        <v>0</v>
      </c>
      <c r="H1972">
        <v>18</v>
      </c>
      <c r="I1972">
        <v>0</v>
      </c>
    </row>
    <row r="1973" spans="1:9" x14ac:dyDescent="0.25">
      <c r="A1973">
        <v>2009990095</v>
      </c>
      <c r="B1973" t="s">
        <v>1051</v>
      </c>
      <c r="C1973" t="s">
        <v>139</v>
      </c>
      <c r="D1973" t="s">
        <v>140</v>
      </c>
      <c r="E1973" s="2">
        <v>18</v>
      </c>
      <c r="F1973" t="s">
        <v>36</v>
      </c>
      <c r="G1973">
        <v>18</v>
      </c>
      <c r="H1973">
        <v>0</v>
      </c>
      <c r="I1973">
        <v>10.591666999999999</v>
      </c>
    </row>
    <row r="1974" spans="1:9" x14ac:dyDescent="0.25">
      <c r="A1974">
        <v>2009990170</v>
      </c>
      <c r="B1974" t="s">
        <v>1052</v>
      </c>
      <c r="C1974" t="s">
        <v>130</v>
      </c>
      <c r="D1974" t="s">
        <v>131</v>
      </c>
      <c r="E1974" s="2">
        <v>0</v>
      </c>
      <c r="F1974" t="s">
        <v>36</v>
      </c>
      <c r="G1974">
        <v>0</v>
      </c>
      <c r="H1974">
        <v>27</v>
      </c>
      <c r="I1974">
        <v>0</v>
      </c>
    </row>
    <row r="1975" spans="1:9" x14ac:dyDescent="0.25">
      <c r="A1975">
        <v>2009990170</v>
      </c>
      <c r="B1975" t="s">
        <v>1052</v>
      </c>
      <c r="C1975" t="s">
        <v>139</v>
      </c>
      <c r="D1975" t="s">
        <v>140</v>
      </c>
      <c r="E1975" s="2">
        <v>27</v>
      </c>
      <c r="F1975" t="s">
        <v>36</v>
      </c>
      <c r="G1975">
        <v>27</v>
      </c>
      <c r="H1975">
        <v>0</v>
      </c>
      <c r="I1975">
        <v>0.78666700000000001</v>
      </c>
    </row>
    <row r="1976" spans="1:9" x14ac:dyDescent="0.25">
      <c r="A1976">
        <v>2009990194</v>
      </c>
      <c r="B1976" t="s">
        <v>1053</v>
      </c>
      <c r="C1976" t="s">
        <v>130</v>
      </c>
      <c r="D1976" t="s">
        <v>131</v>
      </c>
      <c r="E1976" s="2">
        <v>1</v>
      </c>
      <c r="F1976" t="s">
        <v>36</v>
      </c>
      <c r="G1976">
        <v>0</v>
      </c>
      <c r="H1976">
        <v>0</v>
      </c>
      <c r="I1976">
        <v>146.35</v>
      </c>
    </row>
    <row r="1977" spans="1:9" x14ac:dyDescent="0.25">
      <c r="A1977">
        <v>2009990202</v>
      </c>
      <c r="B1977" t="s">
        <v>1054</v>
      </c>
      <c r="C1977" t="s">
        <v>130</v>
      </c>
      <c r="D1977" t="s">
        <v>131</v>
      </c>
      <c r="E1977" s="2">
        <v>415</v>
      </c>
      <c r="F1977" t="s">
        <v>36</v>
      </c>
      <c r="G1977">
        <v>0</v>
      </c>
      <c r="H1977">
        <v>0</v>
      </c>
      <c r="I1977">
        <v>17.286072000000001</v>
      </c>
    </row>
    <row r="1978" spans="1:9" x14ac:dyDescent="0.25">
      <c r="A1978">
        <v>2009990224</v>
      </c>
      <c r="B1978" t="s">
        <v>1055</v>
      </c>
      <c r="C1978" t="s">
        <v>130</v>
      </c>
      <c r="D1978" t="s">
        <v>131</v>
      </c>
      <c r="E1978" s="2">
        <v>1335</v>
      </c>
      <c r="F1978" t="s">
        <v>147</v>
      </c>
      <c r="G1978">
        <v>0</v>
      </c>
      <c r="H1978">
        <v>0</v>
      </c>
      <c r="I1978">
        <v>1.335993</v>
      </c>
    </row>
    <row r="1979" spans="1:9" x14ac:dyDescent="0.25">
      <c r="A1979">
        <v>2009990270</v>
      </c>
      <c r="B1979" t="s">
        <v>1056</v>
      </c>
      <c r="C1979" t="s">
        <v>130</v>
      </c>
      <c r="D1979" t="s">
        <v>131</v>
      </c>
      <c r="E1979" s="2">
        <v>0</v>
      </c>
      <c r="F1979" t="s">
        <v>36</v>
      </c>
      <c r="G1979">
        <v>170</v>
      </c>
      <c r="H1979">
        <v>0</v>
      </c>
      <c r="I1979">
        <v>0</v>
      </c>
    </row>
    <row r="1980" spans="1:9" x14ac:dyDescent="0.25">
      <c r="A1980">
        <v>2009990270</v>
      </c>
      <c r="B1980" t="s">
        <v>1056</v>
      </c>
      <c r="C1980" t="s">
        <v>167</v>
      </c>
      <c r="D1980" t="s">
        <v>168</v>
      </c>
      <c r="E1980" s="2">
        <v>2516</v>
      </c>
      <c r="F1980" t="s">
        <v>36</v>
      </c>
      <c r="G1980">
        <v>10</v>
      </c>
      <c r="H1980">
        <v>0</v>
      </c>
      <c r="I1980">
        <v>1.4436249999999999</v>
      </c>
    </row>
    <row r="1981" spans="1:9" x14ac:dyDescent="0.25">
      <c r="A1981">
        <v>2009990270</v>
      </c>
      <c r="B1981" t="s">
        <v>1056</v>
      </c>
      <c r="C1981" t="s">
        <v>137</v>
      </c>
      <c r="D1981" t="s">
        <v>138</v>
      </c>
      <c r="E1981" s="2">
        <v>1018</v>
      </c>
      <c r="F1981" t="s">
        <v>36</v>
      </c>
      <c r="G1981">
        <v>0</v>
      </c>
      <c r="H1981">
        <v>180</v>
      </c>
      <c r="I1981">
        <v>1.4436150000000001</v>
      </c>
    </row>
    <row r="1982" spans="1:9" x14ac:dyDescent="0.25">
      <c r="A1982">
        <v>2009990271</v>
      </c>
      <c r="B1982" t="s">
        <v>1057</v>
      </c>
      <c r="C1982" t="s">
        <v>130</v>
      </c>
      <c r="D1982" t="s">
        <v>131</v>
      </c>
      <c r="E1982" s="2">
        <v>0</v>
      </c>
      <c r="F1982" t="s">
        <v>36</v>
      </c>
      <c r="G1982">
        <v>90</v>
      </c>
      <c r="H1982">
        <v>0</v>
      </c>
      <c r="I1982">
        <v>1.081358</v>
      </c>
    </row>
    <row r="1983" spans="1:9" x14ac:dyDescent="0.25">
      <c r="A1983">
        <v>2009990271</v>
      </c>
      <c r="B1983" t="s">
        <v>1057</v>
      </c>
      <c r="C1983" t="s">
        <v>167</v>
      </c>
      <c r="D1983" t="s">
        <v>168</v>
      </c>
      <c r="E1983" s="2">
        <v>17869</v>
      </c>
      <c r="F1983" t="s">
        <v>36</v>
      </c>
      <c r="G1983">
        <v>0</v>
      </c>
      <c r="H1983">
        <v>0</v>
      </c>
      <c r="I1983">
        <v>1.049885</v>
      </c>
    </row>
    <row r="1984" spans="1:9" x14ac:dyDescent="0.25">
      <c r="A1984">
        <v>2009990271</v>
      </c>
      <c r="B1984" t="s">
        <v>1057</v>
      </c>
      <c r="C1984" t="s">
        <v>137</v>
      </c>
      <c r="D1984" t="s">
        <v>138</v>
      </c>
      <c r="E1984" s="2">
        <v>110</v>
      </c>
      <c r="F1984" t="s">
        <v>36</v>
      </c>
      <c r="G1984">
        <v>0</v>
      </c>
      <c r="H1984">
        <v>90</v>
      </c>
      <c r="I1984">
        <v>1.0584549999999999</v>
      </c>
    </row>
    <row r="1985" spans="1:9" x14ac:dyDescent="0.25">
      <c r="A1985">
        <v>2009990274</v>
      </c>
      <c r="B1985" t="s">
        <v>1058</v>
      </c>
      <c r="C1985" t="s">
        <v>130</v>
      </c>
      <c r="D1985" t="s">
        <v>131</v>
      </c>
      <c r="E1985" s="2">
        <v>0</v>
      </c>
      <c r="F1985" t="s">
        <v>36</v>
      </c>
      <c r="G1985" s="2">
        <v>0</v>
      </c>
      <c r="H1985" s="2">
        <v>1242</v>
      </c>
      <c r="I1985">
        <v>0</v>
      </c>
    </row>
    <row r="1986" spans="1:9" x14ac:dyDescent="0.25">
      <c r="A1986">
        <v>2009990274</v>
      </c>
      <c r="B1986" t="s">
        <v>1058</v>
      </c>
      <c r="C1986" t="s">
        <v>139</v>
      </c>
      <c r="D1986" t="s">
        <v>140</v>
      </c>
      <c r="E1986" s="2">
        <v>1242</v>
      </c>
      <c r="F1986" t="s">
        <v>36</v>
      </c>
      <c r="G1986" s="2">
        <v>1242</v>
      </c>
      <c r="H1986">
        <v>0</v>
      </c>
      <c r="I1986">
        <v>0.26118400000000003</v>
      </c>
    </row>
    <row r="1987" spans="1:9" x14ac:dyDescent="0.25">
      <c r="A1987">
        <v>2009990275</v>
      </c>
      <c r="B1987" t="s">
        <v>1059</v>
      </c>
      <c r="C1987" t="s">
        <v>130</v>
      </c>
      <c r="D1987" t="s">
        <v>131</v>
      </c>
      <c r="E1987" s="2">
        <v>0</v>
      </c>
      <c r="F1987" t="s">
        <v>36</v>
      </c>
      <c r="G1987">
        <v>0</v>
      </c>
      <c r="H1987" s="2">
        <v>3157</v>
      </c>
      <c r="I1987">
        <v>0</v>
      </c>
    </row>
    <row r="1988" spans="1:9" x14ac:dyDescent="0.25">
      <c r="A1988">
        <v>2009990275</v>
      </c>
      <c r="B1988" t="s">
        <v>1059</v>
      </c>
      <c r="C1988" t="s">
        <v>139</v>
      </c>
      <c r="D1988" t="s">
        <v>140</v>
      </c>
      <c r="E1988" s="2">
        <v>3157</v>
      </c>
      <c r="F1988" t="s">
        <v>36</v>
      </c>
      <c r="G1988" s="2">
        <v>3157</v>
      </c>
      <c r="H1988">
        <v>0</v>
      </c>
      <c r="I1988">
        <v>0.23300899999999999</v>
      </c>
    </row>
    <row r="1989" spans="1:9" x14ac:dyDescent="0.25">
      <c r="A1989">
        <v>2009990277</v>
      </c>
      <c r="B1989" t="s">
        <v>1060</v>
      </c>
      <c r="C1989" t="s">
        <v>130</v>
      </c>
      <c r="D1989" t="s">
        <v>131</v>
      </c>
      <c r="E1989" s="2">
        <v>0</v>
      </c>
      <c r="F1989" t="s">
        <v>36</v>
      </c>
      <c r="G1989">
        <v>0</v>
      </c>
      <c r="H1989" s="2">
        <v>1079</v>
      </c>
      <c r="I1989">
        <v>0</v>
      </c>
    </row>
    <row r="1990" spans="1:9" x14ac:dyDescent="0.25">
      <c r="A1990">
        <v>2009990277</v>
      </c>
      <c r="B1990" t="s">
        <v>1060</v>
      </c>
      <c r="C1990" t="s">
        <v>139</v>
      </c>
      <c r="D1990" t="s">
        <v>140</v>
      </c>
      <c r="E1990" s="2">
        <v>1079</v>
      </c>
      <c r="F1990" t="s">
        <v>36</v>
      </c>
      <c r="G1990" s="2">
        <v>1079</v>
      </c>
      <c r="H1990">
        <v>0</v>
      </c>
      <c r="I1990">
        <v>0.110973</v>
      </c>
    </row>
    <row r="1991" spans="1:9" x14ac:dyDescent="0.25">
      <c r="A1991">
        <v>2009990278</v>
      </c>
      <c r="B1991" t="s">
        <v>1061</v>
      </c>
      <c r="C1991" t="s">
        <v>130</v>
      </c>
      <c r="D1991" t="s">
        <v>131</v>
      </c>
      <c r="E1991" s="2">
        <v>0</v>
      </c>
      <c r="F1991" t="s">
        <v>36</v>
      </c>
      <c r="G1991">
        <v>0</v>
      </c>
      <c r="H1991">
        <v>56</v>
      </c>
      <c r="I1991">
        <v>0</v>
      </c>
    </row>
    <row r="1992" spans="1:9" x14ac:dyDescent="0.25">
      <c r="A1992">
        <v>2009990278</v>
      </c>
      <c r="B1992" t="s">
        <v>1061</v>
      </c>
      <c r="C1992" t="s">
        <v>139</v>
      </c>
      <c r="D1992" t="s">
        <v>140</v>
      </c>
      <c r="E1992" s="2">
        <v>56</v>
      </c>
      <c r="F1992" t="s">
        <v>36</v>
      </c>
      <c r="G1992">
        <v>56</v>
      </c>
      <c r="H1992">
        <v>0</v>
      </c>
      <c r="I1992">
        <v>0.23285700000000001</v>
      </c>
    </row>
    <row r="1993" spans="1:9" x14ac:dyDescent="0.25">
      <c r="A1993">
        <v>2009990279</v>
      </c>
      <c r="B1993" t="s">
        <v>1062</v>
      </c>
      <c r="C1993" t="s">
        <v>130</v>
      </c>
      <c r="D1993" t="s">
        <v>131</v>
      </c>
      <c r="E1993" s="2">
        <v>0</v>
      </c>
      <c r="F1993" t="s">
        <v>36</v>
      </c>
      <c r="G1993" s="2">
        <v>0</v>
      </c>
      <c r="H1993">
        <v>128</v>
      </c>
      <c r="I1993">
        <v>0</v>
      </c>
    </row>
    <row r="1994" spans="1:9" x14ac:dyDescent="0.25">
      <c r="A1994">
        <v>2009990279</v>
      </c>
      <c r="B1994" t="s">
        <v>1062</v>
      </c>
      <c r="C1994" t="s">
        <v>139</v>
      </c>
      <c r="D1994" t="s">
        <v>140</v>
      </c>
      <c r="E1994" s="2">
        <v>128</v>
      </c>
      <c r="F1994" t="s">
        <v>36</v>
      </c>
      <c r="G1994">
        <v>128</v>
      </c>
      <c r="H1994">
        <v>0</v>
      </c>
      <c r="I1994">
        <v>0.12890599999999999</v>
      </c>
    </row>
    <row r="1995" spans="1:9" x14ac:dyDescent="0.25">
      <c r="A1995">
        <v>2009990280</v>
      </c>
      <c r="B1995" t="s">
        <v>1063</v>
      </c>
      <c r="C1995" t="s">
        <v>130</v>
      </c>
      <c r="D1995" t="s">
        <v>131</v>
      </c>
      <c r="E1995" s="2">
        <v>140</v>
      </c>
      <c r="F1995" t="s">
        <v>36</v>
      </c>
      <c r="G1995">
        <v>0</v>
      </c>
      <c r="H1995">
        <v>0</v>
      </c>
      <c r="I1995">
        <v>1.2855000000000001</v>
      </c>
    </row>
    <row r="1996" spans="1:9" x14ac:dyDescent="0.25">
      <c r="A1996">
        <v>2009990280</v>
      </c>
      <c r="B1996" t="s">
        <v>1063</v>
      </c>
      <c r="C1996" t="s">
        <v>167</v>
      </c>
      <c r="D1996" t="s">
        <v>168</v>
      </c>
      <c r="E1996" s="2">
        <v>1</v>
      </c>
      <c r="F1996" t="s">
        <v>36</v>
      </c>
      <c r="G1996">
        <v>0</v>
      </c>
      <c r="H1996">
        <v>0</v>
      </c>
      <c r="I1996">
        <v>1.29</v>
      </c>
    </row>
    <row r="1997" spans="1:9" x14ac:dyDescent="0.25">
      <c r="A1997">
        <v>2009990281</v>
      </c>
      <c r="B1997" t="s">
        <v>1064</v>
      </c>
      <c r="C1997" t="s">
        <v>167</v>
      </c>
      <c r="D1997" t="s">
        <v>168</v>
      </c>
      <c r="E1997" s="2">
        <v>438</v>
      </c>
      <c r="F1997" t="s">
        <v>36</v>
      </c>
      <c r="G1997">
        <v>0</v>
      </c>
      <c r="H1997">
        <v>0</v>
      </c>
      <c r="I1997">
        <v>7.8859360000000001</v>
      </c>
    </row>
    <row r="1998" spans="1:9" x14ac:dyDescent="0.25">
      <c r="A1998">
        <v>2009990285</v>
      </c>
      <c r="B1998" t="s">
        <v>1065</v>
      </c>
      <c r="C1998" t="s">
        <v>130</v>
      </c>
      <c r="D1998" t="s">
        <v>131</v>
      </c>
      <c r="E1998" s="2">
        <v>0</v>
      </c>
      <c r="F1998" t="s">
        <v>36</v>
      </c>
      <c r="G1998">
        <v>225</v>
      </c>
      <c r="H1998">
        <v>0</v>
      </c>
      <c r="I1998">
        <v>5.3902010000000002</v>
      </c>
    </row>
    <row r="1999" spans="1:9" x14ac:dyDescent="0.25">
      <c r="A1999">
        <v>2009990285</v>
      </c>
      <c r="B1999" t="s">
        <v>1065</v>
      </c>
      <c r="C1999" t="s">
        <v>167</v>
      </c>
      <c r="D1999" t="s">
        <v>168</v>
      </c>
      <c r="E1999" s="2">
        <v>2091</v>
      </c>
      <c r="F1999" t="s">
        <v>36</v>
      </c>
      <c r="G1999">
        <v>10</v>
      </c>
      <c r="H1999">
        <v>0</v>
      </c>
      <c r="I1999">
        <v>5.3902010000000002</v>
      </c>
    </row>
    <row r="2000" spans="1:9" x14ac:dyDescent="0.25">
      <c r="A2000">
        <v>2009990285</v>
      </c>
      <c r="B2000" t="s">
        <v>1065</v>
      </c>
      <c r="C2000" t="s">
        <v>137</v>
      </c>
      <c r="D2000" t="s">
        <v>138</v>
      </c>
      <c r="E2000" s="2">
        <v>802</v>
      </c>
      <c r="F2000" t="s">
        <v>36</v>
      </c>
      <c r="G2000">
        <v>0</v>
      </c>
      <c r="H2000">
        <v>235</v>
      </c>
      <c r="I2000">
        <v>5.3902000000000001</v>
      </c>
    </row>
    <row r="2001" spans="1:9" x14ac:dyDescent="0.25">
      <c r="A2001">
        <v>2009990286</v>
      </c>
      <c r="B2001" t="s">
        <v>1066</v>
      </c>
      <c r="C2001" t="s">
        <v>130</v>
      </c>
      <c r="D2001" t="s">
        <v>131</v>
      </c>
      <c r="E2001" s="2">
        <v>0</v>
      </c>
      <c r="F2001" t="s">
        <v>36</v>
      </c>
      <c r="G2001">
        <v>178</v>
      </c>
      <c r="H2001">
        <v>0</v>
      </c>
      <c r="I2001">
        <v>4.876703</v>
      </c>
    </row>
    <row r="2002" spans="1:9" x14ac:dyDescent="0.25">
      <c r="A2002">
        <v>2009990286</v>
      </c>
      <c r="B2002" t="s">
        <v>1066</v>
      </c>
      <c r="C2002" t="s">
        <v>167</v>
      </c>
      <c r="D2002" t="s">
        <v>168</v>
      </c>
      <c r="E2002" s="2">
        <v>2936</v>
      </c>
      <c r="F2002" t="s">
        <v>36</v>
      </c>
      <c r="G2002">
        <v>0</v>
      </c>
      <c r="H2002">
        <v>0</v>
      </c>
      <c r="I2002">
        <v>4.8766999999999996</v>
      </c>
    </row>
    <row r="2003" spans="1:9" x14ac:dyDescent="0.25">
      <c r="A2003">
        <v>2009990286</v>
      </c>
      <c r="B2003" t="s">
        <v>1066</v>
      </c>
      <c r="C2003" t="s">
        <v>137</v>
      </c>
      <c r="D2003" t="s">
        <v>138</v>
      </c>
      <c r="E2003" s="2">
        <v>702</v>
      </c>
      <c r="F2003" t="s">
        <v>36</v>
      </c>
      <c r="G2003">
        <v>0</v>
      </c>
      <c r="H2003">
        <v>178</v>
      </c>
      <c r="I2003">
        <v>4.876709</v>
      </c>
    </row>
    <row r="2004" spans="1:9" x14ac:dyDescent="0.25">
      <c r="A2004">
        <v>2009990291</v>
      </c>
      <c r="B2004" t="s">
        <v>1067</v>
      </c>
      <c r="C2004" t="s">
        <v>130</v>
      </c>
      <c r="D2004" t="s">
        <v>131</v>
      </c>
      <c r="E2004" s="2">
        <v>0</v>
      </c>
      <c r="F2004" t="s">
        <v>36</v>
      </c>
      <c r="G2004">
        <v>0</v>
      </c>
      <c r="H2004" s="2">
        <v>2000</v>
      </c>
      <c r="I2004">
        <v>0</v>
      </c>
    </row>
    <row r="2005" spans="1:9" x14ac:dyDescent="0.25">
      <c r="A2005">
        <v>2009990291</v>
      </c>
      <c r="B2005" t="s">
        <v>1067</v>
      </c>
      <c r="C2005" t="s">
        <v>139</v>
      </c>
      <c r="D2005" t="s">
        <v>140</v>
      </c>
      <c r="E2005" s="2">
        <v>2000</v>
      </c>
      <c r="F2005" t="s">
        <v>36</v>
      </c>
      <c r="G2005" s="2">
        <v>2000</v>
      </c>
      <c r="H2005">
        <v>0</v>
      </c>
      <c r="I2005">
        <v>0.159</v>
      </c>
    </row>
    <row r="2006" spans="1:9" x14ac:dyDescent="0.25">
      <c r="A2006">
        <v>2009990297</v>
      </c>
      <c r="B2006" t="s">
        <v>1068</v>
      </c>
      <c r="C2006" t="s">
        <v>130</v>
      </c>
      <c r="D2006" t="s">
        <v>131</v>
      </c>
      <c r="E2006" s="2">
        <v>0</v>
      </c>
      <c r="F2006" t="s">
        <v>36</v>
      </c>
      <c r="G2006" s="2">
        <v>3300</v>
      </c>
      <c r="H2006">
        <v>0</v>
      </c>
      <c r="I2006">
        <v>21.249171</v>
      </c>
    </row>
    <row r="2007" spans="1:9" x14ac:dyDescent="0.25">
      <c r="A2007">
        <v>2009990297</v>
      </c>
      <c r="B2007" t="s">
        <v>1068</v>
      </c>
      <c r="C2007" t="s">
        <v>144</v>
      </c>
      <c r="D2007" t="s">
        <v>145</v>
      </c>
      <c r="E2007" s="2">
        <v>0</v>
      </c>
      <c r="F2007" t="s">
        <v>36</v>
      </c>
      <c r="G2007">
        <v>0</v>
      </c>
      <c r="H2007" s="2">
        <v>3300</v>
      </c>
      <c r="I2007">
        <v>0</v>
      </c>
    </row>
    <row r="2008" spans="1:9" x14ac:dyDescent="0.25">
      <c r="A2008">
        <v>2009990298</v>
      </c>
      <c r="B2008" t="s">
        <v>1069</v>
      </c>
      <c r="C2008" t="s">
        <v>130</v>
      </c>
      <c r="D2008" t="s">
        <v>131</v>
      </c>
      <c r="E2008" s="2">
        <v>0</v>
      </c>
      <c r="F2008" t="s">
        <v>36</v>
      </c>
      <c r="G2008">
        <v>900</v>
      </c>
      <c r="H2008">
        <v>0</v>
      </c>
      <c r="I2008">
        <v>22.193580000000001</v>
      </c>
    </row>
    <row r="2009" spans="1:9" x14ac:dyDescent="0.25">
      <c r="A2009">
        <v>2009990298</v>
      </c>
      <c r="B2009" t="s">
        <v>1069</v>
      </c>
      <c r="C2009" t="s">
        <v>144</v>
      </c>
      <c r="D2009" t="s">
        <v>145</v>
      </c>
      <c r="E2009" s="2">
        <v>0</v>
      </c>
      <c r="F2009" t="s">
        <v>36</v>
      </c>
      <c r="G2009">
        <v>0</v>
      </c>
      <c r="H2009">
        <v>900</v>
      </c>
      <c r="I2009">
        <v>0</v>
      </c>
    </row>
    <row r="2010" spans="1:9" x14ac:dyDescent="0.25">
      <c r="A2010">
        <v>2110010005</v>
      </c>
      <c r="B2010" t="s">
        <v>1070</v>
      </c>
      <c r="C2010" t="s">
        <v>130</v>
      </c>
      <c r="D2010" t="s">
        <v>131</v>
      </c>
      <c r="E2010" s="2">
        <v>0</v>
      </c>
      <c r="F2010" t="s">
        <v>36</v>
      </c>
      <c r="G2010">
        <v>0</v>
      </c>
      <c r="H2010">
        <v>600</v>
      </c>
      <c r="I2010">
        <v>0</v>
      </c>
    </row>
    <row r="2011" spans="1:9" x14ac:dyDescent="0.25">
      <c r="A2011">
        <v>2110010005</v>
      </c>
      <c r="B2011" t="s">
        <v>1070</v>
      </c>
      <c r="C2011" t="s">
        <v>126</v>
      </c>
      <c r="D2011" t="s">
        <v>127</v>
      </c>
      <c r="E2011" s="2">
        <v>3</v>
      </c>
      <c r="F2011" t="s">
        <v>36</v>
      </c>
      <c r="G2011" s="2">
        <v>0</v>
      </c>
      <c r="H2011">
        <v>0</v>
      </c>
      <c r="I2011">
        <v>16.309999999999999</v>
      </c>
    </row>
    <row r="2012" spans="1:9" x14ac:dyDescent="0.25">
      <c r="A2012">
        <v>2110010005</v>
      </c>
      <c r="B2012" t="s">
        <v>1070</v>
      </c>
      <c r="C2012" t="s">
        <v>139</v>
      </c>
      <c r="D2012" t="s">
        <v>140</v>
      </c>
      <c r="E2012" s="2">
        <v>600</v>
      </c>
      <c r="F2012" t="s">
        <v>36</v>
      </c>
      <c r="G2012" s="2">
        <v>600</v>
      </c>
      <c r="H2012">
        <v>0</v>
      </c>
      <c r="I2012">
        <v>16.310433</v>
      </c>
    </row>
    <row r="2013" spans="1:9" x14ac:dyDescent="0.25">
      <c r="A2013">
        <v>2110010027</v>
      </c>
      <c r="B2013" t="s">
        <v>1071</v>
      </c>
      <c r="C2013" t="s">
        <v>329</v>
      </c>
      <c r="D2013" t="s">
        <v>330</v>
      </c>
      <c r="E2013" s="2">
        <v>4464</v>
      </c>
      <c r="F2013" t="s">
        <v>36</v>
      </c>
      <c r="G2013">
        <v>0</v>
      </c>
      <c r="H2013">
        <v>0</v>
      </c>
      <c r="I2013">
        <v>5.1474510000000002</v>
      </c>
    </row>
    <row r="2014" spans="1:9" x14ac:dyDescent="0.25">
      <c r="A2014">
        <v>2110010034</v>
      </c>
      <c r="B2014" t="s">
        <v>1072</v>
      </c>
      <c r="C2014" t="s">
        <v>130</v>
      </c>
      <c r="D2014" t="s">
        <v>131</v>
      </c>
      <c r="E2014" s="2">
        <v>150</v>
      </c>
      <c r="F2014" t="s">
        <v>36</v>
      </c>
      <c r="G2014">
        <v>0</v>
      </c>
      <c r="H2014">
        <v>0</v>
      </c>
      <c r="I2014">
        <v>0.2712</v>
      </c>
    </row>
    <row r="2015" spans="1:9" x14ac:dyDescent="0.25">
      <c r="A2015">
        <v>2110010036</v>
      </c>
      <c r="B2015" t="s">
        <v>1073</v>
      </c>
      <c r="C2015" t="s">
        <v>126</v>
      </c>
      <c r="D2015" t="s">
        <v>127</v>
      </c>
      <c r="E2015" s="2">
        <v>495</v>
      </c>
      <c r="F2015" t="s">
        <v>36</v>
      </c>
      <c r="G2015">
        <v>0</v>
      </c>
      <c r="H2015" s="2">
        <v>0</v>
      </c>
      <c r="I2015">
        <v>0.40363599999999999</v>
      </c>
    </row>
    <row r="2016" spans="1:9" x14ac:dyDescent="0.25">
      <c r="A2016">
        <v>2110010042</v>
      </c>
      <c r="B2016" t="s">
        <v>1074</v>
      </c>
      <c r="C2016" t="s">
        <v>130</v>
      </c>
      <c r="D2016" t="s">
        <v>131</v>
      </c>
      <c r="E2016" s="2">
        <v>32449</v>
      </c>
      <c r="F2016" t="s">
        <v>36</v>
      </c>
      <c r="G2016" s="2">
        <v>0</v>
      </c>
      <c r="H2016">
        <v>0</v>
      </c>
      <c r="I2016">
        <v>0.28510000000000002</v>
      </c>
    </row>
    <row r="2017" spans="1:9" x14ac:dyDescent="0.25">
      <c r="A2017">
        <v>2110010043</v>
      </c>
      <c r="B2017" t="s">
        <v>1075</v>
      </c>
      <c r="C2017" t="s">
        <v>130</v>
      </c>
      <c r="D2017" t="s">
        <v>131</v>
      </c>
      <c r="E2017" s="2">
        <v>0</v>
      </c>
      <c r="F2017" t="s">
        <v>36</v>
      </c>
      <c r="G2017" s="2">
        <v>1296</v>
      </c>
      <c r="H2017">
        <v>0</v>
      </c>
      <c r="I2017">
        <v>0</v>
      </c>
    </row>
    <row r="2018" spans="1:9" x14ac:dyDescent="0.25">
      <c r="A2018">
        <v>2110010044</v>
      </c>
      <c r="B2018" t="s">
        <v>1076</v>
      </c>
      <c r="C2018" t="s">
        <v>130</v>
      </c>
      <c r="D2018" t="s">
        <v>131</v>
      </c>
      <c r="E2018" s="2">
        <v>0</v>
      </c>
      <c r="F2018" t="s">
        <v>36</v>
      </c>
      <c r="G2018" s="2">
        <v>1548</v>
      </c>
      <c r="H2018" s="2">
        <v>0</v>
      </c>
      <c r="I2018">
        <v>0</v>
      </c>
    </row>
    <row r="2019" spans="1:9" x14ac:dyDescent="0.25">
      <c r="A2019">
        <v>2110010044</v>
      </c>
      <c r="B2019" t="s">
        <v>1076</v>
      </c>
      <c r="C2019" t="s">
        <v>167</v>
      </c>
      <c r="D2019" t="s">
        <v>168</v>
      </c>
      <c r="E2019" s="2">
        <v>12</v>
      </c>
      <c r="F2019" t="s">
        <v>36</v>
      </c>
      <c r="G2019" s="2">
        <v>0</v>
      </c>
      <c r="H2019">
        <v>0</v>
      </c>
      <c r="I2019">
        <v>0.28499999999999998</v>
      </c>
    </row>
    <row r="2020" spans="1:9" x14ac:dyDescent="0.25">
      <c r="A2020">
        <v>2110010048</v>
      </c>
      <c r="B2020" t="s">
        <v>1077</v>
      </c>
      <c r="C2020" t="s">
        <v>130</v>
      </c>
      <c r="D2020" t="s">
        <v>131</v>
      </c>
      <c r="E2020" s="2">
        <v>15911</v>
      </c>
      <c r="F2020" t="s">
        <v>36</v>
      </c>
      <c r="G2020" s="2">
        <v>12</v>
      </c>
      <c r="H2020">
        <v>0</v>
      </c>
      <c r="I2020">
        <v>0.28663699999999998</v>
      </c>
    </row>
    <row r="2021" spans="1:9" x14ac:dyDescent="0.25">
      <c r="A2021">
        <v>2110010048</v>
      </c>
      <c r="B2021" t="s">
        <v>1077</v>
      </c>
      <c r="C2021" t="s">
        <v>167</v>
      </c>
      <c r="D2021" t="s">
        <v>168</v>
      </c>
      <c r="E2021" s="2">
        <v>7</v>
      </c>
      <c r="F2021" t="s">
        <v>36</v>
      </c>
      <c r="G2021">
        <v>0</v>
      </c>
      <c r="H2021">
        <v>0</v>
      </c>
      <c r="I2021">
        <v>0.28714299999999998</v>
      </c>
    </row>
    <row r="2022" spans="1:9" x14ac:dyDescent="0.25">
      <c r="A2022">
        <v>2110010057</v>
      </c>
      <c r="B2022" t="s">
        <v>1078</v>
      </c>
      <c r="C2022" t="s">
        <v>329</v>
      </c>
      <c r="D2022" t="s">
        <v>330</v>
      </c>
      <c r="E2022" s="2">
        <v>6834</v>
      </c>
      <c r="F2022" t="s">
        <v>36</v>
      </c>
      <c r="G2022">
        <v>0</v>
      </c>
      <c r="H2022">
        <v>0</v>
      </c>
      <c r="I2022">
        <v>1.6347529999999999</v>
      </c>
    </row>
    <row r="2023" spans="1:9" x14ac:dyDescent="0.25">
      <c r="A2023">
        <v>2110010071</v>
      </c>
      <c r="B2023" t="s">
        <v>1079</v>
      </c>
      <c r="C2023" t="s">
        <v>130</v>
      </c>
      <c r="D2023" t="s">
        <v>131</v>
      </c>
      <c r="E2023" s="2">
        <v>144</v>
      </c>
      <c r="F2023" t="s">
        <v>36</v>
      </c>
      <c r="G2023" s="2">
        <v>0</v>
      </c>
      <c r="H2023">
        <v>0</v>
      </c>
      <c r="I2023">
        <v>0.15812499999999999</v>
      </c>
    </row>
    <row r="2024" spans="1:9" x14ac:dyDescent="0.25">
      <c r="A2024">
        <v>2110010096</v>
      </c>
      <c r="B2024" t="s">
        <v>1080</v>
      </c>
      <c r="C2024" t="s">
        <v>130</v>
      </c>
      <c r="D2024" t="s">
        <v>131</v>
      </c>
      <c r="E2024" s="2">
        <v>5</v>
      </c>
      <c r="F2024" t="s">
        <v>147</v>
      </c>
      <c r="G2024">
        <v>0</v>
      </c>
      <c r="H2024">
        <v>0</v>
      </c>
      <c r="I2024">
        <v>2.4780000000000002</v>
      </c>
    </row>
    <row r="2025" spans="1:9" x14ac:dyDescent="0.25">
      <c r="A2025">
        <v>2110010108</v>
      </c>
      <c r="B2025" t="s">
        <v>1081</v>
      </c>
      <c r="C2025" t="s">
        <v>130</v>
      </c>
      <c r="D2025" t="s">
        <v>131</v>
      </c>
      <c r="E2025" s="2">
        <v>0</v>
      </c>
      <c r="F2025" t="s">
        <v>36</v>
      </c>
      <c r="G2025">
        <v>0</v>
      </c>
      <c r="H2025">
        <v>48</v>
      </c>
      <c r="I2025">
        <v>0</v>
      </c>
    </row>
    <row r="2026" spans="1:9" x14ac:dyDescent="0.25">
      <c r="A2026">
        <v>2110010108</v>
      </c>
      <c r="B2026" t="s">
        <v>1081</v>
      </c>
      <c r="C2026" t="s">
        <v>126</v>
      </c>
      <c r="D2026" t="s">
        <v>127</v>
      </c>
      <c r="E2026" s="2">
        <v>2</v>
      </c>
      <c r="F2026" t="s">
        <v>36</v>
      </c>
      <c r="G2026">
        <v>0</v>
      </c>
      <c r="H2026">
        <v>0</v>
      </c>
      <c r="I2026">
        <v>3.5</v>
      </c>
    </row>
    <row r="2027" spans="1:9" x14ac:dyDescent="0.25">
      <c r="A2027">
        <v>2110010108</v>
      </c>
      <c r="B2027" t="s">
        <v>1081</v>
      </c>
      <c r="C2027" t="s">
        <v>139</v>
      </c>
      <c r="D2027" t="s">
        <v>140</v>
      </c>
      <c r="E2027" s="2">
        <v>48</v>
      </c>
      <c r="F2027" t="s">
        <v>36</v>
      </c>
      <c r="G2027">
        <v>48</v>
      </c>
      <c r="H2027">
        <v>0</v>
      </c>
      <c r="I2027">
        <v>3.4981249999999999</v>
      </c>
    </row>
    <row r="2028" spans="1:9" x14ac:dyDescent="0.25">
      <c r="A2028">
        <v>2110010109</v>
      </c>
      <c r="B2028" t="s">
        <v>1082</v>
      </c>
      <c r="C2028" t="s">
        <v>130</v>
      </c>
      <c r="D2028" t="s">
        <v>131</v>
      </c>
      <c r="E2028" s="2">
        <v>172</v>
      </c>
      <c r="F2028" t="s">
        <v>36</v>
      </c>
      <c r="G2028">
        <v>0</v>
      </c>
      <c r="H2028">
        <v>0</v>
      </c>
      <c r="I2028">
        <v>0.18779100000000001</v>
      </c>
    </row>
    <row r="2029" spans="1:9" x14ac:dyDescent="0.25">
      <c r="A2029">
        <v>2110010113</v>
      </c>
      <c r="B2029" t="s">
        <v>1083</v>
      </c>
      <c r="C2029" t="s">
        <v>130</v>
      </c>
      <c r="D2029" t="s">
        <v>131</v>
      </c>
      <c r="E2029" s="2">
        <v>751</v>
      </c>
      <c r="F2029" t="s">
        <v>36</v>
      </c>
      <c r="G2029">
        <v>0</v>
      </c>
      <c r="H2029" s="2">
        <v>0</v>
      </c>
      <c r="I2029">
        <v>2.4202400000000002</v>
      </c>
    </row>
    <row r="2030" spans="1:9" x14ac:dyDescent="0.25">
      <c r="A2030">
        <v>2110010114</v>
      </c>
      <c r="B2030" t="s">
        <v>1084</v>
      </c>
      <c r="C2030" t="s">
        <v>130</v>
      </c>
      <c r="D2030" t="s">
        <v>131</v>
      </c>
      <c r="E2030" s="2">
        <v>0</v>
      </c>
      <c r="F2030" t="s">
        <v>36</v>
      </c>
      <c r="G2030">
        <v>0</v>
      </c>
      <c r="H2030">
        <v>228</v>
      </c>
      <c r="I2030">
        <v>0</v>
      </c>
    </row>
    <row r="2031" spans="1:9" x14ac:dyDescent="0.25">
      <c r="A2031">
        <v>2110010114</v>
      </c>
      <c r="B2031" t="s">
        <v>1084</v>
      </c>
      <c r="C2031" t="s">
        <v>126</v>
      </c>
      <c r="D2031" t="s">
        <v>127</v>
      </c>
      <c r="E2031" s="2">
        <v>60</v>
      </c>
      <c r="F2031" t="s">
        <v>36</v>
      </c>
      <c r="G2031">
        <v>0</v>
      </c>
      <c r="H2031">
        <v>0</v>
      </c>
      <c r="I2031">
        <v>1.3208329999999999</v>
      </c>
    </row>
    <row r="2032" spans="1:9" x14ac:dyDescent="0.25">
      <c r="A2032">
        <v>2110010114</v>
      </c>
      <c r="B2032" t="s">
        <v>1084</v>
      </c>
      <c r="C2032" t="s">
        <v>139</v>
      </c>
      <c r="D2032" t="s">
        <v>140</v>
      </c>
      <c r="E2032" s="2">
        <v>228</v>
      </c>
      <c r="F2032" t="s">
        <v>36</v>
      </c>
      <c r="G2032">
        <v>228</v>
      </c>
      <c r="H2032">
        <v>0</v>
      </c>
      <c r="I2032">
        <v>1.3208329999999999</v>
      </c>
    </row>
    <row r="2033" spans="1:9" x14ac:dyDescent="0.25">
      <c r="A2033">
        <v>2110010117</v>
      </c>
      <c r="B2033" t="s">
        <v>368</v>
      </c>
      <c r="C2033" t="s">
        <v>130</v>
      </c>
      <c r="D2033" t="s">
        <v>131</v>
      </c>
      <c r="E2033" s="2">
        <v>101</v>
      </c>
      <c r="F2033" t="s">
        <v>36</v>
      </c>
      <c r="G2033">
        <v>0</v>
      </c>
      <c r="H2033">
        <v>0</v>
      </c>
      <c r="I2033">
        <v>1.35</v>
      </c>
    </row>
    <row r="2034" spans="1:9" x14ac:dyDescent="0.25">
      <c r="A2034">
        <v>2110010117</v>
      </c>
      <c r="B2034" t="s">
        <v>368</v>
      </c>
      <c r="C2034" t="s">
        <v>126</v>
      </c>
      <c r="D2034" t="s">
        <v>127</v>
      </c>
      <c r="E2034" s="2">
        <v>1</v>
      </c>
      <c r="F2034" t="s">
        <v>36</v>
      </c>
      <c r="G2034">
        <v>0</v>
      </c>
      <c r="H2034">
        <v>0</v>
      </c>
      <c r="I2034">
        <v>1.35</v>
      </c>
    </row>
    <row r="2035" spans="1:9" x14ac:dyDescent="0.25">
      <c r="A2035">
        <v>2110010118</v>
      </c>
      <c r="B2035" t="s">
        <v>367</v>
      </c>
      <c r="C2035" t="s">
        <v>130</v>
      </c>
      <c r="D2035" t="s">
        <v>131</v>
      </c>
      <c r="E2035" s="2">
        <v>746</v>
      </c>
      <c r="F2035" t="s">
        <v>36</v>
      </c>
      <c r="G2035">
        <v>0</v>
      </c>
      <c r="H2035">
        <v>0</v>
      </c>
      <c r="I2035">
        <v>3.085</v>
      </c>
    </row>
    <row r="2036" spans="1:9" x14ac:dyDescent="0.25">
      <c r="A2036">
        <v>2110010200</v>
      </c>
      <c r="B2036" t="s">
        <v>1085</v>
      </c>
      <c r="C2036" t="s">
        <v>329</v>
      </c>
      <c r="D2036" t="s">
        <v>330</v>
      </c>
      <c r="E2036" s="2">
        <v>42623</v>
      </c>
      <c r="F2036" t="s">
        <v>36</v>
      </c>
      <c r="G2036">
        <v>0</v>
      </c>
      <c r="H2036">
        <v>0</v>
      </c>
      <c r="I2036">
        <v>0.144765</v>
      </c>
    </row>
    <row r="2037" spans="1:9" x14ac:dyDescent="0.25">
      <c r="A2037">
        <v>2110010207</v>
      </c>
      <c r="B2037" t="s">
        <v>396</v>
      </c>
      <c r="C2037" t="s">
        <v>130</v>
      </c>
      <c r="D2037" t="s">
        <v>131</v>
      </c>
      <c r="E2037" s="2">
        <v>966</v>
      </c>
      <c r="F2037" t="s">
        <v>36</v>
      </c>
      <c r="G2037">
        <v>0</v>
      </c>
      <c r="H2037">
        <v>0</v>
      </c>
      <c r="I2037">
        <v>0.17067299999999999</v>
      </c>
    </row>
    <row r="2038" spans="1:9" x14ac:dyDescent="0.25">
      <c r="A2038">
        <v>2110010217</v>
      </c>
      <c r="B2038" t="s">
        <v>394</v>
      </c>
      <c r="C2038" t="s">
        <v>130</v>
      </c>
      <c r="D2038" t="s">
        <v>131</v>
      </c>
      <c r="E2038" s="2">
        <v>82</v>
      </c>
      <c r="F2038" t="s">
        <v>36</v>
      </c>
      <c r="G2038">
        <v>0</v>
      </c>
      <c r="H2038">
        <v>0</v>
      </c>
      <c r="I2038">
        <v>0.26865899999999998</v>
      </c>
    </row>
    <row r="2039" spans="1:9" x14ac:dyDescent="0.25">
      <c r="A2039">
        <v>2110010217</v>
      </c>
      <c r="B2039" t="s">
        <v>394</v>
      </c>
      <c r="C2039" t="s">
        <v>126</v>
      </c>
      <c r="D2039" t="s">
        <v>127</v>
      </c>
      <c r="E2039" s="2">
        <v>12</v>
      </c>
      <c r="F2039" t="s">
        <v>36</v>
      </c>
      <c r="G2039">
        <v>0</v>
      </c>
      <c r="H2039" s="2">
        <v>0</v>
      </c>
      <c r="I2039">
        <v>0.26833299999999999</v>
      </c>
    </row>
    <row r="2040" spans="1:9" x14ac:dyDescent="0.25">
      <c r="A2040">
        <v>2110010218</v>
      </c>
      <c r="B2040" t="s">
        <v>395</v>
      </c>
      <c r="C2040" t="s">
        <v>130</v>
      </c>
      <c r="D2040" t="s">
        <v>131</v>
      </c>
      <c r="E2040" s="2">
        <v>37</v>
      </c>
      <c r="F2040" t="s">
        <v>36</v>
      </c>
      <c r="G2040">
        <v>0</v>
      </c>
      <c r="H2040">
        <v>0</v>
      </c>
      <c r="I2040">
        <v>0.516486</v>
      </c>
    </row>
    <row r="2041" spans="1:9" x14ac:dyDescent="0.25">
      <c r="A2041">
        <v>2110010229</v>
      </c>
      <c r="B2041" t="s">
        <v>372</v>
      </c>
      <c r="C2041" t="s">
        <v>130</v>
      </c>
      <c r="D2041" t="s">
        <v>131</v>
      </c>
      <c r="E2041" s="2">
        <v>19</v>
      </c>
      <c r="F2041" t="s">
        <v>36</v>
      </c>
      <c r="G2041">
        <v>0</v>
      </c>
      <c r="H2041">
        <v>0</v>
      </c>
      <c r="I2041">
        <v>0.18421100000000001</v>
      </c>
    </row>
    <row r="2042" spans="1:9" x14ac:dyDescent="0.25">
      <c r="A2042">
        <v>2110010230</v>
      </c>
      <c r="B2042" t="s">
        <v>373</v>
      </c>
      <c r="C2042" t="s">
        <v>130</v>
      </c>
      <c r="D2042" t="s">
        <v>131</v>
      </c>
      <c r="E2042" s="2">
        <v>6</v>
      </c>
      <c r="F2042" t="s">
        <v>36</v>
      </c>
      <c r="G2042">
        <v>0</v>
      </c>
      <c r="H2042">
        <v>0</v>
      </c>
      <c r="I2042">
        <v>0.183333</v>
      </c>
    </row>
    <row r="2043" spans="1:9" x14ac:dyDescent="0.25">
      <c r="A2043">
        <v>2110010231</v>
      </c>
      <c r="B2043" t="s">
        <v>374</v>
      </c>
      <c r="C2043" t="s">
        <v>130</v>
      </c>
      <c r="D2043" t="s">
        <v>131</v>
      </c>
      <c r="E2043" s="2">
        <v>102</v>
      </c>
      <c r="F2043" t="s">
        <v>36</v>
      </c>
      <c r="G2043">
        <v>0</v>
      </c>
      <c r="H2043">
        <v>0</v>
      </c>
      <c r="I2043">
        <v>0.18951000000000001</v>
      </c>
    </row>
    <row r="2044" spans="1:9" x14ac:dyDescent="0.25">
      <c r="A2044">
        <v>2110010231</v>
      </c>
      <c r="B2044" t="s">
        <v>374</v>
      </c>
      <c r="C2044" t="s">
        <v>126</v>
      </c>
      <c r="D2044" t="s">
        <v>127</v>
      </c>
      <c r="E2044" s="2">
        <v>10</v>
      </c>
      <c r="F2044" t="s">
        <v>36</v>
      </c>
      <c r="G2044">
        <v>0</v>
      </c>
      <c r="H2044">
        <v>0</v>
      </c>
      <c r="I2044">
        <v>0.189</v>
      </c>
    </row>
    <row r="2045" spans="1:9" x14ac:dyDescent="0.25">
      <c r="A2045">
        <v>2110010232</v>
      </c>
      <c r="B2045" t="s">
        <v>375</v>
      </c>
      <c r="C2045" t="s">
        <v>130</v>
      </c>
      <c r="D2045" t="s">
        <v>131</v>
      </c>
      <c r="E2045" s="2">
        <v>12</v>
      </c>
      <c r="F2045" t="s">
        <v>36</v>
      </c>
      <c r="G2045">
        <v>0</v>
      </c>
      <c r="H2045">
        <v>0</v>
      </c>
      <c r="I2045">
        <v>0.19416700000000001</v>
      </c>
    </row>
    <row r="2046" spans="1:9" x14ac:dyDescent="0.25">
      <c r="A2046">
        <v>2110010233</v>
      </c>
      <c r="B2046" t="s">
        <v>376</v>
      </c>
      <c r="C2046" t="s">
        <v>130</v>
      </c>
      <c r="D2046" t="s">
        <v>131</v>
      </c>
      <c r="E2046" s="2">
        <v>0</v>
      </c>
      <c r="F2046" t="s">
        <v>36</v>
      </c>
      <c r="G2046">
        <v>144</v>
      </c>
      <c r="H2046">
        <v>12</v>
      </c>
      <c r="I2046">
        <v>0</v>
      </c>
    </row>
    <row r="2047" spans="1:9" x14ac:dyDescent="0.25">
      <c r="A2047">
        <v>2110010233</v>
      </c>
      <c r="B2047" t="s">
        <v>376</v>
      </c>
      <c r="C2047" t="s">
        <v>139</v>
      </c>
      <c r="D2047" t="s">
        <v>140</v>
      </c>
      <c r="E2047" s="2">
        <v>12</v>
      </c>
      <c r="F2047" t="s">
        <v>36</v>
      </c>
      <c r="G2047">
        <v>12</v>
      </c>
      <c r="H2047">
        <v>0</v>
      </c>
      <c r="I2047">
        <v>0.19</v>
      </c>
    </row>
    <row r="2048" spans="1:9" x14ac:dyDescent="0.25">
      <c r="A2048">
        <v>2110010235</v>
      </c>
      <c r="B2048" t="s">
        <v>378</v>
      </c>
      <c r="C2048" t="s">
        <v>130</v>
      </c>
      <c r="D2048" t="s">
        <v>131</v>
      </c>
      <c r="E2048" s="2">
        <v>533</v>
      </c>
      <c r="F2048" t="s">
        <v>36</v>
      </c>
      <c r="G2048">
        <v>0</v>
      </c>
      <c r="H2048">
        <v>0</v>
      </c>
      <c r="I2048">
        <v>0.177899</v>
      </c>
    </row>
    <row r="2049" spans="1:9" x14ac:dyDescent="0.25">
      <c r="A2049">
        <v>2110010236</v>
      </c>
      <c r="B2049" t="s">
        <v>379</v>
      </c>
      <c r="C2049" t="s">
        <v>130</v>
      </c>
      <c r="D2049" t="s">
        <v>131</v>
      </c>
      <c r="E2049" s="2">
        <v>8515</v>
      </c>
      <c r="F2049" t="s">
        <v>36</v>
      </c>
      <c r="G2049">
        <v>0</v>
      </c>
      <c r="H2049">
        <v>0</v>
      </c>
      <c r="I2049">
        <v>0.195912</v>
      </c>
    </row>
    <row r="2050" spans="1:9" x14ac:dyDescent="0.25">
      <c r="A2050">
        <v>2110010237</v>
      </c>
      <c r="B2050" t="s">
        <v>380</v>
      </c>
      <c r="C2050" t="s">
        <v>130</v>
      </c>
      <c r="D2050" t="s">
        <v>131</v>
      </c>
      <c r="E2050" s="2">
        <v>12</v>
      </c>
      <c r="F2050" t="s">
        <v>36</v>
      </c>
      <c r="G2050">
        <v>0</v>
      </c>
      <c r="H2050">
        <v>0</v>
      </c>
      <c r="I2050">
        <v>0.191667</v>
      </c>
    </row>
    <row r="2051" spans="1:9" x14ac:dyDescent="0.25">
      <c r="A2051">
        <v>2110010238</v>
      </c>
      <c r="B2051" t="s">
        <v>381</v>
      </c>
      <c r="C2051" t="s">
        <v>130</v>
      </c>
      <c r="D2051" t="s">
        <v>131</v>
      </c>
      <c r="E2051" s="2">
        <v>5</v>
      </c>
      <c r="F2051" t="s">
        <v>36</v>
      </c>
      <c r="G2051">
        <v>0</v>
      </c>
      <c r="H2051">
        <v>0</v>
      </c>
      <c r="I2051">
        <v>0.21</v>
      </c>
    </row>
    <row r="2052" spans="1:9" x14ac:dyDescent="0.25">
      <c r="A2052">
        <v>2110010239</v>
      </c>
      <c r="B2052" t="s">
        <v>388</v>
      </c>
      <c r="C2052" t="s">
        <v>130</v>
      </c>
      <c r="D2052" t="s">
        <v>131</v>
      </c>
      <c r="E2052" s="2">
        <v>6</v>
      </c>
      <c r="F2052" t="s">
        <v>36</v>
      </c>
      <c r="G2052">
        <v>0</v>
      </c>
      <c r="H2052">
        <v>0</v>
      </c>
      <c r="I2052">
        <v>0.17166699999999999</v>
      </c>
    </row>
    <row r="2053" spans="1:9" x14ac:dyDescent="0.25">
      <c r="A2053">
        <v>2110010240</v>
      </c>
      <c r="B2053" t="s">
        <v>389</v>
      </c>
      <c r="C2053" t="s">
        <v>130</v>
      </c>
      <c r="D2053" t="s">
        <v>131</v>
      </c>
      <c r="E2053" s="2">
        <v>4596</v>
      </c>
      <c r="F2053" t="s">
        <v>36</v>
      </c>
      <c r="G2053">
        <v>0</v>
      </c>
      <c r="H2053">
        <v>0</v>
      </c>
      <c r="I2053">
        <v>0.17306099999999999</v>
      </c>
    </row>
    <row r="2054" spans="1:9" x14ac:dyDescent="0.25">
      <c r="A2054">
        <v>2110010241</v>
      </c>
      <c r="B2054" t="s">
        <v>390</v>
      </c>
      <c r="C2054" t="s">
        <v>130</v>
      </c>
      <c r="D2054" t="s">
        <v>131</v>
      </c>
      <c r="E2054" s="2">
        <v>36</v>
      </c>
      <c r="F2054" t="s">
        <v>36</v>
      </c>
      <c r="G2054">
        <v>0</v>
      </c>
      <c r="H2054">
        <v>0</v>
      </c>
      <c r="I2054">
        <v>0.1875</v>
      </c>
    </row>
    <row r="2055" spans="1:9" x14ac:dyDescent="0.25">
      <c r="A2055">
        <v>2110010656</v>
      </c>
      <c r="B2055" t="s">
        <v>1086</v>
      </c>
      <c r="C2055" t="s">
        <v>130</v>
      </c>
      <c r="D2055" t="s">
        <v>131</v>
      </c>
      <c r="E2055" s="2">
        <v>0</v>
      </c>
      <c r="F2055" t="s">
        <v>36</v>
      </c>
      <c r="G2055">
        <v>0</v>
      </c>
      <c r="H2055">
        <v>36</v>
      </c>
      <c r="I2055">
        <v>0</v>
      </c>
    </row>
    <row r="2056" spans="1:9" x14ac:dyDescent="0.25">
      <c r="A2056">
        <v>2110010656</v>
      </c>
      <c r="B2056" t="s">
        <v>1086</v>
      </c>
      <c r="C2056" t="s">
        <v>126</v>
      </c>
      <c r="D2056" t="s">
        <v>127</v>
      </c>
      <c r="E2056" s="2">
        <v>9</v>
      </c>
      <c r="F2056" t="s">
        <v>36</v>
      </c>
      <c r="G2056">
        <v>0</v>
      </c>
      <c r="H2056">
        <v>0</v>
      </c>
      <c r="I2056">
        <v>0.13888900000000001</v>
      </c>
    </row>
    <row r="2057" spans="1:9" x14ac:dyDescent="0.25">
      <c r="A2057">
        <v>2110010656</v>
      </c>
      <c r="B2057" t="s">
        <v>1086</v>
      </c>
      <c r="C2057" t="s">
        <v>139</v>
      </c>
      <c r="D2057" t="s">
        <v>140</v>
      </c>
      <c r="E2057" s="2">
        <v>36</v>
      </c>
      <c r="F2057" t="s">
        <v>36</v>
      </c>
      <c r="G2057">
        <v>36</v>
      </c>
      <c r="H2057">
        <v>0</v>
      </c>
      <c r="I2057">
        <v>0.13861100000000001</v>
      </c>
    </row>
    <row r="2058" spans="1:9" x14ac:dyDescent="0.25">
      <c r="A2058">
        <v>2110010667</v>
      </c>
      <c r="B2058" t="s">
        <v>1087</v>
      </c>
      <c r="C2058" t="s">
        <v>130</v>
      </c>
      <c r="D2058" t="s">
        <v>131</v>
      </c>
      <c r="E2058" s="2">
        <v>0</v>
      </c>
      <c r="F2058" t="s">
        <v>36</v>
      </c>
      <c r="G2058">
        <v>0</v>
      </c>
      <c r="H2058">
        <v>411</v>
      </c>
      <c r="I2058">
        <v>0</v>
      </c>
    </row>
    <row r="2059" spans="1:9" x14ac:dyDescent="0.25">
      <c r="A2059">
        <v>2110010667</v>
      </c>
      <c r="B2059" t="s">
        <v>1087</v>
      </c>
      <c r="C2059" t="s">
        <v>126</v>
      </c>
      <c r="D2059" t="s">
        <v>127</v>
      </c>
      <c r="E2059" s="2">
        <v>742</v>
      </c>
      <c r="F2059" t="s">
        <v>36</v>
      </c>
      <c r="G2059">
        <v>0</v>
      </c>
      <c r="H2059">
        <v>0</v>
      </c>
      <c r="I2059">
        <v>6.5134999999999998E-2</v>
      </c>
    </row>
    <row r="2060" spans="1:9" x14ac:dyDescent="0.25">
      <c r="A2060">
        <v>2110010667</v>
      </c>
      <c r="B2060" t="s">
        <v>1087</v>
      </c>
      <c r="C2060" t="s">
        <v>139</v>
      </c>
      <c r="D2060" t="s">
        <v>140</v>
      </c>
      <c r="E2060" s="2">
        <v>411</v>
      </c>
      <c r="F2060" t="s">
        <v>36</v>
      </c>
      <c r="G2060">
        <v>411</v>
      </c>
      <c r="H2060">
        <v>0</v>
      </c>
      <c r="I2060">
        <v>6.5133999999999997E-2</v>
      </c>
    </row>
    <row r="2061" spans="1:9" x14ac:dyDescent="0.25">
      <c r="A2061">
        <v>2110010669</v>
      </c>
      <c r="B2061" t="s">
        <v>385</v>
      </c>
      <c r="C2061" t="s">
        <v>130</v>
      </c>
      <c r="D2061" t="s">
        <v>131</v>
      </c>
      <c r="E2061" s="2">
        <v>130</v>
      </c>
      <c r="F2061" t="s">
        <v>36</v>
      </c>
      <c r="G2061" s="2">
        <v>0</v>
      </c>
      <c r="H2061">
        <v>0</v>
      </c>
      <c r="I2061">
        <v>0.18253800000000001</v>
      </c>
    </row>
    <row r="2062" spans="1:9" x14ac:dyDescent="0.25">
      <c r="A2062">
        <v>2110010670</v>
      </c>
      <c r="B2062" t="s">
        <v>387</v>
      </c>
      <c r="C2062" t="s">
        <v>130</v>
      </c>
      <c r="D2062" t="s">
        <v>131</v>
      </c>
      <c r="E2062" s="2">
        <v>815</v>
      </c>
      <c r="F2062" t="s">
        <v>36</v>
      </c>
      <c r="G2062">
        <v>0</v>
      </c>
      <c r="H2062" s="2">
        <v>0</v>
      </c>
      <c r="I2062">
        <v>0.19503100000000001</v>
      </c>
    </row>
    <row r="2063" spans="1:9" x14ac:dyDescent="0.25">
      <c r="A2063">
        <v>2110010671</v>
      </c>
      <c r="B2063" t="s">
        <v>382</v>
      </c>
      <c r="C2063" t="s">
        <v>130</v>
      </c>
      <c r="D2063" t="s">
        <v>131</v>
      </c>
      <c r="E2063" s="2">
        <v>10</v>
      </c>
      <c r="F2063" t="s">
        <v>36</v>
      </c>
      <c r="G2063">
        <v>0</v>
      </c>
      <c r="H2063">
        <v>0</v>
      </c>
      <c r="I2063">
        <v>0.13200000000000001</v>
      </c>
    </row>
    <row r="2064" spans="1:9" x14ac:dyDescent="0.25">
      <c r="A2064">
        <v>2110010672</v>
      </c>
      <c r="B2064" t="s">
        <v>384</v>
      </c>
      <c r="C2064" t="s">
        <v>130</v>
      </c>
      <c r="D2064" t="s">
        <v>131</v>
      </c>
      <c r="E2064" s="2">
        <v>28</v>
      </c>
      <c r="F2064" t="s">
        <v>36</v>
      </c>
      <c r="G2064">
        <v>0</v>
      </c>
      <c r="H2064">
        <v>0</v>
      </c>
      <c r="I2064">
        <v>0.30607099999999998</v>
      </c>
    </row>
    <row r="2065" spans="1:9" x14ac:dyDescent="0.25">
      <c r="A2065">
        <v>2110010673</v>
      </c>
      <c r="B2065" t="s">
        <v>386</v>
      </c>
      <c r="C2065" t="s">
        <v>130</v>
      </c>
      <c r="D2065" t="s">
        <v>131</v>
      </c>
      <c r="E2065" s="2">
        <v>12</v>
      </c>
      <c r="F2065" t="s">
        <v>36</v>
      </c>
      <c r="G2065">
        <v>0</v>
      </c>
      <c r="H2065">
        <v>0</v>
      </c>
      <c r="I2065">
        <v>0.58583300000000005</v>
      </c>
    </row>
    <row r="2066" spans="1:9" x14ac:dyDescent="0.25">
      <c r="A2066">
        <v>2110010676</v>
      </c>
      <c r="B2066" t="s">
        <v>531</v>
      </c>
      <c r="C2066" t="s">
        <v>130</v>
      </c>
      <c r="D2066" t="s">
        <v>131</v>
      </c>
      <c r="E2066" s="2">
        <v>646</v>
      </c>
      <c r="F2066" t="s">
        <v>36</v>
      </c>
      <c r="G2066">
        <v>0</v>
      </c>
      <c r="H2066">
        <v>1</v>
      </c>
      <c r="I2066">
        <v>7.1279409999999999</v>
      </c>
    </row>
    <row r="2067" spans="1:9" x14ac:dyDescent="0.25">
      <c r="A2067">
        <v>2110010676</v>
      </c>
      <c r="B2067" t="s">
        <v>531</v>
      </c>
      <c r="C2067" t="s">
        <v>126</v>
      </c>
      <c r="D2067" t="s">
        <v>127</v>
      </c>
      <c r="E2067" s="2">
        <v>1</v>
      </c>
      <c r="F2067" t="s">
        <v>36</v>
      </c>
      <c r="G2067">
        <v>0</v>
      </c>
      <c r="H2067" s="2">
        <v>0</v>
      </c>
      <c r="I2067">
        <v>7.13</v>
      </c>
    </row>
    <row r="2068" spans="1:9" x14ac:dyDescent="0.25">
      <c r="A2068">
        <v>2110010676</v>
      </c>
      <c r="B2068" t="s">
        <v>531</v>
      </c>
      <c r="C2068" t="s">
        <v>139</v>
      </c>
      <c r="D2068" t="s">
        <v>140</v>
      </c>
      <c r="E2068" s="2">
        <v>1</v>
      </c>
      <c r="F2068" t="s">
        <v>36</v>
      </c>
      <c r="G2068">
        <v>1</v>
      </c>
      <c r="H2068">
        <v>0</v>
      </c>
      <c r="I2068">
        <v>7.13</v>
      </c>
    </row>
    <row r="2069" spans="1:9" x14ac:dyDescent="0.25">
      <c r="A2069">
        <v>2110010677</v>
      </c>
      <c r="B2069" t="s">
        <v>392</v>
      </c>
      <c r="C2069" t="s">
        <v>130</v>
      </c>
      <c r="D2069" t="s">
        <v>131</v>
      </c>
      <c r="E2069" s="2">
        <v>400</v>
      </c>
      <c r="F2069" t="s">
        <v>36</v>
      </c>
      <c r="G2069">
        <v>0</v>
      </c>
      <c r="H2069">
        <v>0</v>
      </c>
      <c r="I2069">
        <v>6.6635249999999999</v>
      </c>
    </row>
    <row r="2070" spans="1:9" x14ac:dyDescent="0.25">
      <c r="A2070">
        <v>2110010680</v>
      </c>
      <c r="B2070" t="s">
        <v>393</v>
      </c>
      <c r="C2070" t="s">
        <v>130</v>
      </c>
      <c r="D2070" t="s">
        <v>131</v>
      </c>
      <c r="E2070" s="2">
        <v>419</v>
      </c>
      <c r="F2070" t="s">
        <v>36</v>
      </c>
      <c r="G2070">
        <v>0</v>
      </c>
      <c r="H2070">
        <v>0</v>
      </c>
      <c r="I2070">
        <v>3.5919089999999998</v>
      </c>
    </row>
    <row r="2071" spans="1:9" x14ac:dyDescent="0.25">
      <c r="A2071">
        <v>2110010687</v>
      </c>
      <c r="B2071" t="s">
        <v>1088</v>
      </c>
      <c r="C2071" t="s">
        <v>130</v>
      </c>
      <c r="D2071" t="s">
        <v>131</v>
      </c>
      <c r="E2071" s="2">
        <v>26905</v>
      </c>
      <c r="F2071" t="s">
        <v>36</v>
      </c>
      <c r="G2071">
        <v>0</v>
      </c>
      <c r="H2071">
        <v>0</v>
      </c>
      <c r="I2071">
        <v>2.992022</v>
      </c>
    </row>
    <row r="2072" spans="1:9" x14ac:dyDescent="0.25">
      <c r="A2072">
        <v>2110020081</v>
      </c>
      <c r="B2072" t="s">
        <v>1089</v>
      </c>
      <c r="C2072" t="s">
        <v>130</v>
      </c>
      <c r="D2072" t="s">
        <v>131</v>
      </c>
      <c r="E2072" s="2">
        <v>1</v>
      </c>
      <c r="F2072" t="s">
        <v>36</v>
      </c>
      <c r="G2072">
        <v>0</v>
      </c>
      <c r="H2072">
        <v>0</v>
      </c>
      <c r="I2072">
        <v>0.76</v>
      </c>
    </row>
    <row r="2073" spans="1:9" x14ac:dyDescent="0.25">
      <c r="A2073">
        <v>2110020084</v>
      </c>
      <c r="B2073" t="s">
        <v>265</v>
      </c>
      <c r="C2073" t="s">
        <v>126</v>
      </c>
      <c r="D2073" t="s">
        <v>127</v>
      </c>
      <c r="E2073" s="2">
        <v>5760</v>
      </c>
      <c r="F2073" t="s">
        <v>36</v>
      </c>
      <c r="G2073">
        <v>0</v>
      </c>
      <c r="H2073">
        <v>0</v>
      </c>
      <c r="I2073">
        <v>0.49526399999999998</v>
      </c>
    </row>
    <row r="2074" spans="1:9" x14ac:dyDescent="0.25">
      <c r="A2074">
        <v>2110020086</v>
      </c>
      <c r="B2074" t="s">
        <v>1090</v>
      </c>
      <c r="C2074" t="s">
        <v>126</v>
      </c>
      <c r="D2074" t="s">
        <v>127</v>
      </c>
      <c r="E2074" s="2">
        <v>2880</v>
      </c>
      <c r="F2074" t="s">
        <v>36</v>
      </c>
      <c r="G2074" s="2">
        <v>0</v>
      </c>
      <c r="H2074" s="2">
        <v>0</v>
      </c>
      <c r="I2074">
        <v>0.51306600000000002</v>
      </c>
    </row>
    <row r="2075" spans="1:9" x14ac:dyDescent="0.25">
      <c r="A2075">
        <v>2110020088</v>
      </c>
      <c r="B2075" t="s">
        <v>297</v>
      </c>
      <c r="C2075" t="s">
        <v>130</v>
      </c>
      <c r="D2075" t="s">
        <v>131</v>
      </c>
      <c r="E2075" s="2">
        <v>15</v>
      </c>
      <c r="F2075" t="s">
        <v>36</v>
      </c>
      <c r="G2075" s="2">
        <v>4000</v>
      </c>
      <c r="H2075" s="2">
        <v>0</v>
      </c>
      <c r="I2075">
        <v>0.91733299999999995</v>
      </c>
    </row>
    <row r="2076" spans="1:9" x14ac:dyDescent="0.25">
      <c r="A2076">
        <v>2110020088</v>
      </c>
      <c r="B2076" t="s">
        <v>297</v>
      </c>
      <c r="C2076" t="s">
        <v>142</v>
      </c>
      <c r="D2076" t="s">
        <v>143</v>
      </c>
      <c r="E2076" s="2">
        <v>0</v>
      </c>
      <c r="F2076" t="s">
        <v>36</v>
      </c>
      <c r="G2076" s="2">
        <v>0</v>
      </c>
      <c r="H2076" s="2">
        <v>4000</v>
      </c>
      <c r="I2076">
        <v>0</v>
      </c>
    </row>
    <row r="2077" spans="1:9" x14ac:dyDescent="0.25">
      <c r="A2077">
        <v>2110020090</v>
      </c>
      <c r="B2077" t="s">
        <v>299</v>
      </c>
      <c r="C2077" t="s">
        <v>130</v>
      </c>
      <c r="D2077" t="s">
        <v>131</v>
      </c>
      <c r="E2077" s="2">
        <v>40</v>
      </c>
      <c r="F2077" t="s">
        <v>36</v>
      </c>
      <c r="G2077">
        <v>0</v>
      </c>
      <c r="H2077">
        <v>0</v>
      </c>
      <c r="I2077">
        <v>0.82950000000000002</v>
      </c>
    </row>
    <row r="2078" spans="1:9" x14ac:dyDescent="0.25">
      <c r="A2078">
        <v>2110020090</v>
      </c>
      <c r="B2078" t="s">
        <v>299</v>
      </c>
      <c r="C2078" t="s">
        <v>126</v>
      </c>
      <c r="D2078" t="s">
        <v>127</v>
      </c>
      <c r="E2078" s="2">
        <v>19</v>
      </c>
      <c r="F2078" t="s">
        <v>36</v>
      </c>
      <c r="G2078" s="2">
        <v>0</v>
      </c>
      <c r="H2078">
        <v>0</v>
      </c>
      <c r="I2078">
        <v>0.82947400000000004</v>
      </c>
    </row>
    <row r="2079" spans="1:9" x14ac:dyDescent="0.25">
      <c r="A2079">
        <v>2110020091</v>
      </c>
      <c r="B2079" t="s">
        <v>300</v>
      </c>
      <c r="C2079" t="s">
        <v>130</v>
      </c>
      <c r="D2079" t="s">
        <v>131</v>
      </c>
      <c r="E2079" s="2">
        <v>19</v>
      </c>
      <c r="F2079" t="s">
        <v>36</v>
      </c>
      <c r="G2079">
        <v>0</v>
      </c>
      <c r="H2079">
        <v>0</v>
      </c>
      <c r="I2079">
        <v>1.271053</v>
      </c>
    </row>
    <row r="2080" spans="1:9" x14ac:dyDescent="0.25">
      <c r="A2080">
        <v>2110020094</v>
      </c>
      <c r="B2080" t="s">
        <v>1091</v>
      </c>
      <c r="C2080" t="s">
        <v>126</v>
      </c>
      <c r="D2080" t="s">
        <v>127</v>
      </c>
      <c r="E2080" s="2">
        <v>5689</v>
      </c>
      <c r="F2080" t="s">
        <v>36</v>
      </c>
      <c r="G2080">
        <v>0</v>
      </c>
      <c r="H2080">
        <v>0</v>
      </c>
      <c r="I2080">
        <v>1.103472</v>
      </c>
    </row>
    <row r="2081" spans="1:9" x14ac:dyDescent="0.25">
      <c r="A2081">
        <v>2110020095</v>
      </c>
      <c r="B2081" t="s">
        <v>18</v>
      </c>
      <c r="C2081" t="s">
        <v>130</v>
      </c>
      <c r="D2081" t="s">
        <v>131</v>
      </c>
      <c r="E2081" s="2">
        <v>85975</v>
      </c>
      <c r="F2081" t="s">
        <v>36</v>
      </c>
      <c r="G2081" s="2">
        <v>1181</v>
      </c>
      <c r="H2081">
        <v>3</v>
      </c>
      <c r="I2081">
        <v>2.0706690000000001</v>
      </c>
    </row>
    <row r="2082" spans="1:9" x14ac:dyDescent="0.25">
      <c r="A2082">
        <v>2110020095</v>
      </c>
      <c r="B2082" t="s">
        <v>18</v>
      </c>
      <c r="C2082" t="s">
        <v>126</v>
      </c>
      <c r="D2082" t="s">
        <v>127</v>
      </c>
      <c r="E2082" s="2">
        <v>4284</v>
      </c>
      <c r="F2082" t="s">
        <v>36</v>
      </c>
      <c r="G2082">
        <v>0</v>
      </c>
      <c r="H2082">
        <v>0</v>
      </c>
      <c r="I2082">
        <v>2.0027710000000001</v>
      </c>
    </row>
    <row r="2083" spans="1:9" x14ac:dyDescent="0.25">
      <c r="A2083">
        <v>2110020095</v>
      </c>
      <c r="B2083" t="s">
        <v>18</v>
      </c>
      <c r="C2083" t="s">
        <v>142</v>
      </c>
      <c r="D2083" t="s">
        <v>143</v>
      </c>
      <c r="E2083" s="2">
        <v>1859</v>
      </c>
      <c r="F2083" t="s">
        <v>36</v>
      </c>
      <c r="G2083">
        <v>0</v>
      </c>
      <c r="H2083">
        <v>0</v>
      </c>
      <c r="I2083">
        <v>2.1102370000000001</v>
      </c>
    </row>
    <row r="2084" spans="1:9" x14ac:dyDescent="0.25">
      <c r="A2084">
        <v>2110020095</v>
      </c>
      <c r="B2084" t="s">
        <v>18</v>
      </c>
      <c r="C2084" t="s">
        <v>137</v>
      </c>
      <c r="D2084" t="s">
        <v>138</v>
      </c>
      <c r="E2084" s="2">
        <v>224</v>
      </c>
      <c r="F2084" t="s">
        <v>36</v>
      </c>
      <c r="G2084">
        <v>0</v>
      </c>
      <c r="H2084">
        <v>5</v>
      </c>
      <c r="I2084">
        <v>2.0235270000000001</v>
      </c>
    </row>
    <row r="2085" spans="1:9" x14ac:dyDescent="0.25">
      <c r="A2085">
        <v>2110020095</v>
      </c>
      <c r="B2085" t="s">
        <v>18</v>
      </c>
      <c r="C2085" t="s">
        <v>151</v>
      </c>
      <c r="D2085" t="s">
        <v>152</v>
      </c>
      <c r="E2085" s="2">
        <v>6732</v>
      </c>
      <c r="F2085" t="s">
        <v>36</v>
      </c>
      <c r="G2085">
        <v>0</v>
      </c>
      <c r="H2085">
        <v>0</v>
      </c>
      <c r="I2085">
        <v>2.0980470000000002</v>
      </c>
    </row>
    <row r="2086" spans="1:9" x14ac:dyDescent="0.25">
      <c r="A2086">
        <v>2110020095</v>
      </c>
      <c r="B2086" t="s">
        <v>18</v>
      </c>
      <c r="C2086" t="s">
        <v>139</v>
      </c>
      <c r="D2086" t="s">
        <v>140</v>
      </c>
      <c r="E2086" s="2">
        <v>3</v>
      </c>
      <c r="F2086" t="s">
        <v>36</v>
      </c>
      <c r="G2086">
        <v>3</v>
      </c>
      <c r="H2086">
        <v>0</v>
      </c>
      <c r="I2086">
        <v>1.986667</v>
      </c>
    </row>
    <row r="2087" spans="1:9" x14ac:dyDescent="0.25">
      <c r="A2087">
        <v>2110020096</v>
      </c>
      <c r="B2087" t="s">
        <v>1092</v>
      </c>
      <c r="C2087" t="s">
        <v>130</v>
      </c>
      <c r="D2087" t="s">
        <v>131</v>
      </c>
      <c r="E2087" s="2">
        <v>0</v>
      </c>
      <c r="F2087" t="s">
        <v>36</v>
      </c>
      <c r="G2087">
        <v>0</v>
      </c>
      <c r="H2087" s="2">
        <v>7300</v>
      </c>
      <c r="I2087">
        <v>0</v>
      </c>
    </row>
    <row r="2088" spans="1:9" x14ac:dyDescent="0.25">
      <c r="A2088">
        <v>2110020096</v>
      </c>
      <c r="B2088" t="s">
        <v>1092</v>
      </c>
      <c r="C2088" t="s">
        <v>139</v>
      </c>
      <c r="D2088" t="s">
        <v>140</v>
      </c>
      <c r="E2088" s="2">
        <v>7300</v>
      </c>
      <c r="F2088" t="s">
        <v>36</v>
      </c>
      <c r="G2088" s="2">
        <v>7300</v>
      </c>
      <c r="H2088">
        <v>0</v>
      </c>
      <c r="I2088">
        <v>0.101234</v>
      </c>
    </row>
    <row r="2089" spans="1:9" x14ac:dyDescent="0.25">
      <c r="A2089">
        <v>2110020097</v>
      </c>
      <c r="B2089" t="s">
        <v>1093</v>
      </c>
      <c r="C2089" t="s">
        <v>130</v>
      </c>
      <c r="D2089" t="s">
        <v>131</v>
      </c>
      <c r="E2089" s="2">
        <v>0</v>
      </c>
      <c r="F2089" t="s">
        <v>36</v>
      </c>
      <c r="G2089">
        <v>0</v>
      </c>
      <c r="H2089" s="2">
        <v>6079</v>
      </c>
      <c r="I2089">
        <v>0</v>
      </c>
    </row>
    <row r="2090" spans="1:9" x14ac:dyDescent="0.25">
      <c r="A2090">
        <v>2110020097</v>
      </c>
      <c r="B2090" t="s">
        <v>1093</v>
      </c>
      <c r="C2090" t="s">
        <v>126</v>
      </c>
      <c r="D2090" t="s">
        <v>127</v>
      </c>
      <c r="E2090" s="2">
        <v>45</v>
      </c>
      <c r="F2090" t="s">
        <v>36</v>
      </c>
      <c r="G2090">
        <v>0</v>
      </c>
      <c r="H2090">
        <v>0</v>
      </c>
      <c r="I2090">
        <v>0.10155599999999999</v>
      </c>
    </row>
    <row r="2091" spans="1:9" x14ac:dyDescent="0.25">
      <c r="A2091">
        <v>2110020097</v>
      </c>
      <c r="B2091" t="s">
        <v>1093</v>
      </c>
      <c r="C2091" t="s">
        <v>139</v>
      </c>
      <c r="D2091" t="s">
        <v>140</v>
      </c>
      <c r="E2091" s="2">
        <v>6079</v>
      </c>
      <c r="F2091" t="s">
        <v>36</v>
      </c>
      <c r="G2091" s="2">
        <v>6079</v>
      </c>
      <c r="H2091">
        <v>0</v>
      </c>
      <c r="I2091">
        <v>0.10162400000000001</v>
      </c>
    </row>
    <row r="2092" spans="1:9" x14ac:dyDescent="0.25">
      <c r="A2092">
        <v>2110020098</v>
      </c>
      <c r="B2092" t="s">
        <v>1094</v>
      </c>
      <c r="C2092" t="s">
        <v>130</v>
      </c>
      <c r="D2092" t="s">
        <v>131</v>
      </c>
      <c r="E2092" s="2">
        <v>0</v>
      </c>
      <c r="F2092" t="s">
        <v>36</v>
      </c>
      <c r="G2092">
        <v>0</v>
      </c>
      <c r="H2092">
        <v>199</v>
      </c>
      <c r="I2092">
        <v>0</v>
      </c>
    </row>
    <row r="2093" spans="1:9" x14ac:dyDescent="0.25">
      <c r="A2093">
        <v>2110020098</v>
      </c>
      <c r="B2093" t="s">
        <v>1094</v>
      </c>
      <c r="C2093" t="s">
        <v>139</v>
      </c>
      <c r="D2093" t="s">
        <v>140</v>
      </c>
      <c r="E2093" s="2">
        <v>199</v>
      </c>
      <c r="F2093" t="s">
        <v>36</v>
      </c>
      <c r="G2093">
        <v>199</v>
      </c>
      <c r="H2093">
        <v>0</v>
      </c>
      <c r="I2093">
        <v>9.9749000000000004E-2</v>
      </c>
    </row>
    <row r="2094" spans="1:9" x14ac:dyDescent="0.25">
      <c r="A2094">
        <v>2110020099</v>
      </c>
      <c r="B2094" t="s">
        <v>1095</v>
      </c>
      <c r="C2094" t="s">
        <v>130</v>
      </c>
      <c r="D2094" t="s">
        <v>131</v>
      </c>
      <c r="E2094" s="2">
        <v>0</v>
      </c>
      <c r="F2094" t="s">
        <v>36</v>
      </c>
      <c r="G2094">
        <v>0</v>
      </c>
      <c r="H2094" s="2">
        <v>370</v>
      </c>
      <c r="I2094">
        <v>0</v>
      </c>
    </row>
    <row r="2095" spans="1:9" x14ac:dyDescent="0.25">
      <c r="A2095">
        <v>2110020099</v>
      </c>
      <c r="B2095" t="s">
        <v>1095</v>
      </c>
      <c r="C2095" t="s">
        <v>126</v>
      </c>
      <c r="D2095" t="s">
        <v>127</v>
      </c>
      <c r="E2095" s="2">
        <v>2</v>
      </c>
      <c r="F2095" t="s">
        <v>36</v>
      </c>
      <c r="G2095" s="2">
        <v>0</v>
      </c>
      <c r="H2095">
        <v>0</v>
      </c>
      <c r="I2095">
        <v>0.11</v>
      </c>
    </row>
    <row r="2096" spans="1:9" x14ac:dyDescent="0.25">
      <c r="A2096">
        <v>2110020099</v>
      </c>
      <c r="B2096" t="s">
        <v>1095</v>
      </c>
      <c r="C2096" t="s">
        <v>139</v>
      </c>
      <c r="D2096" t="s">
        <v>140</v>
      </c>
      <c r="E2096" s="2">
        <v>370</v>
      </c>
      <c r="F2096" t="s">
        <v>36</v>
      </c>
      <c r="G2096">
        <v>370</v>
      </c>
      <c r="H2096" s="2">
        <v>0</v>
      </c>
      <c r="I2096">
        <v>0.11132400000000001</v>
      </c>
    </row>
    <row r="2097" spans="1:9" x14ac:dyDescent="0.25">
      <c r="A2097">
        <v>2110020104</v>
      </c>
      <c r="B2097" t="s">
        <v>1096</v>
      </c>
      <c r="C2097" t="s">
        <v>199</v>
      </c>
      <c r="D2097" t="s">
        <v>200</v>
      </c>
      <c r="E2097" s="2">
        <v>2000</v>
      </c>
      <c r="F2097" t="s">
        <v>36</v>
      </c>
      <c r="G2097" s="2">
        <v>0</v>
      </c>
      <c r="H2097" s="2">
        <v>2000</v>
      </c>
      <c r="I2097">
        <v>0.30814999999999998</v>
      </c>
    </row>
    <row r="2098" spans="1:9" x14ac:dyDescent="0.25">
      <c r="A2098">
        <v>2110020104</v>
      </c>
      <c r="B2098" t="s">
        <v>1096</v>
      </c>
      <c r="C2098" t="s">
        <v>130</v>
      </c>
      <c r="D2098" t="s">
        <v>131</v>
      </c>
      <c r="E2098" s="2">
        <v>140641</v>
      </c>
      <c r="F2098" t="s">
        <v>36</v>
      </c>
      <c r="G2098" s="2">
        <v>2181</v>
      </c>
      <c r="H2098">
        <v>0</v>
      </c>
      <c r="I2098">
        <v>0.29480499999999998</v>
      </c>
    </row>
    <row r="2099" spans="1:9" x14ac:dyDescent="0.25">
      <c r="A2099">
        <v>2110020104</v>
      </c>
      <c r="B2099" t="s">
        <v>1096</v>
      </c>
      <c r="C2099" t="s">
        <v>137</v>
      </c>
      <c r="D2099" t="s">
        <v>138</v>
      </c>
      <c r="E2099" s="2">
        <v>54</v>
      </c>
      <c r="F2099" t="s">
        <v>36</v>
      </c>
      <c r="G2099">
        <v>0</v>
      </c>
      <c r="H2099">
        <v>1</v>
      </c>
      <c r="I2099">
        <v>0.29611100000000001</v>
      </c>
    </row>
    <row r="2100" spans="1:9" x14ac:dyDescent="0.25">
      <c r="A2100">
        <v>2110020104</v>
      </c>
      <c r="B2100" t="s">
        <v>1096</v>
      </c>
      <c r="C2100" t="s">
        <v>144</v>
      </c>
      <c r="D2100" t="s">
        <v>145</v>
      </c>
      <c r="E2100" s="2">
        <v>3</v>
      </c>
      <c r="F2100" t="s">
        <v>36</v>
      </c>
      <c r="G2100">
        <v>0</v>
      </c>
      <c r="H2100">
        <v>0</v>
      </c>
      <c r="I2100">
        <v>0.29333300000000001</v>
      </c>
    </row>
    <row r="2101" spans="1:9" x14ac:dyDescent="0.25">
      <c r="A2101">
        <v>2110020105</v>
      </c>
      <c r="B2101" t="s">
        <v>1097</v>
      </c>
      <c r="C2101" t="s">
        <v>199</v>
      </c>
      <c r="D2101" t="s">
        <v>200</v>
      </c>
      <c r="E2101" s="2">
        <v>2000</v>
      </c>
      <c r="F2101" t="s">
        <v>36</v>
      </c>
      <c r="G2101">
        <v>0</v>
      </c>
      <c r="H2101" s="2">
        <v>2000</v>
      </c>
      <c r="I2101">
        <v>0.28744500000000001</v>
      </c>
    </row>
    <row r="2102" spans="1:9" x14ac:dyDescent="0.25">
      <c r="A2102">
        <v>2110020105</v>
      </c>
      <c r="B2102" t="s">
        <v>1097</v>
      </c>
      <c r="C2102" t="s">
        <v>130</v>
      </c>
      <c r="D2102" t="s">
        <v>131</v>
      </c>
      <c r="E2102" s="2">
        <v>120497</v>
      </c>
      <c r="F2102" t="s">
        <v>36</v>
      </c>
      <c r="G2102" s="2">
        <v>2181</v>
      </c>
      <c r="H2102" s="2">
        <v>16</v>
      </c>
      <c r="I2102">
        <v>0.29727500000000001</v>
      </c>
    </row>
    <row r="2103" spans="1:9" x14ac:dyDescent="0.25">
      <c r="A2103">
        <v>2110020105</v>
      </c>
      <c r="B2103" t="s">
        <v>1097</v>
      </c>
      <c r="C2103" t="s">
        <v>126</v>
      </c>
      <c r="D2103" t="s">
        <v>127</v>
      </c>
      <c r="E2103" s="2">
        <v>54</v>
      </c>
      <c r="F2103" t="s">
        <v>36</v>
      </c>
      <c r="G2103">
        <v>0</v>
      </c>
      <c r="H2103" s="2">
        <v>0</v>
      </c>
      <c r="I2103">
        <v>0.28037000000000001</v>
      </c>
    </row>
    <row r="2104" spans="1:9" x14ac:dyDescent="0.25">
      <c r="A2104">
        <v>2110020105</v>
      </c>
      <c r="B2104" t="s">
        <v>1097</v>
      </c>
      <c r="C2104" t="s">
        <v>137</v>
      </c>
      <c r="D2104" t="s">
        <v>138</v>
      </c>
      <c r="E2104" s="2">
        <v>54</v>
      </c>
      <c r="F2104" t="s">
        <v>36</v>
      </c>
      <c r="G2104">
        <v>0</v>
      </c>
      <c r="H2104">
        <v>1</v>
      </c>
      <c r="I2104">
        <v>0.30074099999999998</v>
      </c>
    </row>
    <row r="2105" spans="1:9" x14ac:dyDescent="0.25">
      <c r="A2105">
        <v>2110020105</v>
      </c>
      <c r="B2105" t="s">
        <v>1097</v>
      </c>
      <c r="C2105" t="s">
        <v>139</v>
      </c>
      <c r="D2105" t="s">
        <v>140</v>
      </c>
      <c r="E2105" s="2">
        <v>16</v>
      </c>
      <c r="F2105" t="s">
        <v>36</v>
      </c>
      <c r="G2105">
        <v>16</v>
      </c>
      <c r="H2105">
        <v>0</v>
      </c>
      <c r="I2105">
        <v>0.29125000000000001</v>
      </c>
    </row>
    <row r="2106" spans="1:9" x14ac:dyDescent="0.25">
      <c r="A2106">
        <v>2110020105</v>
      </c>
      <c r="B2106" t="s">
        <v>1097</v>
      </c>
      <c r="C2106" t="s">
        <v>144</v>
      </c>
      <c r="D2106" t="s">
        <v>145</v>
      </c>
      <c r="E2106" s="2">
        <v>3</v>
      </c>
      <c r="F2106" t="s">
        <v>36</v>
      </c>
      <c r="G2106">
        <v>0</v>
      </c>
      <c r="H2106">
        <v>0</v>
      </c>
      <c r="I2106">
        <v>0.31666699999999998</v>
      </c>
    </row>
    <row r="2107" spans="1:9" x14ac:dyDescent="0.25">
      <c r="A2107">
        <v>2110020106</v>
      </c>
      <c r="B2107" t="s">
        <v>1098</v>
      </c>
      <c r="C2107" t="s">
        <v>199</v>
      </c>
      <c r="D2107" t="s">
        <v>200</v>
      </c>
      <c r="E2107" s="2">
        <v>2000</v>
      </c>
      <c r="F2107" t="s">
        <v>36</v>
      </c>
      <c r="G2107">
        <v>0</v>
      </c>
      <c r="H2107" s="2">
        <v>2000</v>
      </c>
      <c r="I2107">
        <v>0.28641499999999998</v>
      </c>
    </row>
    <row r="2108" spans="1:9" x14ac:dyDescent="0.25">
      <c r="A2108">
        <v>2110020106</v>
      </c>
      <c r="B2108" t="s">
        <v>1098</v>
      </c>
      <c r="C2108" t="s">
        <v>130</v>
      </c>
      <c r="D2108" t="s">
        <v>131</v>
      </c>
      <c r="E2108" s="2">
        <v>59463</v>
      </c>
      <c r="F2108" t="s">
        <v>36</v>
      </c>
      <c r="G2108" s="2">
        <v>2517</v>
      </c>
      <c r="H2108">
        <v>0</v>
      </c>
      <c r="I2108">
        <v>0.28634300000000001</v>
      </c>
    </row>
    <row r="2109" spans="1:9" x14ac:dyDescent="0.25">
      <c r="A2109">
        <v>2110020106</v>
      </c>
      <c r="B2109" t="s">
        <v>1098</v>
      </c>
      <c r="C2109" t="s">
        <v>137</v>
      </c>
      <c r="D2109" t="s">
        <v>138</v>
      </c>
      <c r="E2109" s="2">
        <v>54</v>
      </c>
      <c r="F2109" t="s">
        <v>36</v>
      </c>
      <c r="G2109">
        <v>0</v>
      </c>
      <c r="H2109" s="2">
        <v>1</v>
      </c>
      <c r="I2109">
        <v>0.286852</v>
      </c>
    </row>
    <row r="2110" spans="1:9" x14ac:dyDescent="0.25">
      <c r="A2110">
        <v>2110020106</v>
      </c>
      <c r="B2110" t="s">
        <v>1098</v>
      </c>
      <c r="C2110" t="s">
        <v>144</v>
      </c>
      <c r="D2110" t="s">
        <v>145</v>
      </c>
      <c r="E2110" s="2">
        <v>3</v>
      </c>
      <c r="F2110" t="s">
        <v>36</v>
      </c>
      <c r="G2110" s="2">
        <v>0</v>
      </c>
      <c r="H2110">
        <v>0</v>
      </c>
      <c r="I2110">
        <v>0.28666700000000001</v>
      </c>
    </row>
    <row r="2111" spans="1:9" x14ac:dyDescent="0.25">
      <c r="A2111">
        <v>2110020107</v>
      </c>
      <c r="B2111" t="s">
        <v>1099</v>
      </c>
      <c r="C2111" t="s">
        <v>130</v>
      </c>
      <c r="D2111" t="s">
        <v>131</v>
      </c>
      <c r="E2111" s="2">
        <v>19</v>
      </c>
      <c r="F2111" t="s">
        <v>36</v>
      </c>
      <c r="G2111">
        <v>512</v>
      </c>
      <c r="H2111" s="2">
        <v>3661</v>
      </c>
      <c r="I2111">
        <v>0.29842099999999999</v>
      </c>
    </row>
    <row r="2112" spans="1:9" x14ac:dyDescent="0.25">
      <c r="A2112">
        <v>2110020107</v>
      </c>
      <c r="B2112" t="s">
        <v>1099</v>
      </c>
      <c r="C2112" t="s">
        <v>151</v>
      </c>
      <c r="D2112" t="s">
        <v>152</v>
      </c>
      <c r="E2112" s="2">
        <v>0</v>
      </c>
      <c r="F2112" t="s">
        <v>36</v>
      </c>
      <c r="G2112" s="2">
        <v>3661</v>
      </c>
      <c r="H2112">
        <v>0</v>
      </c>
      <c r="I2112">
        <v>0.298452</v>
      </c>
    </row>
    <row r="2113" spans="1:9" x14ac:dyDescent="0.25">
      <c r="A2113">
        <v>2110020108</v>
      </c>
      <c r="B2113" t="s">
        <v>1100</v>
      </c>
      <c r="C2113" t="s">
        <v>130</v>
      </c>
      <c r="D2113" t="s">
        <v>131</v>
      </c>
      <c r="E2113" s="2">
        <v>4979</v>
      </c>
      <c r="F2113" t="s">
        <v>36</v>
      </c>
      <c r="G2113" s="2">
        <v>865</v>
      </c>
      <c r="H2113">
        <v>864</v>
      </c>
      <c r="I2113">
        <v>2.0695839999999999</v>
      </c>
    </row>
    <row r="2114" spans="1:9" x14ac:dyDescent="0.25">
      <c r="A2114" s="1">
        <v>2110020108</v>
      </c>
      <c r="B2114" s="1" t="s">
        <v>1100</v>
      </c>
      <c r="C2114" s="1" t="s">
        <v>126</v>
      </c>
      <c r="D2114" s="1" t="s">
        <v>127</v>
      </c>
      <c r="E2114" s="1">
        <v>1</v>
      </c>
      <c r="F2114" s="1" t="s">
        <v>36</v>
      </c>
      <c r="G2114" s="1">
        <v>0</v>
      </c>
      <c r="H2114" s="1">
        <v>0</v>
      </c>
      <c r="I2114" s="1">
        <v>2.0299999999999998</v>
      </c>
    </row>
    <row r="2115" spans="1:9" x14ac:dyDescent="0.25">
      <c r="A2115">
        <v>2110020108</v>
      </c>
      <c r="B2115" t="s">
        <v>1100</v>
      </c>
      <c r="C2115" t="s">
        <v>137</v>
      </c>
      <c r="D2115" t="s">
        <v>138</v>
      </c>
      <c r="E2115" s="2">
        <v>18</v>
      </c>
      <c r="F2115" t="s">
        <v>36</v>
      </c>
      <c r="G2115" s="2">
        <v>0</v>
      </c>
      <c r="H2115">
        <v>1</v>
      </c>
      <c r="I2115">
        <v>1.937778</v>
      </c>
    </row>
    <row r="2116" spans="1:9" x14ac:dyDescent="0.25">
      <c r="A2116">
        <v>2110020108</v>
      </c>
      <c r="B2116" t="s">
        <v>1100</v>
      </c>
      <c r="C2116" t="s">
        <v>139</v>
      </c>
      <c r="D2116" t="s">
        <v>140</v>
      </c>
      <c r="E2116" s="2">
        <v>864</v>
      </c>
      <c r="F2116" t="s">
        <v>36</v>
      </c>
      <c r="G2116">
        <v>864</v>
      </c>
      <c r="H2116">
        <v>0</v>
      </c>
      <c r="I2116">
        <v>1.9637150000000001</v>
      </c>
    </row>
    <row r="2117" spans="1:9" x14ac:dyDescent="0.25">
      <c r="A2117" s="1">
        <v>2110020109</v>
      </c>
      <c r="B2117" s="1" t="s">
        <v>1101</v>
      </c>
      <c r="C2117" s="1" t="s">
        <v>130</v>
      </c>
      <c r="D2117" s="1" t="s">
        <v>131</v>
      </c>
      <c r="E2117" s="3">
        <v>11131</v>
      </c>
      <c r="F2117" s="1" t="s">
        <v>36</v>
      </c>
      <c r="G2117" s="3">
        <v>1828</v>
      </c>
      <c r="H2117" s="1">
        <v>0</v>
      </c>
      <c r="I2117" s="1">
        <v>3.161619</v>
      </c>
    </row>
    <row r="2118" spans="1:9" x14ac:dyDescent="0.25">
      <c r="A2118">
        <v>2110020109</v>
      </c>
      <c r="B2118" t="s">
        <v>1101</v>
      </c>
      <c r="C2118" t="s">
        <v>126</v>
      </c>
      <c r="D2118" t="s">
        <v>127</v>
      </c>
      <c r="E2118" s="2">
        <v>2</v>
      </c>
      <c r="F2118" t="s">
        <v>36</v>
      </c>
      <c r="G2118">
        <v>0</v>
      </c>
      <c r="H2118">
        <v>0</v>
      </c>
      <c r="I2118">
        <v>3.26</v>
      </c>
    </row>
    <row r="2119" spans="1:9" x14ac:dyDescent="0.25">
      <c r="A2119">
        <v>2110020109</v>
      </c>
      <c r="B2119" t="s">
        <v>1101</v>
      </c>
      <c r="C2119" t="s">
        <v>137</v>
      </c>
      <c r="D2119" t="s">
        <v>138</v>
      </c>
      <c r="E2119" s="2">
        <v>18</v>
      </c>
      <c r="F2119" t="s">
        <v>36</v>
      </c>
      <c r="G2119">
        <v>0</v>
      </c>
      <c r="H2119">
        <v>30</v>
      </c>
      <c r="I2119">
        <v>3.1583329999999998</v>
      </c>
    </row>
    <row r="2120" spans="1:9" x14ac:dyDescent="0.25">
      <c r="A2120">
        <v>2110020109</v>
      </c>
      <c r="B2120" t="s">
        <v>1101</v>
      </c>
      <c r="C2120" t="s">
        <v>151</v>
      </c>
      <c r="D2120" t="s">
        <v>152</v>
      </c>
      <c r="E2120" s="2">
        <v>2148</v>
      </c>
      <c r="F2120" t="s">
        <v>36</v>
      </c>
      <c r="G2120">
        <v>0</v>
      </c>
      <c r="H2120">
        <v>0</v>
      </c>
      <c r="I2120">
        <v>3.0024579999999998</v>
      </c>
    </row>
    <row r="2121" spans="1:9" x14ac:dyDescent="0.25">
      <c r="A2121">
        <v>2110020110</v>
      </c>
      <c r="B2121" t="s">
        <v>1102</v>
      </c>
      <c r="C2121" t="s">
        <v>130</v>
      </c>
      <c r="D2121" t="s">
        <v>131</v>
      </c>
      <c r="E2121" s="2">
        <v>101835</v>
      </c>
      <c r="F2121" t="s">
        <v>36</v>
      </c>
      <c r="G2121">
        <v>355</v>
      </c>
      <c r="H2121">
        <v>0</v>
      </c>
      <c r="I2121">
        <v>0.40048899999999998</v>
      </c>
    </row>
    <row r="2122" spans="1:9" x14ac:dyDescent="0.25">
      <c r="A2122" s="1">
        <v>2110020110</v>
      </c>
      <c r="B2122" s="1" t="s">
        <v>1102</v>
      </c>
      <c r="C2122" s="1" t="s">
        <v>126</v>
      </c>
      <c r="D2122" s="1" t="s">
        <v>127</v>
      </c>
      <c r="E2122" s="3">
        <v>46819</v>
      </c>
      <c r="F2122" s="1" t="s">
        <v>36</v>
      </c>
      <c r="G2122" s="1">
        <v>0</v>
      </c>
      <c r="H2122" s="1">
        <v>0</v>
      </c>
      <c r="I2122" s="1">
        <v>0.39446199999999998</v>
      </c>
    </row>
    <row r="2123" spans="1:9" x14ac:dyDescent="0.25">
      <c r="A2123">
        <v>2110020110</v>
      </c>
      <c r="B2123" t="s">
        <v>1102</v>
      </c>
      <c r="C2123" t="s">
        <v>137</v>
      </c>
      <c r="D2123" t="s">
        <v>138</v>
      </c>
      <c r="E2123" s="2">
        <v>0</v>
      </c>
      <c r="F2123" t="s">
        <v>36</v>
      </c>
      <c r="G2123" s="2">
        <v>0</v>
      </c>
      <c r="H2123" s="2">
        <v>101</v>
      </c>
      <c r="I2123">
        <v>0.39455699999999999</v>
      </c>
    </row>
    <row r="2124" spans="1:9" x14ac:dyDescent="0.25">
      <c r="A2124">
        <v>2110020110</v>
      </c>
      <c r="B2124" t="s">
        <v>1102</v>
      </c>
      <c r="C2124" t="s">
        <v>139</v>
      </c>
      <c r="D2124" t="s">
        <v>140</v>
      </c>
      <c r="E2124" s="2">
        <v>26</v>
      </c>
      <c r="F2124" t="s">
        <v>36</v>
      </c>
      <c r="G2124" s="2">
        <v>0</v>
      </c>
      <c r="H2124">
        <v>0</v>
      </c>
      <c r="I2124">
        <v>0.391154</v>
      </c>
    </row>
    <row r="2125" spans="1:9" x14ac:dyDescent="0.25">
      <c r="A2125" s="1">
        <v>2110020111</v>
      </c>
      <c r="B2125" s="1" t="s">
        <v>1103</v>
      </c>
      <c r="C2125" s="1" t="s">
        <v>130</v>
      </c>
      <c r="D2125" s="1" t="s">
        <v>131</v>
      </c>
      <c r="E2125" s="3">
        <v>65960</v>
      </c>
      <c r="F2125" s="1" t="s">
        <v>36</v>
      </c>
      <c r="G2125" s="1">
        <v>181</v>
      </c>
      <c r="H2125" s="1">
        <v>0</v>
      </c>
      <c r="I2125" s="1">
        <v>0.38863300000000001</v>
      </c>
    </row>
    <row r="2126" spans="1:9" x14ac:dyDescent="0.25">
      <c r="A2126">
        <v>2110020111</v>
      </c>
      <c r="B2126" t="s">
        <v>1103</v>
      </c>
      <c r="C2126" t="s">
        <v>126</v>
      </c>
      <c r="D2126" t="s">
        <v>127</v>
      </c>
      <c r="E2126" s="2">
        <v>9650</v>
      </c>
      <c r="F2126" t="s">
        <v>36</v>
      </c>
      <c r="G2126">
        <v>0</v>
      </c>
      <c r="H2126">
        <v>0</v>
      </c>
      <c r="I2126">
        <v>0.38695499999999999</v>
      </c>
    </row>
    <row r="2127" spans="1:9" x14ac:dyDescent="0.25">
      <c r="A2127" s="1">
        <v>2110020111</v>
      </c>
      <c r="B2127" s="1" t="s">
        <v>1103</v>
      </c>
      <c r="C2127" s="1" t="s">
        <v>137</v>
      </c>
      <c r="D2127" s="1" t="s">
        <v>138</v>
      </c>
      <c r="E2127" s="1">
        <v>90</v>
      </c>
      <c r="F2127" s="1" t="s">
        <v>36</v>
      </c>
      <c r="G2127" s="1">
        <v>0</v>
      </c>
      <c r="H2127" s="1">
        <v>1</v>
      </c>
      <c r="I2127" s="1">
        <v>0.38700000000000001</v>
      </c>
    </row>
    <row r="2128" spans="1:9" x14ac:dyDescent="0.25">
      <c r="A2128" s="1">
        <v>2110020112</v>
      </c>
      <c r="B2128" s="1" t="s">
        <v>1104</v>
      </c>
      <c r="C2128" s="1" t="s">
        <v>199</v>
      </c>
      <c r="D2128" s="1" t="s">
        <v>200</v>
      </c>
      <c r="E2128" s="1">
        <v>1.728</v>
      </c>
      <c r="F2128" s="1" t="s">
        <v>36</v>
      </c>
      <c r="G2128" s="1">
        <v>0</v>
      </c>
      <c r="H2128" s="1">
        <v>0</v>
      </c>
      <c r="I2128" s="1">
        <v>0.422454</v>
      </c>
    </row>
    <row r="2129" spans="1:9" x14ac:dyDescent="0.25">
      <c r="A2129" s="1">
        <v>2110020112</v>
      </c>
      <c r="B2129" s="1" t="s">
        <v>1104</v>
      </c>
      <c r="C2129" s="1" t="s">
        <v>130</v>
      </c>
      <c r="D2129" s="1" t="s">
        <v>131</v>
      </c>
      <c r="E2129" s="3">
        <v>104671.272</v>
      </c>
      <c r="F2129" s="1" t="s">
        <v>36</v>
      </c>
      <c r="G2129" s="1">
        <v>185</v>
      </c>
      <c r="H2129" s="1">
        <v>0</v>
      </c>
      <c r="I2129" s="1">
        <v>0.41297499999999998</v>
      </c>
    </row>
    <row r="2130" spans="1:9" x14ac:dyDescent="0.25">
      <c r="A2130">
        <v>2110020112</v>
      </c>
      <c r="B2130" t="s">
        <v>1104</v>
      </c>
      <c r="C2130" t="s">
        <v>126</v>
      </c>
      <c r="D2130" t="s">
        <v>127</v>
      </c>
      <c r="E2130" s="2">
        <v>12469</v>
      </c>
      <c r="F2130" t="s">
        <v>36</v>
      </c>
      <c r="G2130">
        <v>0</v>
      </c>
      <c r="H2130">
        <v>0</v>
      </c>
      <c r="I2130">
        <v>0.40218999999999999</v>
      </c>
    </row>
    <row r="2131" spans="1:9" x14ac:dyDescent="0.25">
      <c r="A2131">
        <v>2110020112</v>
      </c>
      <c r="B2131" t="s">
        <v>1104</v>
      </c>
      <c r="C2131" t="s">
        <v>137</v>
      </c>
      <c r="D2131" t="s">
        <v>138</v>
      </c>
      <c r="E2131" s="2">
        <v>3546</v>
      </c>
      <c r="F2131" t="s">
        <v>36</v>
      </c>
      <c r="G2131">
        <v>0</v>
      </c>
      <c r="H2131">
        <v>1</v>
      </c>
      <c r="I2131">
        <v>0.406227</v>
      </c>
    </row>
    <row r="2132" spans="1:9" x14ac:dyDescent="0.25">
      <c r="A2132">
        <v>2110020113</v>
      </c>
      <c r="B2132" t="s">
        <v>1105</v>
      </c>
      <c r="C2132" t="s">
        <v>130</v>
      </c>
      <c r="D2132" t="s">
        <v>131</v>
      </c>
      <c r="E2132" s="2">
        <v>51358</v>
      </c>
      <c r="F2132" t="s">
        <v>36</v>
      </c>
      <c r="G2132" s="2">
        <v>3481</v>
      </c>
      <c r="H2132">
        <v>0</v>
      </c>
      <c r="I2132">
        <v>0.41286800000000001</v>
      </c>
    </row>
    <row r="2133" spans="1:9" x14ac:dyDescent="0.25">
      <c r="A2133">
        <v>2110020113</v>
      </c>
      <c r="B2133" t="s">
        <v>1105</v>
      </c>
      <c r="C2133" t="s">
        <v>126</v>
      </c>
      <c r="D2133" t="s">
        <v>127</v>
      </c>
      <c r="E2133" s="2">
        <v>6497</v>
      </c>
      <c r="F2133" t="s">
        <v>36</v>
      </c>
      <c r="G2133">
        <v>0</v>
      </c>
      <c r="H2133" s="2">
        <v>0</v>
      </c>
      <c r="I2133">
        <v>0.40485900000000002</v>
      </c>
    </row>
    <row r="2134" spans="1:9" x14ac:dyDescent="0.25">
      <c r="A2134">
        <v>2110020113</v>
      </c>
      <c r="B2134" t="s">
        <v>1105</v>
      </c>
      <c r="C2134" t="s">
        <v>137</v>
      </c>
      <c r="D2134" t="s">
        <v>138</v>
      </c>
      <c r="E2134" s="2">
        <v>0</v>
      </c>
      <c r="F2134" t="s">
        <v>36</v>
      </c>
      <c r="G2134">
        <v>0</v>
      </c>
      <c r="H2134">
        <v>1</v>
      </c>
      <c r="I2134">
        <v>0.40425100000000003</v>
      </c>
    </row>
    <row r="2135" spans="1:9" x14ac:dyDescent="0.25">
      <c r="A2135">
        <v>2110020113</v>
      </c>
      <c r="B2135" t="s">
        <v>1105</v>
      </c>
      <c r="C2135" t="s">
        <v>151</v>
      </c>
      <c r="D2135" t="s">
        <v>152</v>
      </c>
      <c r="E2135" s="2">
        <v>0</v>
      </c>
      <c r="F2135" t="s">
        <v>36</v>
      </c>
      <c r="G2135">
        <v>0</v>
      </c>
      <c r="H2135" s="2">
        <v>6912</v>
      </c>
      <c r="I2135">
        <v>0.40488200000000002</v>
      </c>
    </row>
    <row r="2136" spans="1:9" x14ac:dyDescent="0.25">
      <c r="A2136">
        <v>2110020113</v>
      </c>
      <c r="B2136" t="s">
        <v>1105</v>
      </c>
      <c r="C2136" t="s">
        <v>139</v>
      </c>
      <c r="D2136" t="s">
        <v>140</v>
      </c>
      <c r="E2136" s="2">
        <v>0</v>
      </c>
      <c r="F2136" t="s">
        <v>36</v>
      </c>
      <c r="G2136" s="2">
        <v>3456</v>
      </c>
      <c r="H2136">
        <v>0</v>
      </c>
      <c r="I2136">
        <v>0.40488200000000002</v>
      </c>
    </row>
    <row r="2137" spans="1:9" x14ac:dyDescent="0.25">
      <c r="A2137">
        <v>2110020114</v>
      </c>
      <c r="B2137" t="s">
        <v>1106</v>
      </c>
      <c r="C2137" t="s">
        <v>130</v>
      </c>
      <c r="D2137" t="s">
        <v>131</v>
      </c>
      <c r="E2137" s="2">
        <v>3415</v>
      </c>
      <c r="F2137" t="s">
        <v>36</v>
      </c>
      <c r="G2137">
        <v>0</v>
      </c>
      <c r="H2137">
        <v>0</v>
      </c>
      <c r="I2137">
        <v>0.39349600000000001</v>
      </c>
    </row>
    <row r="2138" spans="1:9" x14ac:dyDescent="0.25">
      <c r="A2138" s="1">
        <v>2110020115</v>
      </c>
      <c r="B2138" s="1" t="s">
        <v>1107</v>
      </c>
      <c r="C2138" s="1" t="s">
        <v>130</v>
      </c>
      <c r="D2138" s="1" t="s">
        <v>131</v>
      </c>
      <c r="E2138" s="1">
        <v>26</v>
      </c>
      <c r="F2138" s="1" t="s">
        <v>36</v>
      </c>
      <c r="G2138" s="1">
        <v>390</v>
      </c>
      <c r="H2138" s="1">
        <v>0</v>
      </c>
      <c r="I2138" s="1">
        <v>0.42769200000000002</v>
      </c>
    </row>
    <row r="2139" spans="1:9" x14ac:dyDescent="0.25">
      <c r="A2139" s="1">
        <v>2110020116</v>
      </c>
      <c r="B2139" s="1" t="s">
        <v>1108</v>
      </c>
      <c r="C2139" s="1" t="s">
        <v>130</v>
      </c>
      <c r="D2139" s="1" t="s">
        <v>131</v>
      </c>
      <c r="E2139" s="3">
        <v>2269</v>
      </c>
      <c r="F2139" s="1" t="s">
        <v>36</v>
      </c>
      <c r="G2139" s="1">
        <v>0</v>
      </c>
      <c r="H2139" s="1">
        <v>0</v>
      </c>
      <c r="I2139" s="1">
        <v>0.40098299999999998</v>
      </c>
    </row>
    <row r="2140" spans="1:9" x14ac:dyDescent="0.25">
      <c r="A2140">
        <v>2110020116</v>
      </c>
      <c r="B2140" t="s">
        <v>1108</v>
      </c>
      <c r="C2140" t="s">
        <v>126</v>
      </c>
      <c r="D2140" t="s">
        <v>127</v>
      </c>
      <c r="E2140" s="2">
        <v>9</v>
      </c>
      <c r="F2140" t="s">
        <v>36</v>
      </c>
      <c r="G2140">
        <v>0</v>
      </c>
      <c r="H2140">
        <v>0</v>
      </c>
      <c r="I2140">
        <v>0.43</v>
      </c>
    </row>
    <row r="2141" spans="1:9" x14ac:dyDescent="0.25">
      <c r="A2141">
        <v>2110020117</v>
      </c>
      <c r="B2141" t="s">
        <v>1109</v>
      </c>
      <c r="C2141" t="s">
        <v>130</v>
      </c>
      <c r="D2141" t="s">
        <v>131</v>
      </c>
      <c r="E2141" s="2">
        <v>4</v>
      </c>
      <c r="F2141" t="s">
        <v>36</v>
      </c>
      <c r="G2141">
        <v>72</v>
      </c>
      <c r="H2141">
        <v>0</v>
      </c>
      <c r="I2141">
        <v>0.42249999999999999</v>
      </c>
    </row>
    <row r="2142" spans="1:9" x14ac:dyDescent="0.25">
      <c r="A2142">
        <v>2110020224</v>
      </c>
      <c r="B2142" t="s">
        <v>1110</v>
      </c>
      <c r="C2142" t="s">
        <v>130</v>
      </c>
      <c r="D2142" t="s">
        <v>131</v>
      </c>
      <c r="E2142" s="2">
        <v>23</v>
      </c>
      <c r="F2142" t="s">
        <v>36</v>
      </c>
      <c r="G2142">
        <v>48</v>
      </c>
      <c r="H2142">
        <v>0</v>
      </c>
      <c r="I2142">
        <v>2.1569569999999998</v>
      </c>
    </row>
    <row r="2143" spans="1:9" x14ac:dyDescent="0.25">
      <c r="A2143">
        <v>2110020224</v>
      </c>
      <c r="B2143" t="s">
        <v>1110</v>
      </c>
      <c r="C2143" t="s">
        <v>126</v>
      </c>
      <c r="D2143" t="s">
        <v>127</v>
      </c>
      <c r="E2143" s="2">
        <v>89</v>
      </c>
      <c r="F2143" t="s">
        <v>36</v>
      </c>
      <c r="G2143">
        <v>0</v>
      </c>
      <c r="H2143">
        <v>0</v>
      </c>
      <c r="I2143">
        <v>2.1582020000000002</v>
      </c>
    </row>
    <row r="2144" spans="1:9" x14ac:dyDescent="0.25">
      <c r="A2144" s="1">
        <v>2110020280</v>
      </c>
      <c r="B2144" s="1" t="s">
        <v>1111</v>
      </c>
      <c r="C2144" s="1" t="s">
        <v>199</v>
      </c>
      <c r="D2144" s="1" t="s">
        <v>200</v>
      </c>
      <c r="E2144" s="1">
        <v>96</v>
      </c>
      <c r="F2144" s="1" t="s">
        <v>230</v>
      </c>
      <c r="G2144" s="1">
        <v>0</v>
      </c>
      <c r="H2144" s="1">
        <v>0</v>
      </c>
      <c r="I2144" s="1">
        <v>3.9886460000000001</v>
      </c>
    </row>
    <row r="2145" spans="1:9" x14ac:dyDescent="0.25">
      <c r="A2145" s="1">
        <v>2110020280</v>
      </c>
      <c r="B2145" s="1" t="s">
        <v>1111</v>
      </c>
      <c r="C2145" s="1" t="s">
        <v>130</v>
      </c>
      <c r="D2145" s="1" t="s">
        <v>131</v>
      </c>
      <c r="E2145" s="3">
        <v>2456</v>
      </c>
      <c r="F2145" s="1" t="s">
        <v>230</v>
      </c>
      <c r="G2145" s="3">
        <v>2957</v>
      </c>
      <c r="H2145" s="1">
        <v>876</v>
      </c>
      <c r="I2145" s="1">
        <v>3.9047429999999999</v>
      </c>
    </row>
    <row r="2146" spans="1:9" x14ac:dyDescent="0.25">
      <c r="A2146" s="1">
        <v>2110020280</v>
      </c>
      <c r="B2146" s="1" t="s">
        <v>1111</v>
      </c>
      <c r="C2146" s="1" t="s">
        <v>126</v>
      </c>
      <c r="D2146" s="1" t="s">
        <v>127</v>
      </c>
      <c r="E2146" s="1">
        <v>381</v>
      </c>
      <c r="F2146" s="1" t="s">
        <v>230</v>
      </c>
      <c r="G2146" s="1">
        <v>0</v>
      </c>
      <c r="H2146" s="1">
        <v>0</v>
      </c>
      <c r="I2146" s="1">
        <v>4.0025979999999999</v>
      </c>
    </row>
    <row r="2147" spans="1:9" x14ac:dyDescent="0.25">
      <c r="A2147" s="1">
        <v>2110020280</v>
      </c>
      <c r="B2147" s="1" t="s">
        <v>1111</v>
      </c>
      <c r="C2147" s="1" t="s">
        <v>137</v>
      </c>
      <c r="D2147" s="1" t="s">
        <v>138</v>
      </c>
      <c r="E2147" s="1">
        <v>19</v>
      </c>
      <c r="F2147" s="1" t="s">
        <v>230</v>
      </c>
      <c r="G2147" s="1">
        <v>0</v>
      </c>
      <c r="H2147" s="1">
        <v>0</v>
      </c>
      <c r="I2147" s="1">
        <v>4.1531580000000003</v>
      </c>
    </row>
    <row r="2148" spans="1:9" x14ac:dyDescent="0.25">
      <c r="A2148">
        <v>2110020280</v>
      </c>
      <c r="B2148" t="s">
        <v>1111</v>
      </c>
      <c r="C2148" t="s">
        <v>151</v>
      </c>
      <c r="D2148" t="s">
        <v>152</v>
      </c>
      <c r="E2148" s="2">
        <v>0</v>
      </c>
      <c r="F2148" t="s">
        <v>230</v>
      </c>
      <c r="G2148">
        <v>876</v>
      </c>
      <c r="H2148" s="2">
        <v>1187</v>
      </c>
      <c r="I2148">
        <v>4.1670629999999997</v>
      </c>
    </row>
    <row r="2149" spans="1:9" x14ac:dyDescent="0.25">
      <c r="A2149">
        <v>2110020287</v>
      </c>
      <c r="B2149" t="s">
        <v>1112</v>
      </c>
      <c r="C2149" t="s">
        <v>130</v>
      </c>
      <c r="D2149" t="s">
        <v>131</v>
      </c>
      <c r="E2149" s="2">
        <v>15823</v>
      </c>
      <c r="F2149" t="s">
        <v>36</v>
      </c>
      <c r="G2149">
        <v>74</v>
      </c>
      <c r="H2149">
        <v>0</v>
      </c>
      <c r="I2149">
        <v>0.51501399999999997</v>
      </c>
    </row>
    <row r="2150" spans="1:9" x14ac:dyDescent="0.25">
      <c r="A2150">
        <v>2110020287</v>
      </c>
      <c r="B2150" t="s">
        <v>1112</v>
      </c>
      <c r="C2150" t="s">
        <v>126</v>
      </c>
      <c r="D2150" t="s">
        <v>127</v>
      </c>
      <c r="E2150" s="2">
        <v>14162</v>
      </c>
      <c r="F2150" t="s">
        <v>36</v>
      </c>
      <c r="G2150">
        <v>0</v>
      </c>
      <c r="H2150" s="2">
        <v>0</v>
      </c>
      <c r="I2150">
        <v>0.54097700000000004</v>
      </c>
    </row>
    <row r="2151" spans="1:9" x14ac:dyDescent="0.25">
      <c r="A2151" s="1">
        <v>2110020288</v>
      </c>
      <c r="B2151" s="1" t="s">
        <v>1113</v>
      </c>
      <c r="C2151" s="1" t="s">
        <v>130</v>
      </c>
      <c r="D2151" s="1" t="s">
        <v>131</v>
      </c>
      <c r="E2151" s="3">
        <v>10822</v>
      </c>
      <c r="F2151" s="1" t="s">
        <v>36</v>
      </c>
      <c r="G2151" s="1">
        <v>74</v>
      </c>
      <c r="H2151" s="1">
        <v>0</v>
      </c>
      <c r="I2151" s="1">
        <v>0.49405399999999999</v>
      </c>
    </row>
    <row r="2152" spans="1:9" x14ac:dyDescent="0.25">
      <c r="A2152">
        <v>2110020288</v>
      </c>
      <c r="B2152" t="s">
        <v>1113</v>
      </c>
      <c r="C2152" t="s">
        <v>126</v>
      </c>
      <c r="D2152" t="s">
        <v>127</v>
      </c>
      <c r="E2152" s="2">
        <v>11274</v>
      </c>
      <c r="F2152" t="s">
        <v>36</v>
      </c>
      <c r="G2152">
        <v>0</v>
      </c>
      <c r="H2152">
        <v>0</v>
      </c>
      <c r="I2152">
        <v>0.53744599999999998</v>
      </c>
    </row>
    <row r="2153" spans="1:9" x14ac:dyDescent="0.25">
      <c r="A2153" s="1">
        <v>2110020289</v>
      </c>
      <c r="B2153" s="1" t="s">
        <v>1114</v>
      </c>
      <c r="C2153" s="1" t="s">
        <v>130</v>
      </c>
      <c r="D2153" s="1" t="s">
        <v>131</v>
      </c>
      <c r="E2153" s="3">
        <v>20959</v>
      </c>
      <c r="F2153" s="1" t="s">
        <v>36</v>
      </c>
      <c r="G2153" s="1">
        <v>50</v>
      </c>
      <c r="H2153" s="1">
        <v>0</v>
      </c>
      <c r="I2153" s="1">
        <v>0.50324599999999997</v>
      </c>
    </row>
    <row r="2154" spans="1:9" x14ac:dyDescent="0.25">
      <c r="A2154" s="1">
        <v>2110020289</v>
      </c>
      <c r="B2154" s="1" t="s">
        <v>1114</v>
      </c>
      <c r="C2154" s="1" t="s">
        <v>126</v>
      </c>
      <c r="D2154" s="1" t="s">
        <v>127</v>
      </c>
      <c r="E2154" s="3">
        <v>8977</v>
      </c>
      <c r="F2154" s="1" t="s">
        <v>36</v>
      </c>
      <c r="G2154" s="1">
        <v>0</v>
      </c>
      <c r="H2154" s="1">
        <v>0</v>
      </c>
      <c r="I2154" s="1">
        <v>0.54992600000000003</v>
      </c>
    </row>
    <row r="2155" spans="1:9" x14ac:dyDescent="0.25">
      <c r="A2155">
        <v>2110020290</v>
      </c>
      <c r="B2155" t="s">
        <v>1115</v>
      </c>
      <c r="C2155" t="s">
        <v>130</v>
      </c>
      <c r="D2155" t="s">
        <v>131</v>
      </c>
      <c r="E2155" s="2">
        <v>13</v>
      </c>
      <c r="F2155" t="s">
        <v>36</v>
      </c>
      <c r="G2155" s="2">
        <v>1740</v>
      </c>
      <c r="H2155">
        <v>0</v>
      </c>
      <c r="I2155">
        <v>0.54</v>
      </c>
    </row>
    <row r="2156" spans="1:9" x14ac:dyDescent="0.25">
      <c r="A2156">
        <v>2110020290</v>
      </c>
      <c r="B2156" t="s">
        <v>1115</v>
      </c>
      <c r="C2156" t="s">
        <v>126</v>
      </c>
      <c r="D2156" t="s">
        <v>127</v>
      </c>
      <c r="E2156" s="2">
        <v>1898</v>
      </c>
      <c r="F2156" t="s">
        <v>36</v>
      </c>
      <c r="G2156">
        <v>0</v>
      </c>
      <c r="H2156">
        <v>0</v>
      </c>
      <c r="I2156">
        <v>0.54211799999999999</v>
      </c>
    </row>
    <row r="2157" spans="1:9" x14ac:dyDescent="0.25">
      <c r="A2157">
        <v>2110020290</v>
      </c>
      <c r="B2157" t="s">
        <v>1115</v>
      </c>
      <c r="C2157" t="s">
        <v>139</v>
      </c>
      <c r="D2157" t="s">
        <v>140</v>
      </c>
      <c r="E2157" s="2">
        <v>0</v>
      </c>
      <c r="F2157" t="s">
        <v>36</v>
      </c>
      <c r="G2157">
        <v>576</v>
      </c>
      <c r="H2157">
        <v>0</v>
      </c>
      <c r="I2157">
        <v>0</v>
      </c>
    </row>
    <row r="2158" spans="1:9" x14ac:dyDescent="0.25">
      <c r="A2158">
        <v>2110020316</v>
      </c>
      <c r="B2158" t="s">
        <v>1116</v>
      </c>
      <c r="C2158" t="s">
        <v>130</v>
      </c>
      <c r="D2158" t="s">
        <v>131</v>
      </c>
      <c r="E2158" s="2">
        <v>4106</v>
      </c>
      <c r="F2158" t="s">
        <v>36</v>
      </c>
      <c r="G2158" s="2">
        <v>24</v>
      </c>
      <c r="H2158">
        <v>0</v>
      </c>
      <c r="I2158">
        <v>0.29854599999999998</v>
      </c>
    </row>
    <row r="2159" spans="1:9" x14ac:dyDescent="0.25">
      <c r="A2159">
        <v>2110020317</v>
      </c>
      <c r="B2159" t="s">
        <v>1117</v>
      </c>
      <c r="C2159" t="s">
        <v>130</v>
      </c>
      <c r="D2159" t="s">
        <v>131</v>
      </c>
      <c r="E2159" s="2">
        <v>1402</v>
      </c>
      <c r="F2159" t="s">
        <v>36</v>
      </c>
      <c r="G2159">
        <v>72</v>
      </c>
      <c r="H2159">
        <v>0</v>
      </c>
      <c r="I2159">
        <v>0.316305</v>
      </c>
    </row>
    <row r="2160" spans="1:9" x14ac:dyDescent="0.25">
      <c r="A2160">
        <v>2110020318</v>
      </c>
      <c r="B2160" t="s">
        <v>1118</v>
      </c>
      <c r="C2160" t="s">
        <v>130</v>
      </c>
      <c r="D2160" t="s">
        <v>131</v>
      </c>
      <c r="E2160" s="2">
        <v>3295</v>
      </c>
      <c r="F2160" t="s">
        <v>36</v>
      </c>
      <c r="G2160" s="2">
        <v>96</v>
      </c>
      <c r="H2160">
        <v>0</v>
      </c>
      <c r="I2160">
        <v>0.27937800000000002</v>
      </c>
    </row>
    <row r="2161" spans="1:9" x14ac:dyDescent="0.25">
      <c r="A2161">
        <v>2110020319</v>
      </c>
      <c r="B2161" t="s">
        <v>1119</v>
      </c>
      <c r="C2161" t="s">
        <v>130</v>
      </c>
      <c r="D2161" t="s">
        <v>131</v>
      </c>
      <c r="E2161" s="2">
        <v>2753</v>
      </c>
      <c r="F2161" t="s">
        <v>36</v>
      </c>
      <c r="G2161">
        <v>96</v>
      </c>
      <c r="H2161">
        <v>0</v>
      </c>
      <c r="I2161">
        <v>0.29549900000000001</v>
      </c>
    </row>
    <row r="2162" spans="1:9" x14ac:dyDescent="0.25">
      <c r="A2162">
        <v>2110020320</v>
      </c>
      <c r="B2162" t="s">
        <v>1120</v>
      </c>
      <c r="C2162" t="s">
        <v>130</v>
      </c>
      <c r="D2162" t="s">
        <v>131</v>
      </c>
      <c r="E2162" s="2">
        <v>2555</v>
      </c>
      <c r="F2162" t="s">
        <v>36</v>
      </c>
      <c r="G2162">
        <v>36</v>
      </c>
      <c r="H2162">
        <v>0</v>
      </c>
      <c r="I2162">
        <v>0.297037</v>
      </c>
    </row>
    <row r="2163" spans="1:9" x14ac:dyDescent="0.25">
      <c r="A2163">
        <v>2110020321</v>
      </c>
      <c r="B2163" t="s">
        <v>1121</v>
      </c>
      <c r="C2163" t="s">
        <v>130</v>
      </c>
      <c r="D2163" t="s">
        <v>131</v>
      </c>
      <c r="E2163" s="2">
        <v>4356</v>
      </c>
      <c r="F2163" t="s">
        <v>36</v>
      </c>
      <c r="G2163">
        <v>84</v>
      </c>
      <c r="H2163">
        <v>0</v>
      </c>
      <c r="I2163">
        <v>0.30750499999999997</v>
      </c>
    </row>
    <row r="2164" spans="1:9" x14ac:dyDescent="0.25">
      <c r="A2164">
        <v>2110020322</v>
      </c>
      <c r="B2164" t="s">
        <v>1122</v>
      </c>
      <c r="C2164" t="s">
        <v>130</v>
      </c>
      <c r="D2164" t="s">
        <v>131</v>
      </c>
      <c r="E2164" s="2">
        <v>13358</v>
      </c>
      <c r="F2164" t="s">
        <v>36</v>
      </c>
      <c r="G2164" s="2">
        <v>4087</v>
      </c>
      <c r="H2164" s="2">
        <v>21504</v>
      </c>
      <c r="I2164">
        <v>3.6998099999999998</v>
      </c>
    </row>
    <row r="2165" spans="1:9" x14ac:dyDescent="0.25">
      <c r="A2165">
        <v>2110020322</v>
      </c>
      <c r="B2165" t="s">
        <v>1122</v>
      </c>
      <c r="C2165" t="s">
        <v>126</v>
      </c>
      <c r="D2165" t="s">
        <v>127</v>
      </c>
      <c r="E2165" s="2">
        <v>1</v>
      </c>
      <c r="F2165" t="s">
        <v>36</v>
      </c>
      <c r="G2165">
        <v>0</v>
      </c>
      <c r="H2165">
        <v>0</v>
      </c>
      <c r="I2165">
        <v>3.56</v>
      </c>
    </row>
    <row r="2166" spans="1:9" x14ac:dyDescent="0.25">
      <c r="A2166">
        <v>2110020322</v>
      </c>
      <c r="B2166" t="s">
        <v>1122</v>
      </c>
      <c r="C2166" t="s">
        <v>137</v>
      </c>
      <c r="D2166" t="s">
        <v>138</v>
      </c>
      <c r="E2166" s="2">
        <v>51</v>
      </c>
      <c r="F2166" t="s">
        <v>36</v>
      </c>
      <c r="G2166">
        <v>0</v>
      </c>
      <c r="H2166">
        <v>1</v>
      </c>
      <c r="I2166">
        <v>3.5660780000000001</v>
      </c>
    </row>
    <row r="2167" spans="1:9" x14ac:dyDescent="0.25">
      <c r="A2167">
        <v>2110020322</v>
      </c>
      <c r="B2167" t="s">
        <v>1122</v>
      </c>
      <c r="C2167" t="s">
        <v>151</v>
      </c>
      <c r="D2167" t="s">
        <v>152</v>
      </c>
      <c r="E2167" s="2">
        <v>4072</v>
      </c>
      <c r="F2167" t="s">
        <v>36</v>
      </c>
      <c r="G2167">
        <v>0</v>
      </c>
      <c r="H2167">
        <v>0</v>
      </c>
      <c r="I2167">
        <v>3.396979</v>
      </c>
    </row>
    <row r="2168" spans="1:9" x14ac:dyDescent="0.25">
      <c r="A2168">
        <v>2110020322</v>
      </c>
      <c r="B2168" t="s">
        <v>1122</v>
      </c>
      <c r="C2168" t="s">
        <v>139</v>
      </c>
      <c r="D2168" t="s">
        <v>140</v>
      </c>
      <c r="E2168" s="2">
        <v>2</v>
      </c>
      <c r="F2168" t="s">
        <v>36</v>
      </c>
      <c r="G2168" s="2">
        <v>21504</v>
      </c>
      <c r="H2168" s="2">
        <v>3840</v>
      </c>
      <c r="I2168">
        <v>3.6749999999999998</v>
      </c>
    </row>
    <row r="2169" spans="1:9" x14ac:dyDescent="0.25">
      <c r="A2169">
        <v>2110020323</v>
      </c>
      <c r="B2169" t="s">
        <v>1123</v>
      </c>
      <c r="C2169" t="s">
        <v>130</v>
      </c>
      <c r="D2169" t="s">
        <v>131</v>
      </c>
      <c r="E2169" s="2">
        <v>20</v>
      </c>
      <c r="F2169" t="s">
        <v>36</v>
      </c>
      <c r="G2169">
        <v>0</v>
      </c>
      <c r="H2169">
        <v>1</v>
      </c>
      <c r="I2169">
        <v>0.91949999999999998</v>
      </c>
    </row>
    <row r="2170" spans="1:9" x14ac:dyDescent="0.25">
      <c r="A2170" s="1">
        <v>2110020323</v>
      </c>
      <c r="B2170" s="1" t="s">
        <v>1123</v>
      </c>
      <c r="C2170" s="1" t="s">
        <v>139</v>
      </c>
      <c r="D2170" s="1" t="s">
        <v>140</v>
      </c>
      <c r="E2170" s="1">
        <v>1</v>
      </c>
      <c r="F2170" s="1" t="s">
        <v>36</v>
      </c>
      <c r="G2170" s="1">
        <v>1</v>
      </c>
      <c r="H2170" s="1">
        <v>0</v>
      </c>
      <c r="I2170" s="1">
        <v>0.92</v>
      </c>
    </row>
    <row r="2171" spans="1:9" x14ac:dyDescent="0.25">
      <c r="A2171">
        <v>2110020324</v>
      </c>
      <c r="B2171" t="s">
        <v>1124</v>
      </c>
      <c r="C2171" t="s">
        <v>130</v>
      </c>
      <c r="D2171" t="s">
        <v>131</v>
      </c>
      <c r="E2171" s="2">
        <v>460</v>
      </c>
      <c r="F2171" t="s">
        <v>36</v>
      </c>
      <c r="G2171">
        <v>0</v>
      </c>
      <c r="H2171">
        <v>0</v>
      </c>
      <c r="I2171">
        <v>0.86795699999999998</v>
      </c>
    </row>
    <row r="2172" spans="1:9" x14ac:dyDescent="0.25">
      <c r="A2172">
        <v>2110020325</v>
      </c>
      <c r="B2172" t="s">
        <v>1125</v>
      </c>
      <c r="C2172" t="s">
        <v>130</v>
      </c>
      <c r="D2172" t="s">
        <v>131</v>
      </c>
      <c r="E2172" s="2">
        <v>272</v>
      </c>
      <c r="F2172" t="s">
        <v>36</v>
      </c>
      <c r="G2172" s="2">
        <v>0</v>
      </c>
      <c r="H2172">
        <v>0</v>
      </c>
      <c r="I2172">
        <v>0.83996300000000002</v>
      </c>
    </row>
    <row r="2173" spans="1:9" x14ac:dyDescent="0.25">
      <c r="A2173" s="1">
        <v>2110020326</v>
      </c>
      <c r="B2173" s="1" t="s">
        <v>1126</v>
      </c>
      <c r="C2173" s="1" t="s">
        <v>130</v>
      </c>
      <c r="D2173" s="1" t="s">
        <v>131</v>
      </c>
      <c r="E2173" s="1">
        <v>497</v>
      </c>
      <c r="F2173" s="1" t="s">
        <v>36</v>
      </c>
      <c r="G2173" s="1">
        <v>0</v>
      </c>
      <c r="H2173" s="1">
        <v>0</v>
      </c>
      <c r="I2173" s="1">
        <v>0.85319900000000004</v>
      </c>
    </row>
    <row r="2174" spans="1:9" x14ac:dyDescent="0.25">
      <c r="A2174">
        <v>2110020327</v>
      </c>
      <c r="B2174" t="s">
        <v>1127</v>
      </c>
      <c r="C2174" t="s">
        <v>130</v>
      </c>
      <c r="D2174" t="s">
        <v>131</v>
      </c>
      <c r="E2174" s="2">
        <v>2130</v>
      </c>
      <c r="F2174" t="s">
        <v>36</v>
      </c>
      <c r="G2174">
        <v>7</v>
      </c>
      <c r="H2174">
        <v>6</v>
      </c>
      <c r="I2174">
        <v>5.0491780000000004</v>
      </c>
    </row>
    <row r="2175" spans="1:9" x14ac:dyDescent="0.25">
      <c r="A2175">
        <v>2110020327</v>
      </c>
      <c r="B2175" t="s">
        <v>1127</v>
      </c>
      <c r="C2175" t="s">
        <v>137</v>
      </c>
      <c r="D2175" t="s">
        <v>138</v>
      </c>
      <c r="E2175" s="2">
        <v>5</v>
      </c>
      <c r="F2175" t="s">
        <v>36</v>
      </c>
      <c r="G2175">
        <v>0</v>
      </c>
      <c r="H2175">
        <v>6</v>
      </c>
      <c r="I2175">
        <v>5.1619999999999999</v>
      </c>
    </row>
    <row r="2176" spans="1:9" x14ac:dyDescent="0.25">
      <c r="A2176">
        <v>2110020327</v>
      </c>
      <c r="B2176" t="s">
        <v>1127</v>
      </c>
      <c r="C2176" t="s">
        <v>139</v>
      </c>
      <c r="D2176" t="s">
        <v>140</v>
      </c>
      <c r="E2176" s="2">
        <v>0</v>
      </c>
      <c r="F2176" t="s">
        <v>36</v>
      </c>
      <c r="G2176">
        <v>6</v>
      </c>
      <c r="H2176">
        <v>0</v>
      </c>
      <c r="I2176">
        <v>4.9270829999999997</v>
      </c>
    </row>
    <row r="2177" spans="1:9" x14ac:dyDescent="0.25">
      <c r="A2177">
        <v>2110020329</v>
      </c>
      <c r="B2177" t="s">
        <v>1128</v>
      </c>
      <c r="C2177" t="s">
        <v>130</v>
      </c>
      <c r="D2177" t="s">
        <v>131</v>
      </c>
      <c r="E2177" s="2">
        <v>10</v>
      </c>
      <c r="F2177" t="s">
        <v>36</v>
      </c>
      <c r="G2177">
        <v>240</v>
      </c>
      <c r="H2177">
        <v>0</v>
      </c>
      <c r="I2177">
        <v>0.90300000000000002</v>
      </c>
    </row>
    <row r="2178" spans="1:9" x14ac:dyDescent="0.25">
      <c r="A2178">
        <v>2110020330</v>
      </c>
      <c r="B2178" t="s">
        <v>1129</v>
      </c>
      <c r="C2178" t="s">
        <v>130</v>
      </c>
      <c r="D2178" t="s">
        <v>131</v>
      </c>
      <c r="E2178" s="2">
        <v>6</v>
      </c>
      <c r="F2178" t="s">
        <v>36</v>
      </c>
      <c r="G2178">
        <v>240</v>
      </c>
      <c r="H2178">
        <v>0</v>
      </c>
      <c r="I2178">
        <v>0.83333299999999999</v>
      </c>
    </row>
    <row r="2179" spans="1:9" x14ac:dyDescent="0.25">
      <c r="A2179">
        <v>2110020331</v>
      </c>
      <c r="B2179" t="s">
        <v>1130</v>
      </c>
      <c r="C2179" t="s">
        <v>130</v>
      </c>
      <c r="D2179" t="s">
        <v>131</v>
      </c>
      <c r="E2179" s="2">
        <v>6</v>
      </c>
      <c r="F2179" t="s">
        <v>36</v>
      </c>
      <c r="G2179">
        <v>240</v>
      </c>
      <c r="H2179">
        <v>0</v>
      </c>
      <c r="I2179">
        <v>0.84</v>
      </c>
    </row>
    <row r="2180" spans="1:9" x14ac:dyDescent="0.25">
      <c r="A2180">
        <v>2110020332</v>
      </c>
      <c r="B2180" t="s">
        <v>1131</v>
      </c>
      <c r="C2180" t="s">
        <v>130</v>
      </c>
      <c r="D2180" t="s">
        <v>131</v>
      </c>
      <c r="E2180" s="2">
        <v>326</v>
      </c>
      <c r="F2180" t="s">
        <v>36</v>
      </c>
      <c r="G2180">
        <v>0</v>
      </c>
      <c r="H2180">
        <v>0</v>
      </c>
      <c r="I2180">
        <v>0.88972399999999996</v>
      </c>
    </row>
    <row r="2181" spans="1:9" x14ac:dyDescent="0.25">
      <c r="A2181">
        <v>2110020341</v>
      </c>
      <c r="B2181" t="s">
        <v>1132</v>
      </c>
      <c r="C2181" t="s">
        <v>130</v>
      </c>
      <c r="D2181" t="s">
        <v>131</v>
      </c>
      <c r="E2181" s="2">
        <v>14789</v>
      </c>
      <c r="F2181" t="s">
        <v>230</v>
      </c>
      <c r="G2181">
        <v>31</v>
      </c>
      <c r="H2181">
        <v>0</v>
      </c>
      <c r="I2181">
        <v>2.0943529999999999</v>
      </c>
    </row>
    <row r="2182" spans="1:9" x14ac:dyDescent="0.25">
      <c r="A2182">
        <v>2110020341</v>
      </c>
      <c r="B2182" t="s">
        <v>1132</v>
      </c>
      <c r="C2182" t="s">
        <v>137</v>
      </c>
      <c r="D2182" t="s">
        <v>138</v>
      </c>
      <c r="E2182" s="2">
        <v>5</v>
      </c>
      <c r="F2182" t="s">
        <v>230</v>
      </c>
      <c r="G2182" s="2">
        <v>0</v>
      </c>
      <c r="H2182">
        <v>0</v>
      </c>
      <c r="I2182">
        <v>2.1259999999999999</v>
      </c>
    </row>
    <row r="2183" spans="1:9" x14ac:dyDescent="0.25">
      <c r="A2183">
        <v>2110020341</v>
      </c>
      <c r="B2183" t="s">
        <v>1132</v>
      </c>
      <c r="C2183" t="s">
        <v>151</v>
      </c>
      <c r="D2183" t="s">
        <v>152</v>
      </c>
      <c r="E2183" s="2">
        <v>588</v>
      </c>
      <c r="F2183" t="s">
        <v>230</v>
      </c>
      <c r="G2183">
        <v>0</v>
      </c>
      <c r="H2183" s="2">
        <v>0</v>
      </c>
      <c r="I2183">
        <v>2.0943369999999999</v>
      </c>
    </row>
    <row r="2184" spans="1:9" x14ac:dyDescent="0.25">
      <c r="A2184">
        <v>2110020342</v>
      </c>
      <c r="B2184" t="s">
        <v>1133</v>
      </c>
      <c r="C2184" t="s">
        <v>130</v>
      </c>
      <c r="D2184" t="s">
        <v>131</v>
      </c>
      <c r="E2184" s="2">
        <v>2740</v>
      </c>
      <c r="F2184" t="s">
        <v>230</v>
      </c>
      <c r="G2184">
        <v>493</v>
      </c>
      <c r="H2184">
        <v>1</v>
      </c>
      <c r="I2184">
        <v>1.774635</v>
      </c>
    </row>
    <row r="2185" spans="1:9" x14ac:dyDescent="0.25">
      <c r="A2185">
        <v>2110020342</v>
      </c>
      <c r="B2185" t="s">
        <v>1133</v>
      </c>
      <c r="C2185" t="s">
        <v>137</v>
      </c>
      <c r="D2185" t="s">
        <v>138</v>
      </c>
      <c r="E2185" s="2">
        <v>4</v>
      </c>
      <c r="F2185" t="s">
        <v>230</v>
      </c>
      <c r="G2185">
        <v>0</v>
      </c>
      <c r="H2185">
        <v>0</v>
      </c>
      <c r="I2185">
        <v>1.7749999999999999</v>
      </c>
    </row>
    <row r="2186" spans="1:9" x14ac:dyDescent="0.25">
      <c r="A2186">
        <v>2110020342</v>
      </c>
      <c r="B2186" t="s">
        <v>1133</v>
      </c>
      <c r="C2186" t="s">
        <v>151</v>
      </c>
      <c r="D2186" t="s">
        <v>152</v>
      </c>
      <c r="E2186" s="2">
        <v>707</v>
      </c>
      <c r="F2186" t="s">
        <v>230</v>
      </c>
      <c r="G2186" s="2">
        <v>1</v>
      </c>
      <c r="H2186">
        <v>0</v>
      </c>
      <c r="I2186">
        <v>1.7746249999999999</v>
      </c>
    </row>
    <row r="2187" spans="1:9" x14ac:dyDescent="0.25">
      <c r="A2187">
        <v>2110020343</v>
      </c>
      <c r="B2187" t="s">
        <v>1134</v>
      </c>
      <c r="C2187" t="s">
        <v>130</v>
      </c>
      <c r="D2187" t="s">
        <v>131</v>
      </c>
      <c r="E2187" s="2">
        <v>72946</v>
      </c>
      <c r="F2187" t="s">
        <v>36</v>
      </c>
      <c r="G2187">
        <v>36</v>
      </c>
      <c r="H2187">
        <v>0</v>
      </c>
      <c r="I2187">
        <v>0.15343000000000001</v>
      </c>
    </row>
    <row r="2188" spans="1:9" x14ac:dyDescent="0.25">
      <c r="A2188">
        <v>2110020344</v>
      </c>
      <c r="B2188" t="s">
        <v>1135</v>
      </c>
      <c r="C2188" t="s">
        <v>130</v>
      </c>
      <c r="D2188" t="s">
        <v>131</v>
      </c>
      <c r="E2188" s="2">
        <v>97996</v>
      </c>
      <c r="F2188" t="s">
        <v>36</v>
      </c>
      <c r="G2188" s="2">
        <v>36</v>
      </c>
      <c r="H2188">
        <v>0</v>
      </c>
      <c r="I2188">
        <v>0.14202200000000001</v>
      </c>
    </row>
    <row r="2189" spans="1:9" x14ac:dyDescent="0.25">
      <c r="A2189">
        <v>2110020345</v>
      </c>
      <c r="B2189" t="s">
        <v>1136</v>
      </c>
      <c r="C2189" t="s">
        <v>130</v>
      </c>
      <c r="D2189" t="s">
        <v>131</v>
      </c>
      <c r="E2189" s="2">
        <v>63581</v>
      </c>
      <c r="F2189" t="s">
        <v>36</v>
      </c>
      <c r="G2189">
        <v>36</v>
      </c>
      <c r="H2189">
        <v>0</v>
      </c>
      <c r="I2189">
        <v>0.13980699999999999</v>
      </c>
    </row>
    <row r="2190" spans="1:9" x14ac:dyDescent="0.25">
      <c r="A2190">
        <v>2110020346</v>
      </c>
      <c r="B2190" t="s">
        <v>1137</v>
      </c>
      <c r="C2190" t="s">
        <v>130</v>
      </c>
      <c r="D2190" t="s">
        <v>131</v>
      </c>
      <c r="E2190" s="2">
        <v>8865</v>
      </c>
      <c r="F2190" t="s">
        <v>230</v>
      </c>
      <c r="G2190">
        <v>140</v>
      </c>
      <c r="H2190">
        <v>0</v>
      </c>
      <c r="I2190">
        <v>6.226432</v>
      </c>
    </row>
    <row r="2191" spans="1:9" x14ac:dyDescent="0.25">
      <c r="A2191">
        <v>2110020346</v>
      </c>
      <c r="B2191" t="s">
        <v>1137</v>
      </c>
      <c r="C2191" t="s">
        <v>137</v>
      </c>
      <c r="D2191" t="s">
        <v>138</v>
      </c>
      <c r="E2191" s="2">
        <v>11</v>
      </c>
      <c r="F2191" t="s">
        <v>230</v>
      </c>
      <c r="G2191">
        <v>0</v>
      </c>
      <c r="H2191">
        <v>0</v>
      </c>
      <c r="I2191">
        <v>6.8381819999999998</v>
      </c>
    </row>
    <row r="2192" spans="1:9" x14ac:dyDescent="0.25">
      <c r="A2192">
        <v>2110020346</v>
      </c>
      <c r="B2192" t="s">
        <v>1137</v>
      </c>
      <c r="C2192" t="s">
        <v>151</v>
      </c>
      <c r="D2192" t="s">
        <v>152</v>
      </c>
      <c r="E2192" s="2">
        <v>0</v>
      </c>
      <c r="F2192" t="s">
        <v>230</v>
      </c>
      <c r="G2192">
        <v>0</v>
      </c>
      <c r="H2192" s="2">
        <v>36</v>
      </c>
      <c r="I2192">
        <v>6.2264439999999999</v>
      </c>
    </row>
    <row r="2193" spans="1:9" x14ac:dyDescent="0.25">
      <c r="A2193">
        <v>2110020347</v>
      </c>
      <c r="B2193" t="s">
        <v>1138</v>
      </c>
      <c r="C2193" t="s">
        <v>130</v>
      </c>
      <c r="D2193" t="s">
        <v>131</v>
      </c>
      <c r="E2193" s="2">
        <v>12</v>
      </c>
      <c r="F2193" t="s">
        <v>36</v>
      </c>
      <c r="G2193">
        <v>889</v>
      </c>
      <c r="H2193">
        <v>0</v>
      </c>
      <c r="I2193">
        <v>0.55666700000000002</v>
      </c>
    </row>
    <row r="2194" spans="1:9" x14ac:dyDescent="0.25">
      <c r="A2194">
        <v>2110020347</v>
      </c>
      <c r="B2194" t="s">
        <v>1138</v>
      </c>
      <c r="C2194" t="s">
        <v>142</v>
      </c>
      <c r="D2194" t="s">
        <v>143</v>
      </c>
      <c r="E2194" s="2">
        <v>0</v>
      </c>
      <c r="F2194" t="s">
        <v>36</v>
      </c>
      <c r="G2194">
        <v>0</v>
      </c>
      <c r="H2194" s="2">
        <v>1</v>
      </c>
      <c r="I2194">
        <v>0.55662699999999998</v>
      </c>
    </row>
    <row r="2195" spans="1:9" x14ac:dyDescent="0.25">
      <c r="A2195">
        <v>2110020348</v>
      </c>
      <c r="B2195" t="s">
        <v>1139</v>
      </c>
      <c r="C2195" t="s">
        <v>130</v>
      </c>
      <c r="D2195" t="s">
        <v>131</v>
      </c>
      <c r="E2195" s="2">
        <v>0</v>
      </c>
      <c r="F2195" t="s">
        <v>36</v>
      </c>
      <c r="G2195" s="2">
        <v>900</v>
      </c>
      <c r="H2195">
        <v>0</v>
      </c>
      <c r="I2195">
        <v>0.61208300000000004</v>
      </c>
    </row>
    <row r="2196" spans="1:9" x14ac:dyDescent="0.25">
      <c r="A2196">
        <v>2110020349</v>
      </c>
      <c r="B2196" t="s">
        <v>1140</v>
      </c>
      <c r="C2196" t="s">
        <v>130</v>
      </c>
      <c r="D2196" t="s">
        <v>131</v>
      </c>
      <c r="E2196" s="2">
        <v>23</v>
      </c>
      <c r="F2196" t="s">
        <v>36</v>
      </c>
      <c r="G2196" s="2">
        <v>804</v>
      </c>
      <c r="H2196">
        <v>0</v>
      </c>
      <c r="I2196">
        <v>0.48347800000000002</v>
      </c>
    </row>
    <row r="2197" spans="1:9" x14ac:dyDescent="0.25">
      <c r="A2197">
        <v>2110020350</v>
      </c>
      <c r="B2197" t="s">
        <v>1141</v>
      </c>
      <c r="C2197" t="s">
        <v>130</v>
      </c>
      <c r="D2197" t="s">
        <v>131</v>
      </c>
      <c r="E2197" s="2">
        <v>29</v>
      </c>
      <c r="F2197" t="s">
        <v>36</v>
      </c>
      <c r="G2197">
        <v>804</v>
      </c>
      <c r="H2197">
        <v>0</v>
      </c>
      <c r="I2197">
        <v>0.51827599999999996</v>
      </c>
    </row>
    <row r="2198" spans="1:9" x14ac:dyDescent="0.25">
      <c r="A2198">
        <v>2110030001</v>
      </c>
      <c r="B2198" t="s">
        <v>1142</v>
      </c>
      <c r="C2198" t="s">
        <v>307</v>
      </c>
      <c r="D2198" t="s">
        <v>308</v>
      </c>
      <c r="E2198" s="2">
        <v>27000</v>
      </c>
      <c r="F2198" t="s">
        <v>230</v>
      </c>
      <c r="G2198">
        <v>0</v>
      </c>
      <c r="H2198">
        <v>0</v>
      </c>
      <c r="I2198">
        <v>1.888088</v>
      </c>
    </row>
    <row r="2199" spans="1:9" x14ac:dyDescent="0.25">
      <c r="A2199">
        <v>2110030001</v>
      </c>
      <c r="B2199" t="s">
        <v>1142</v>
      </c>
      <c r="C2199" t="s">
        <v>130</v>
      </c>
      <c r="D2199" t="s">
        <v>131</v>
      </c>
      <c r="E2199" s="2">
        <v>100459</v>
      </c>
      <c r="F2199" t="s">
        <v>230</v>
      </c>
      <c r="G2199" s="2">
        <v>1896</v>
      </c>
      <c r="H2199" s="2">
        <v>240779</v>
      </c>
      <c r="I2199">
        <v>1.752461</v>
      </c>
    </row>
    <row r="2200" spans="1:9" x14ac:dyDescent="0.25">
      <c r="A2200">
        <v>2110030001</v>
      </c>
      <c r="B2200" t="s">
        <v>1142</v>
      </c>
      <c r="C2200" t="s">
        <v>142</v>
      </c>
      <c r="D2200" t="s">
        <v>143</v>
      </c>
      <c r="E2200" s="2">
        <v>0</v>
      </c>
      <c r="F2200" t="s">
        <v>230</v>
      </c>
      <c r="G2200">
        <v>1</v>
      </c>
      <c r="H2200">
        <v>0</v>
      </c>
      <c r="I2200">
        <v>1.619259</v>
      </c>
    </row>
    <row r="2201" spans="1:9" x14ac:dyDescent="0.25">
      <c r="A2201">
        <v>2110030001</v>
      </c>
      <c r="B2201" t="s">
        <v>1142</v>
      </c>
      <c r="C2201" t="s">
        <v>137</v>
      </c>
      <c r="D2201" t="s">
        <v>138</v>
      </c>
      <c r="E2201" s="2">
        <v>271</v>
      </c>
      <c r="F2201" t="s">
        <v>230</v>
      </c>
      <c r="G2201" s="2">
        <v>0</v>
      </c>
      <c r="H2201" s="2">
        <v>0</v>
      </c>
      <c r="I2201">
        <v>1.87321</v>
      </c>
    </row>
    <row r="2202" spans="1:9" x14ac:dyDescent="0.25">
      <c r="A2202">
        <v>2110030001</v>
      </c>
      <c r="B2202" t="s">
        <v>1142</v>
      </c>
      <c r="C2202" t="s">
        <v>151</v>
      </c>
      <c r="D2202" t="s">
        <v>152</v>
      </c>
      <c r="E2202" s="2">
        <v>8518</v>
      </c>
      <c r="F2202" t="s">
        <v>230</v>
      </c>
      <c r="G2202" s="2">
        <v>0</v>
      </c>
      <c r="H2202">
        <v>0</v>
      </c>
      <c r="I2202">
        <v>1.8112459999999999</v>
      </c>
    </row>
    <row r="2203" spans="1:9" x14ac:dyDescent="0.25">
      <c r="A2203">
        <v>2110030001</v>
      </c>
      <c r="B2203" t="s">
        <v>1142</v>
      </c>
      <c r="C2203" t="s">
        <v>139</v>
      </c>
      <c r="D2203" t="s">
        <v>140</v>
      </c>
      <c r="E2203" s="2">
        <v>80114</v>
      </c>
      <c r="F2203" t="s">
        <v>230</v>
      </c>
      <c r="G2203" s="2">
        <v>240778</v>
      </c>
      <c r="H2203">
        <v>0</v>
      </c>
      <c r="I2203">
        <v>1.9593160000000001</v>
      </c>
    </row>
    <row r="2204" spans="1:9" x14ac:dyDescent="0.25">
      <c r="A2204">
        <v>2110030002</v>
      </c>
      <c r="B2204" t="s">
        <v>1143</v>
      </c>
      <c r="C2204" t="s">
        <v>130</v>
      </c>
      <c r="D2204" t="s">
        <v>131</v>
      </c>
      <c r="E2204" s="2">
        <v>38574</v>
      </c>
      <c r="F2204" t="s">
        <v>36</v>
      </c>
      <c r="G2204">
        <v>48</v>
      </c>
      <c r="H2204" s="2">
        <v>0</v>
      </c>
      <c r="I2204">
        <v>0.283053</v>
      </c>
    </row>
    <row r="2205" spans="1:9" x14ac:dyDescent="0.25">
      <c r="A2205">
        <v>2110030002</v>
      </c>
      <c r="B2205" t="s">
        <v>1143</v>
      </c>
      <c r="C2205" t="s">
        <v>126</v>
      </c>
      <c r="D2205" t="s">
        <v>127</v>
      </c>
      <c r="E2205" s="2">
        <v>2</v>
      </c>
      <c r="F2205" t="s">
        <v>36</v>
      </c>
      <c r="G2205">
        <v>0</v>
      </c>
      <c r="H2205">
        <v>0</v>
      </c>
      <c r="I2205">
        <v>0.23</v>
      </c>
    </row>
    <row r="2206" spans="1:9" x14ac:dyDescent="0.25">
      <c r="A2206">
        <v>2110030003</v>
      </c>
      <c r="B2206" t="s">
        <v>1144</v>
      </c>
      <c r="C2206" t="s">
        <v>130</v>
      </c>
      <c r="D2206" t="s">
        <v>131</v>
      </c>
      <c r="E2206" s="2">
        <v>37584</v>
      </c>
      <c r="F2206" t="s">
        <v>36</v>
      </c>
      <c r="G2206">
        <v>66</v>
      </c>
      <c r="H2206">
        <v>0</v>
      </c>
      <c r="I2206">
        <v>0.30205300000000002</v>
      </c>
    </row>
    <row r="2207" spans="1:9" x14ac:dyDescent="0.25">
      <c r="A2207">
        <v>2110030003</v>
      </c>
      <c r="B2207" t="s">
        <v>1144</v>
      </c>
      <c r="C2207" t="s">
        <v>126</v>
      </c>
      <c r="D2207" t="s">
        <v>127</v>
      </c>
      <c r="E2207" s="2">
        <v>3</v>
      </c>
      <c r="F2207" t="s">
        <v>36</v>
      </c>
      <c r="G2207">
        <v>0</v>
      </c>
      <c r="H2207">
        <v>0</v>
      </c>
      <c r="I2207">
        <v>0.23333300000000001</v>
      </c>
    </row>
    <row r="2208" spans="1:9" x14ac:dyDescent="0.25">
      <c r="A2208">
        <v>2110030004</v>
      </c>
      <c r="B2208" t="s">
        <v>1145</v>
      </c>
      <c r="C2208" t="s">
        <v>130</v>
      </c>
      <c r="D2208" t="s">
        <v>131</v>
      </c>
      <c r="E2208" s="2">
        <v>18536</v>
      </c>
      <c r="F2208" t="s">
        <v>36</v>
      </c>
      <c r="G2208">
        <v>42</v>
      </c>
      <c r="H2208">
        <v>0</v>
      </c>
      <c r="I2208">
        <v>0.26667400000000002</v>
      </c>
    </row>
    <row r="2209" spans="1:9" x14ac:dyDescent="0.25">
      <c r="A2209">
        <v>2110030005</v>
      </c>
      <c r="B2209" t="s">
        <v>1146</v>
      </c>
      <c r="C2209" t="s">
        <v>130</v>
      </c>
      <c r="D2209" t="s">
        <v>131</v>
      </c>
      <c r="E2209" s="2">
        <v>18229</v>
      </c>
      <c r="F2209" t="s">
        <v>36</v>
      </c>
      <c r="G2209">
        <v>54</v>
      </c>
      <c r="H2209">
        <v>0</v>
      </c>
      <c r="I2209">
        <v>0.26812599999999998</v>
      </c>
    </row>
    <row r="2210" spans="1:9" x14ac:dyDescent="0.25">
      <c r="A2210">
        <v>2110030006</v>
      </c>
      <c r="B2210" t="s">
        <v>1147</v>
      </c>
      <c r="C2210" t="s">
        <v>130</v>
      </c>
      <c r="D2210" t="s">
        <v>131</v>
      </c>
      <c r="E2210" s="2">
        <v>25298</v>
      </c>
      <c r="F2210" t="s">
        <v>36</v>
      </c>
      <c r="G2210" s="2">
        <v>54</v>
      </c>
      <c r="H2210">
        <v>0</v>
      </c>
      <c r="I2210">
        <v>0.271372</v>
      </c>
    </row>
    <row r="2211" spans="1:9" x14ac:dyDescent="0.25">
      <c r="A2211">
        <v>2110030006</v>
      </c>
      <c r="B2211" t="s">
        <v>1147</v>
      </c>
      <c r="C2211" t="s">
        <v>126</v>
      </c>
      <c r="D2211" t="s">
        <v>127</v>
      </c>
      <c r="E2211" s="2">
        <v>2</v>
      </c>
      <c r="F2211" t="s">
        <v>36</v>
      </c>
      <c r="G2211">
        <v>0</v>
      </c>
      <c r="H2211">
        <v>0</v>
      </c>
      <c r="I2211">
        <v>0.24</v>
      </c>
    </row>
    <row r="2212" spans="1:9" x14ac:dyDescent="0.25">
      <c r="A2212">
        <v>2110030007</v>
      </c>
      <c r="B2212" t="s">
        <v>1148</v>
      </c>
      <c r="C2212" t="s">
        <v>130</v>
      </c>
      <c r="D2212" t="s">
        <v>131</v>
      </c>
      <c r="E2212" s="2">
        <v>37860</v>
      </c>
      <c r="F2212" t="s">
        <v>36</v>
      </c>
      <c r="G2212">
        <v>66</v>
      </c>
      <c r="H2212">
        <v>0</v>
      </c>
      <c r="I2212">
        <v>0.27643800000000002</v>
      </c>
    </row>
    <row r="2213" spans="1:9" x14ac:dyDescent="0.25">
      <c r="A2213">
        <v>2110030007</v>
      </c>
      <c r="B2213" t="s">
        <v>1148</v>
      </c>
      <c r="C2213" t="s">
        <v>126</v>
      </c>
      <c r="D2213" t="s">
        <v>127</v>
      </c>
      <c r="E2213" s="2">
        <v>1</v>
      </c>
      <c r="F2213" t="s">
        <v>36</v>
      </c>
      <c r="G2213">
        <v>0</v>
      </c>
      <c r="H2213" s="2">
        <v>0</v>
      </c>
      <c r="I2213">
        <v>0.26</v>
      </c>
    </row>
    <row r="2214" spans="1:9" x14ac:dyDescent="0.25">
      <c r="A2214">
        <v>2110030008</v>
      </c>
      <c r="B2214" t="s">
        <v>1149</v>
      </c>
      <c r="C2214" t="s">
        <v>130</v>
      </c>
      <c r="D2214" t="s">
        <v>131</v>
      </c>
      <c r="E2214" s="2">
        <v>36419</v>
      </c>
      <c r="F2214" t="s">
        <v>36</v>
      </c>
      <c r="G2214" s="2">
        <v>12</v>
      </c>
      <c r="H2214">
        <v>0</v>
      </c>
      <c r="I2214">
        <v>0.26699299999999998</v>
      </c>
    </row>
    <row r="2215" spans="1:9" x14ac:dyDescent="0.25">
      <c r="A2215">
        <v>2110030009</v>
      </c>
      <c r="B2215" t="s">
        <v>1150</v>
      </c>
      <c r="C2215" t="s">
        <v>130</v>
      </c>
      <c r="D2215" t="s">
        <v>131</v>
      </c>
      <c r="E2215" s="2">
        <v>3052</v>
      </c>
      <c r="F2215" t="s">
        <v>230</v>
      </c>
      <c r="G2215" s="2">
        <v>1</v>
      </c>
      <c r="H2215">
        <v>131</v>
      </c>
      <c r="I2215">
        <v>1.630908</v>
      </c>
    </row>
    <row r="2216" spans="1:9" x14ac:dyDescent="0.25">
      <c r="A2216">
        <v>2110030009</v>
      </c>
      <c r="B2216" t="s">
        <v>1150</v>
      </c>
      <c r="C2216" t="s">
        <v>126</v>
      </c>
      <c r="D2216" t="s">
        <v>127</v>
      </c>
      <c r="E2216" s="2">
        <v>29</v>
      </c>
      <c r="F2216" t="s">
        <v>230</v>
      </c>
      <c r="G2216">
        <v>0</v>
      </c>
      <c r="H2216">
        <v>0</v>
      </c>
      <c r="I2216">
        <v>1.6310340000000001</v>
      </c>
    </row>
    <row r="2217" spans="1:9" x14ac:dyDescent="0.25">
      <c r="A2217">
        <v>2110030009</v>
      </c>
      <c r="B2217" t="s">
        <v>1150</v>
      </c>
      <c r="C2217" t="s">
        <v>137</v>
      </c>
      <c r="D2217" t="s">
        <v>138</v>
      </c>
      <c r="E2217" s="2">
        <v>3</v>
      </c>
      <c r="F2217" t="s">
        <v>230</v>
      </c>
      <c r="G2217">
        <v>0</v>
      </c>
      <c r="H2217">
        <v>1</v>
      </c>
      <c r="I2217">
        <v>1.63</v>
      </c>
    </row>
    <row r="2218" spans="1:9" x14ac:dyDescent="0.25">
      <c r="A2218">
        <v>2110030009</v>
      </c>
      <c r="B2218" t="s">
        <v>1150</v>
      </c>
      <c r="C2218" t="s">
        <v>139</v>
      </c>
      <c r="D2218" t="s">
        <v>140</v>
      </c>
      <c r="E2218" s="2">
        <v>131</v>
      </c>
      <c r="F2218" t="s">
        <v>230</v>
      </c>
      <c r="G2218">
        <v>131</v>
      </c>
      <c r="H2218">
        <v>0</v>
      </c>
      <c r="I2218">
        <v>1.630916</v>
      </c>
    </row>
    <row r="2219" spans="1:9" x14ac:dyDescent="0.25">
      <c r="A2219">
        <v>2110030010</v>
      </c>
      <c r="B2219" t="s">
        <v>1151</v>
      </c>
      <c r="C2219" t="s">
        <v>130</v>
      </c>
      <c r="D2219" t="s">
        <v>131</v>
      </c>
      <c r="E2219" s="2">
        <v>21275</v>
      </c>
      <c r="F2219" t="s">
        <v>230</v>
      </c>
      <c r="G2219" s="2">
        <v>203</v>
      </c>
      <c r="H2219">
        <v>0</v>
      </c>
      <c r="I2219">
        <v>2.4765649999999999</v>
      </c>
    </row>
    <row r="2220" spans="1:9" x14ac:dyDescent="0.25">
      <c r="A2220">
        <v>2110030010</v>
      </c>
      <c r="B2220" t="s">
        <v>1151</v>
      </c>
      <c r="C2220" t="s">
        <v>137</v>
      </c>
      <c r="D2220" t="s">
        <v>138</v>
      </c>
      <c r="E2220" s="2">
        <v>23</v>
      </c>
      <c r="F2220" t="s">
        <v>230</v>
      </c>
      <c r="G2220">
        <v>0</v>
      </c>
      <c r="H2220">
        <v>0</v>
      </c>
      <c r="I2220">
        <v>2.4869569999999999</v>
      </c>
    </row>
    <row r="2221" spans="1:9" x14ac:dyDescent="0.25">
      <c r="A2221">
        <v>2110030017</v>
      </c>
      <c r="B2221" t="s">
        <v>1152</v>
      </c>
      <c r="C2221" t="s">
        <v>130</v>
      </c>
      <c r="D2221" t="s">
        <v>131</v>
      </c>
      <c r="E2221" s="2">
        <v>5283</v>
      </c>
      <c r="F2221" t="s">
        <v>36</v>
      </c>
      <c r="G2221">
        <v>192</v>
      </c>
      <c r="H2221">
        <v>0</v>
      </c>
      <c r="I2221">
        <v>0.23479700000000001</v>
      </c>
    </row>
    <row r="2222" spans="1:9" x14ac:dyDescent="0.25">
      <c r="A2222">
        <v>2110030017</v>
      </c>
      <c r="B2222" t="s">
        <v>1152</v>
      </c>
      <c r="C2222" t="s">
        <v>126</v>
      </c>
      <c r="D2222" t="s">
        <v>127</v>
      </c>
      <c r="E2222" s="2">
        <v>160</v>
      </c>
      <c r="F2222" t="s">
        <v>36</v>
      </c>
      <c r="G2222">
        <v>0</v>
      </c>
      <c r="H2222">
        <v>0</v>
      </c>
      <c r="I2222">
        <v>0.24637500000000001</v>
      </c>
    </row>
    <row r="2223" spans="1:9" x14ac:dyDescent="0.25">
      <c r="A2223">
        <v>2110030018</v>
      </c>
      <c r="B2223" t="s">
        <v>1153</v>
      </c>
      <c r="C2223" t="s">
        <v>130</v>
      </c>
      <c r="D2223" t="s">
        <v>131</v>
      </c>
      <c r="E2223" s="2">
        <v>530</v>
      </c>
      <c r="F2223" t="s">
        <v>36</v>
      </c>
      <c r="G2223" s="2">
        <v>1752</v>
      </c>
      <c r="H2223">
        <v>0</v>
      </c>
      <c r="I2223">
        <v>0.246585</v>
      </c>
    </row>
    <row r="2224" spans="1:9" x14ac:dyDescent="0.25">
      <c r="A2224">
        <v>2110030018</v>
      </c>
      <c r="B2224" t="s">
        <v>1153</v>
      </c>
      <c r="C2224" t="s">
        <v>126</v>
      </c>
      <c r="D2224" t="s">
        <v>127</v>
      </c>
      <c r="E2224" s="2">
        <v>26</v>
      </c>
      <c r="F2224" t="s">
        <v>36</v>
      </c>
      <c r="G2224">
        <v>0</v>
      </c>
      <c r="H2224">
        <v>0</v>
      </c>
      <c r="I2224">
        <v>0.246923</v>
      </c>
    </row>
    <row r="2225" spans="1:9" x14ac:dyDescent="0.25">
      <c r="A2225">
        <v>2110030019</v>
      </c>
      <c r="B2225" t="s">
        <v>1154</v>
      </c>
      <c r="C2225" t="s">
        <v>130</v>
      </c>
      <c r="D2225" t="s">
        <v>131</v>
      </c>
      <c r="E2225" s="2">
        <v>15474</v>
      </c>
      <c r="F2225" t="s">
        <v>36</v>
      </c>
      <c r="G2225">
        <v>192</v>
      </c>
      <c r="H2225">
        <v>0</v>
      </c>
      <c r="I2225">
        <v>0.20416100000000001</v>
      </c>
    </row>
    <row r="2226" spans="1:9" x14ac:dyDescent="0.25">
      <c r="A2226">
        <v>2110030019</v>
      </c>
      <c r="B2226" t="s">
        <v>1154</v>
      </c>
      <c r="C2226" t="s">
        <v>126</v>
      </c>
      <c r="D2226" t="s">
        <v>127</v>
      </c>
      <c r="E2226" s="2">
        <v>264</v>
      </c>
      <c r="F2226" t="s">
        <v>36</v>
      </c>
      <c r="G2226">
        <v>0</v>
      </c>
      <c r="H2226">
        <v>0</v>
      </c>
      <c r="I2226">
        <v>0.23530300000000001</v>
      </c>
    </row>
    <row r="2227" spans="1:9" x14ac:dyDescent="0.25">
      <c r="A2227">
        <v>2110030021</v>
      </c>
      <c r="B2227" t="s">
        <v>1155</v>
      </c>
      <c r="C2227" t="s">
        <v>130</v>
      </c>
      <c r="D2227" t="s">
        <v>131</v>
      </c>
      <c r="E2227" s="2">
        <v>14469</v>
      </c>
      <c r="F2227" t="s">
        <v>36</v>
      </c>
      <c r="G2227">
        <v>192</v>
      </c>
      <c r="H2227">
        <v>0</v>
      </c>
      <c r="I2227">
        <v>0.22977700000000001</v>
      </c>
    </row>
    <row r="2228" spans="1:9" x14ac:dyDescent="0.25">
      <c r="A2228">
        <v>2110030055</v>
      </c>
      <c r="B2228" t="s">
        <v>1156</v>
      </c>
      <c r="C2228" t="s">
        <v>130</v>
      </c>
      <c r="D2228" t="s">
        <v>131</v>
      </c>
      <c r="E2228" s="2">
        <v>11702</v>
      </c>
      <c r="F2228" t="s">
        <v>36</v>
      </c>
      <c r="G2228">
        <v>157</v>
      </c>
      <c r="H2228">
        <v>9</v>
      </c>
      <c r="I2228">
        <v>1.1691849999999999</v>
      </c>
    </row>
    <row r="2229" spans="1:9" x14ac:dyDescent="0.25">
      <c r="A2229">
        <v>2110030055</v>
      </c>
      <c r="B2229" t="s">
        <v>1156</v>
      </c>
      <c r="C2229" t="s">
        <v>137</v>
      </c>
      <c r="D2229" t="s">
        <v>138</v>
      </c>
      <c r="E2229" s="2">
        <v>9</v>
      </c>
      <c r="F2229" t="s">
        <v>36</v>
      </c>
      <c r="G2229">
        <v>0</v>
      </c>
      <c r="H2229">
        <v>6</v>
      </c>
      <c r="I2229">
        <v>1.1888890000000001</v>
      </c>
    </row>
    <row r="2230" spans="1:9" x14ac:dyDescent="0.25">
      <c r="A2230">
        <v>2110030055</v>
      </c>
      <c r="B2230" t="s">
        <v>1156</v>
      </c>
      <c r="C2230" t="s">
        <v>151</v>
      </c>
      <c r="D2230" t="s">
        <v>152</v>
      </c>
      <c r="E2230" s="2">
        <v>192</v>
      </c>
      <c r="F2230" t="s">
        <v>36</v>
      </c>
      <c r="G2230">
        <v>0</v>
      </c>
      <c r="H2230">
        <v>0</v>
      </c>
      <c r="I2230">
        <v>1.176302</v>
      </c>
    </row>
    <row r="2231" spans="1:9" x14ac:dyDescent="0.25">
      <c r="A2231">
        <v>2110030055</v>
      </c>
      <c r="B2231" t="s">
        <v>1156</v>
      </c>
      <c r="C2231" t="s">
        <v>139</v>
      </c>
      <c r="D2231" t="s">
        <v>140</v>
      </c>
      <c r="E2231" s="2">
        <v>9</v>
      </c>
      <c r="F2231" t="s">
        <v>36</v>
      </c>
      <c r="G2231">
        <v>9</v>
      </c>
      <c r="H2231">
        <v>0</v>
      </c>
      <c r="I2231">
        <v>1.1988890000000001</v>
      </c>
    </row>
    <row r="2232" spans="1:9" x14ac:dyDescent="0.25">
      <c r="A2232">
        <v>2110030056</v>
      </c>
      <c r="B2232" t="s">
        <v>1157</v>
      </c>
      <c r="C2232" t="s">
        <v>199</v>
      </c>
      <c r="D2232" t="s">
        <v>200</v>
      </c>
      <c r="E2232" s="2">
        <v>24</v>
      </c>
      <c r="F2232" t="s">
        <v>36</v>
      </c>
      <c r="G2232">
        <v>0</v>
      </c>
      <c r="H2232">
        <v>0</v>
      </c>
      <c r="I2232">
        <v>1.1666669999999999</v>
      </c>
    </row>
    <row r="2233" spans="1:9" x14ac:dyDescent="0.25">
      <c r="A2233">
        <v>2110030056</v>
      </c>
      <c r="B2233" t="s">
        <v>1157</v>
      </c>
      <c r="C2233" t="s">
        <v>130</v>
      </c>
      <c r="D2233" t="s">
        <v>131</v>
      </c>
      <c r="E2233" s="2">
        <v>44755</v>
      </c>
      <c r="F2233" t="s">
        <v>36</v>
      </c>
      <c r="G2233">
        <v>80</v>
      </c>
      <c r="H2233">
        <v>0</v>
      </c>
      <c r="I2233">
        <v>1.166555</v>
      </c>
    </row>
    <row r="2234" spans="1:9" x14ac:dyDescent="0.25">
      <c r="A2234">
        <v>2110030056</v>
      </c>
      <c r="B2234" t="s">
        <v>1157</v>
      </c>
      <c r="C2234" t="s">
        <v>126</v>
      </c>
      <c r="D2234" t="s">
        <v>127</v>
      </c>
      <c r="E2234" s="2">
        <v>8</v>
      </c>
      <c r="F2234" t="s">
        <v>36</v>
      </c>
      <c r="G2234">
        <v>0</v>
      </c>
      <c r="H2234">
        <v>0</v>
      </c>
      <c r="I2234">
        <v>1.21875</v>
      </c>
    </row>
    <row r="2235" spans="1:9" x14ac:dyDescent="0.25">
      <c r="A2235">
        <v>2110030056</v>
      </c>
      <c r="B2235" t="s">
        <v>1157</v>
      </c>
      <c r="C2235" t="s">
        <v>137</v>
      </c>
      <c r="D2235" t="s">
        <v>138</v>
      </c>
      <c r="E2235" s="2">
        <v>9</v>
      </c>
      <c r="F2235" t="s">
        <v>36</v>
      </c>
      <c r="G2235">
        <v>0</v>
      </c>
      <c r="H2235" s="2">
        <v>1</v>
      </c>
      <c r="I2235">
        <v>1.1966669999999999</v>
      </c>
    </row>
    <row r="2236" spans="1:9" x14ac:dyDescent="0.25">
      <c r="A2236">
        <v>2110030056</v>
      </c>
      <c r="B2236" t="s">
        <v>1157</v>
      </c>
      <c r="C2236" t="s">
        <v>151</v>
      </c>
      <c r="D2236" t="s">
        <v>152</v>
      </c>
      <c r="E2236" s="2">
        <v>241</v>
      </c>
      <c r="F2236" t="s">
        <v>36</v>
      </c>
      <c r="G2236" s="2">
        <v>0</v>
      </c>
      <c r="H2236" s="2">
        <v>0</v>
      </c>
      <c r="I2236">
        <v>1.1689210000000001</v>
      </c>
    </row>
    <row r="2237" spans="1:9" x14ac:dyDescent="0.25">
      <c r="A2237">
        <v>2110030057</v>
      </c>
      <c r="B2237" t="s">
        <v>1158</v>
      </c>
      <c r="C2237" t="s">
        <v>130</v>
      </c>
      <c r="D2237" t="s">
        <v>131</v>
      </c>
      <c r="E2237" s="2">
        <v>30929</v>
      </c>
      <c r="F2237" t="s">
        <v>36</v>
      </c>
      <c r="G2237">
        <v>128</v>
      </c>
      <c r="H2237">
        <v>0</v>
      </c>
      <c r="I2237">
        <v>1.1097680000000001</v>
      </c>
    </row>
    <row r="2238" spans="1:9" x14ac:dyDescent="0.25">
      <c r="A2238">
        <v>2110030057</v>
      </c>
      <c r="B2238" t="s">
        <v>1158</v>
      </c>
      <c r="C2238" t="s">
        <v>137</v>
      </c>
      <c r="D2238" t="s">
        <v>138</v>
      </c>
      <c r="E2238" s="2">
        <v>9</v>
      </c>
      <c r="F2238" t="s">
        <v>36</v>
      </c>
      <c r="G2238">
        <v>0</v>
      </c>
      <c r="H2238">
        <v>1</v>
      </c>
      <c r="I2238">
        <v>1.175556</v>
      </c>
    </row>
    <row r="2239" spans="1:9" x14ac:dyDescent="0.25">
      <c r="A2239">
        <v>2110030057</v>
      </c>
      <c r="B2239" t="s">
        <v>1158</v>
      </c>
      <c r="C2239" t="s">
        <v>151</v>
      </c>
      <c r="D2239" t="s">
        <v>152</v>
      </c>
      <c r="E2239" s="2">
        <v>240</v>
      </c>
      <c r="F2239" t="s">
        <v>36</v>
      </c>
      <c r="G2239" s="2">
        <v>0</v>
      </c>
      <c r="H2239">
        <v>0</v>
      </c>
      <c r="I2239">
        <v>1.1080829999999999</v>
      </c>
    </row>
    <row r="2240" spans="1:9" x14ac:dyDescent="0.25">
      <c r="A2240">
        <v>2110030058</v>
      </c>
      <c r="B2240" t="s">
        <v>1159</v>
      </c>
      <c r="C2240" t="s">
        <v>130</v>
      </c>
      <c r="D2240" t="s">
        <v>131</v>
      </c>
      <c r="E2240" s="2">
        <v>43190</v>
      </c>
      <c r="F2240" t="s">
        <v>36</v>
      </c>
      <c r="G2240">
        <v>344</v>
      </c>
      <c r="H2240">
        <v>0</v>
      </c>
      <c r="I2240">
        <v>1.307707</v>
      </c>
    </row>
    <row r="2241" spans="1:9" x14ac:dyDescent="0.25">
      <c r="A2241">
        <v>2110030058</v>
      </c>
      <c r="B2241" t="s">
        <v>1159</v>
      </c>
      <c r="C2241" t="s">
        <v>126</v>
      </c>
      <c r="D2241" t="s">
        <v>127</v>
      </c>
      <c r="E2241" s="2">
        <v>12</v>
      </c>
      <c r="F2241" t="s">
        <v>36</v>
      </c>
      <c r="G2241">
        <v>0</v>
      </c>
      <c r="H2241">
        <v>0</v>
      </c>
      <c r="I2241">
        <v>1.349167</v>
      </c>
    </row>
    <row r="2242" spans="1:9" x14ac:dyDescent="0.25">
      <c r="A2242">
        <v>2110030058</v>
      </c>
      <c r="B2242" t="s">
        <v>1159</v>
      </c>
      <c r="C2242" t="s">
        <v>137</v>
      </c>
      <c r="D2242" t="s">
        <v>138</v>
      </c>
      <c r="E2242" s="2">
        <v>9</v>
      </c>
      <c r="F2242" t="s">
        <v>36</v>
      </c>
      <c r="G2242">
        <v>0</v>
      </c>
      <c r="H2242" s="2">
        <v>1</v>
      </c>
      <c r="I2242">
        <v>1.3277779999999999</v>
      </c>
    </row>
    <row r="2243" spans="1:9" x14ac:dyDescent="0.25">
      <c r="A2243">
        <v>2110030058</v>
      </c>
      <c r="B2243" t="s">
        <v>1159</v>
      </c>
      <c r="C2243" t="s">
        <v>151</v>
      </c>
      <c r="D2243" t="s">
        <v>152</v>
      </c>
      <c r="E2243" s="2">
        <v>253</v>
      </c>
      <c r="F2243" t="s">
        <v>36</v>
      </c>
      <c r="G2243">
        <v>0</v>
      </c>
      <c r="H2243">
        <v>480</v>
      </c>
      <c r="I2243">
        <v>1.3122130000000001</v>
      </c>
    </row>
    <row r="2244" spans="1:9" x14ac:dyDescent="0.25">
      <c r="A2244">
        <v>2110030058</v>
      </c>
      <c r="B2244" t="s">
        <v>1159</v>
      </c>
      <c r="C2244" t="s">
        <v>139</v>
      </c>
      <c r="D2244" t="s">
        <v>140</v>
      </c>
      <c r="E2244" s="2">
        <v>0</v>
      </c>
      <c r="F2244" t="s">
        <v>36</v>
      </c>
      <c r="G2244">
        <v>240</v>
      </c>
      <c r="H2244">
        <v>0</v>
      </c>
      <c r="I2244">
        <v>1.42648</v>
      </c>
    </row>
    <row r="2245" spans="1:9" x14ac:dyDescent="0.25">
      <c r="A2245">
        <v>2110030059</v>
      </c>
      <c r="B2245" t="s">
        <v>1160</v>
      </c>
      <c r="C2245" t="s">
        <v>199</v>
      </c>
      <c r="D2245" t="s">
        <v>200</v>
      </c>
      <c r="E2245" s="2">
        <v>24</v>
      </c>
      <c r="F2245" t="s">
        <v>36</v>
      </c>
      <c r="G2245">
        <v>0</v>
      </c>
      <c r="H2245">
        <v>0</v>
      </c>
      <c r="I2245">
        <v>1.1975</v>
      </c>
    </row>
    <row r="2246" spans="1:9" x14ac:dyDescent="0.25">
      <c r="A2246">
        <v>2110030059</v>
      </c>
      <c r="B2246" t="s">
        <v>1160</v>
      </c>
      <c r="C2246" t="s">
        <v>130</v>
      </c>
      <c r="D2246" t="s">
        <v>131</v>
      </c>
      <c r="E2246" s="2">
        <v>33132</v>
      </c>
      <c r="F2246" t="s">
        <v>36</v>
      </c>
      <c r="G2246">
        <v>152</v>
      </c>
      <c r="H2246">
        <v>0</v>
      </c>
      <c r="I2246">
        <v>1.2118530000000001</v>
      </c>
    </row>
    <row r="2247" spans="1:9" x14ac:dyDescent="0.25">
      <c r="A2247">
        <v>2110030059</v>
      </c>
      <c r="B2247" t="s">
        <v>1160</v>
      </c>
      <c r="C2247" t="s">
        <v>126</v>
      </c>
      <c r="D2247" t="s">
        <v>127</v>
      </c>
      <c r="E2247" s="2">
        <v>1</v>
      </c>
      <c r="F2247" t="s">
        <v>36</v>
      </c>
      <c r="G2247">
        <v>0</v>
      </c>
      <c r="H2247">
        <v>0</v>
      </c>
      <c r="I2247">
        <v>1.18</v>
      </c>
    </row>
    <row r="2248" spans="1:9" x14ac:dyDescent="0.25">
      <c r="A2248">
        <v>2110030059</v>
      </c>
      <c r="B2248" t="s">
        <v>1160</v>
      </c>
      <c r="C2248" t="s">
        <v>137</v>
      </c>
      <c r="D2248" t="s">
        <v>138</v>
      </c>
      <c r="E2248" s="2">
        <v>11</v>
      </c>
      <c r="F2248" t="s">
        <v>36</v>
      </c>
      <c r="G2248">
        <v>0</v>
      </c>
      <c r="H2248">
        <v>1</v>
      </c>
      <c r="I2248">
        <v>1.1981820000000001</v>
      </c>
    </row>
    <row r="2249" spans="1:9" x14ac:dyDescent="0.25">
      <c r="A2249">
        <v>2110030059</v>
      </c>
      <c r="B2249" t="s">
        <v>1160</v>
      </c>
      <c r="C2249" t="s">
        <v>151</v>
      </c>
      <c r="D2249" t="s">
        <v>152</v>
      </c>
      <c r="E2249" s="2">
        <v>252</v>
      </c>
      <c r="F2249" t="s">
        <v>36</v>
      </c>
      <c r="G2249">
        <v>0</v>
      </c>
      <c r="H2249">
        <v>0</v>
      </c>
      <c r="I2249">
        <v>1.197619</v>
      </c>
    </row>
    <row r="2250" spans="1:9" x14ac:dyDescent="0.25">
      <c r="A2250">
        <v>2110030060</v>
      </c>
      <c r="B2250" t="s">
        <v>1161</v>
      </c>
      <c r="C2250" t="s">
        <v>130</v>
      </c>
      <c r="D2250" t="s">
        <v>131</v>
      </c>
      <c r="E2250" s="2">
        <v>1406</v>
      </c>
      <c r="F2250" t="s">
        <v>36</v>
      </c>
      <c r="G2250" s="2">
        <v>52</v>
      </c>
      <c r="H2250" s="2">
        <v>1592</v>
      </c>
      <c r="I2250">
        <v>1.2649999999999999</v>
      </c>
    </row>
    <row r="2251" spans="1:9" x14ac:dyDescent="0.25">
      <c r="A2251">
        <v>2110030060</v>
      </c>
      <c r="B2251" t="s">
        <v>1161</v>
      </c>
      <c r="C2251" t="s">
        <v>126</v>
      </c>
      <c r="D2251" t="s">
        <v>127</v>
      </c>
      <c r="E2251" s="2">
        <v>2736</v>
      </c>
      <c r="F2251" t="s">
        <v>36</v>
      </c>
      <c r="G2251">
        <v>0</v>
      </c>
      <c r="H2251">
        <v>0</v>
      </c>
      <c r="I2251">
        <v>1.230175</v>
      </c>
    </row>
    <row r="2252" spans="1:9" x14ac:dyDescent="0.25">
      <c r="A2252">
        <v>2110030060</v>
      </c>
      <c r="B2252" t="s">
        <v>1161</v>
      </c>
      <c r="C2252" t="s">
        <v>142</v>
      </c>
      <c r="D2252" t="s">
        <v>143</v>
      </c>
      <c r="E2252" s="2">
        <v>0</v>
      </c>
      <c r="F2252" t="s">
        <v>36</v>
      </c>
      <c r="G2252" s="2">
        <v>1592</v>
      </c>
      <c r="H2252">
        <v>0</v>
      </c>
      <c r="I2252">
        <v>1.2649999999999999</v>
      </c>
    </row>
    <row r="2253" spans="1:9" x14ac:dyDescent="0.25">
      <c r="A2253">
        <v>2110030060</v>
      </c>
      <c r="B2253" t="s">
        <v>1161</v>
      </c>
      <c r="C2253" t="s">
        <v>137</v>
      </c>
      <c r="D2253" t="s">
        <v>138</v>
      </c>
      <c r="E2253" s="2">
        <v>6</v>
      </c>
      <c r="F2253" t="s">
        <v>36</v>
      </c>
      <c r="G2253">
        <v>0</v>
      </c>
      <c r="H2253" s="2">
        <v>1</v>
      </c>
      <c r="I2253">
        <v>1.243333</v>
      </c>
    </row>
    <row r="2254" spans="1:9" x14ac:dyDescent="0.25">
      <c r="A2254">
        <v>2110030078</v>
      </c>
      <c r="B2254" t="s">
        <v>1162</v>
      </c>
      <c r="C2254" t="s">
        <v>130</v>
      </c>
      <c r="D2254" t="s">
        <v>131</v>
      </c>
      <c r="E2254" s="2">
        <v>2559</v>
      </c>
      <c r="F2254" t="s">
        <v>36</v>
      </c>
      <c r="G2254">
        <v>65</v>
      </c>
      <c r="H2254">
        <v>2</v>
      </c>
      <c r="I2254">
        <v>1.1930989999999999</v>
      </c>
    </row>
    <row r="2255" spans="1:9" x14ac:dyDescent="0.25">
      <c r="A2255">
        <v>2110030078</v>
      </c>
      <c r="B2255" t="s">
        <v>1162</v>
      </c>
      <c r="C2255" t="s">
        <v>126</v>
      </c>
      <c r="D2255" t="s">
        <v>127</v>
      </c>
      <c r="E2255" s="2">
        <v>5</v>
      </c>
      <c r="F2255" t="s">
        <v>36</v>
      </c>
      <c r="G2255">
        <v>0</v>
      </c>
      <c r="H2255" s="2">
        <v>0</v>
      </c>
      <c r="I2255">
        <v>1.27</v>
      </c>
    </row>
    <row r="2256" spans="1:9" x14ac:dyDescent="0.25">
      <c r="A2256">
        <v>2110030078</v>
      </c>
      <c r="B2256" t="s">
        <v>1162</v>
      </c>
      <c r="C2256" t="s">
        <v>137</v>
      </c>
      <c r="D2256" t="s">
        <v>138</v>
      </c>
      <c r="E2256" s="2">
        <v>8</v>
      </c>
      <c r="F2256" t="s">
        <v>36</v>
      </c>
      <c r="G2256">
        <v>0</v>
      </c>
      <c r="H2256">
        <v>2</v>
      </c>
      <c r="I2256">
        <v>1.2075</v>
      </c>
    </row>
    <row r="2257" spans="1:9" x14ac:dyDescent="0.25">
      <c r="A2257">
        <v>2110030078</v>
      </c>
      <c r="B2257" t="s">
        <v>1162</v>
      </c>
      <c r="C2257" t="s">
        <v>139</v>
      </c>
      <c r="D2257" t="s">
        <v>140</v>
      </c>
      <c r="E2257" s="2">
        <v>2</v>
      </c>
      <c r="F2257" t="s">
        <v>36</v>
      </c>
      <c r="G2257">
        <v>2</v>
      </c>
      <c r="H2257">
        <v>0</v>
      </c>
      <c r="I2257">
        <v>1.165</v>
      </c>
    </row>
    <row r="2258" spans="1:9" x14ac:dyDescent="0.25">
      <c r="A2258">
        <v>2110030079</v>
      </c>
      <c r="B2258" t="s">
        <v>1163</v>
      </c>
      <c r="C2258" t="s">
        <v>199</v>
      </c>
      <c r="D2258" t="s">
        <v>200</v>
      </c>
      <c r="E2258" s="2">
        <v>24</v>
      </c>
      <c r="F2258" t="s">
        <v>36</v>
      </c>
      <c r="G2258">
        <v>0</v>
      </c>
      <c r="H2258" s="2">
        <v>0</v>
      </c>
      <c r="I2258">
        <v>1.140417</v>
      </c>
    </row>
    <row r="2259" spans="1:9" x14ac:dyDescent="0.25">
      <c r="A2259">
        <v>2110030079</v>
      </c>
      <c r="B2259" t="s">
        <v>1163</v>
      </c>
      <c r="C2259" t="s">
        <v>130</v>
      </c>
      <c r="D2259" t="s">
        <v>131</v>
      </c>
      <c r="E2259" s="2">
        <v>5658</v>
      </c>
      <c r="F2259" t="s">
        <v>36</v>
      </c>
      <c r="G2259">
        <v>88</v>
      </c>
      <c r="H2259">
        <v>0</v>
      </c>
      <c r="I2259">
        <v>1.140493</v>
      </c>
    </row>
    <row r="2260" spans="1:9" x14ac:dyDescent="0.25">
      <c r="A2260">
        <v>2110030079</v>
      </c>
      <c r="B2260" t="s">
        <v>1163</v>
      </c>
      <c r="C2260" t="s">
        <v>126</v>
      </c>
      <c r="D2260" t="s">
        <v>127</v>
      </c>
      <c r="E2260" s="2">
        <v>60</v>
      </c>
      <c r="F2260" t="s">
        <v>36</v>
      </c>
      <c r="G2260">
        <v>0</v>
      </c>
      <c r="H2260">
        <v>0</v>
      </c>
      <c r="I2260">
        <v>1.287833</v>
      </c>
    </row>
    <row r="2261" spans="1:9" x14ac:dyDescent="0.25">
      <c r="A2261">
        <v>2110030079</v>
      </c>
      <c r="B2261" t="s">
        <v>1163</v>
      </c>
      <c r="C2261" t="s">
        <v>137</v>
      </c>
      <c r="D2261" t="s">
        <v>138</v>
      </c>
      <c r="E2261" s="2">
        <v>6</v>
      </c>
      <c r="F2261" t="s">
        <v>36</v>
      </c>
      <c r="G2261">
        <v>0</v>
      </c>
      <c r="H2261">
        <v>1</v>
      </c>
      <c r="I2261">
        <v>1.163333</v>
      </c>
    </row>
    <row r="2262" spans="1:9" x14ac:dyDescent="0.25">
      <c r="A2262">
        <v>2110030079</v>
      </c>
      <c r="B2262" t="s">
        <v>1163</v>
      </c>
      <c r="C2262" t="s">
        <v>151</v>
      </c>
      <c r="D2262" t="s">
        <v>152</v>
      </c>
      <c r="E2262" s="2">
        <v>192</v>
      </c>
      <c r="F2262" t="s">
        <v>36</v>
      </c>
      <c r="G2262">
        <v>0</v>
      </c>
      <c r="H2262">
        <v>0</v>
      </c>
      <c r="I2262">
        <v>1.1405209999999999</v>
      </c>
    </row>
    <row r="2263" spans="1:9" x14ac:dyDescent="0.25">
      <c r="A2263">
        <v>2110030080</v>
      </c>
      <c r="B2263" t="s">
        <v>1164</v>
      </c>
      <c r="C2263" t="s">
        <v>130</v>
      </c>
      <c r="D2263" t="s">
        <v>131</v>
      </c>
      <c r="E2263" s="2">
        <v>1799</v>
      </c>
      <c r="F2263" t="s">
        <v>36</v>
      </c>
      <c r="G2263" s="2">
        <v>64</v>
      </c>
      <c r="H2263">
        <v>0</v>
      </c>
      <c r="I2263">
        <v>1.036165</v>
      </c>
    </row>
    <row r="2264" spans="1:9" x14ac:dyDescent="0.25">
      <c r="A2264">
        <v>2110030080</v>
      </c>
      <c r="B2264" t="s">
        <v>1164</v>
      </c>
      <c r="C2264" t="s">
        <v>126</v>
      </c>
      <c r="D2264" t="s">
        <v>127</v>
      </c>
      <c r="E2264" s="2">
        <v>30</v>
      </c>
      <c r="F2264" t="s">
        <v>36</v>
      </c>
      <c r="G2264" s="2">
        <v>0</v>
      </c>
      <c r="H2264">
        <v>0</v>
      </c>
      <c r="I2264">
        <v>1.149667</v>
      </c>
    </row>
    <row r="2265" spans="1:9" x14ac:dyDescent="0.25">
      <c r="A2265">
        <v>2110030080</v>
      </c>
      <c r="B2265" t="s">
        <v>1164</v>
      </c>
      <c r="C2265" t="s">
        <v>137</v>
      </c>
      <c r="D2265" t="s">
        <v>138</v>
      </c>
      <c r="E2265" s="2">
        <v>6</v>
      </c>
      <c r="F2265" t="s">
        <v>36</v>
      </c>
      <c r="G2265">
        <v>0</v>
      </c>
      <c r="H2265">
        <v>1</v>
      </c>
      <c r="I2265">
        <v>1.036667</v>
      </c>
    </row>
    <row r="2266" spans="1:9" x14ac:dyDescent="0.25">
      <c r="A2266">
        <v>2110030081</v>
      </c>
      <c r="B2266" t="s">
        <v>1165</v>
      </c>
      <c r="C2266" t="s">
        <v>130</v>
      </c>
      <c r="D2266" t="s">
        <v>131</v>
      </c>
      <c r="E2266" s="2">
        <v>6784</v>
      </c>
      <c r="F2266" t="s">
        <v>36</v>
      </c>
      <c r="G2266">
        <v>91</v>
      </c>
      <c r="H2266">
        <v>11</v>
      </c>
      <c r="I2266">
        <v>1.1174999999999999</v>
      </c>
    </row>
    <row r="2267" spans="1:9" x14ac:dyDescent="0.25">
      <c r="A2267">
        <v>2110030081</v>
      </c>
      <c r="B2267" t="s">
        <v>1165</v>
      </c>
      <c r="C2267" t="s">
        <v>137</v>
      </c>
      <c r="D2267" t="s">
        <v>138</v>
      </c>
      <c r="E2267" s="2">
        <v>9</v>
      </c>
      <c r="F2267" t="s">
        <v>36</v>
      </c>
      <c r="G2267">
        <v>0</v>
      </c>
      <c r="H2267">
        <v>1</v>
      </c>
      <c r="I2267">
        <v>1.191111</v>
      </c>
    </row>
    <row r="2268" spans="1:9" x14ac:dyDescent="0.25">
      <c r="A2268">
        <v>2110030081</v>
      </c>
      <c r="B2268" t="s">
        <v>1165</v>
      </c>
      <c r="C2268" t="s">
        <v>139</v>
      </c>
      <c r="D2268" t="s">
        <v>140</v>
      </c>
      <c r="E2268" s="2">
        <v>11</v>
      </c>
      <c r="F2268" t="s">
        <v>36</v>
      </c>
      <c r="G2268">
        <v>11</v>
      </c>
      <c r="H2268">
        <v>0</v>
      </c>
      <c r="I2268">
        <v>1.109091</v>
      </c>
    </row>
    <row r="2269" spans="1:9" x14ac:dyDescent="0.25">
      <c r="A2269">
        <v>2110030082</v>
      </c>
      <c r="B2269" t="s">
        <v>1166</v>
      </c>
      <c r="C2269" t="s">
        <v>130</v>
      </c>
      <c r="D2269" t="s">
        <v>131</v>
      </c>
      <c r="E2269" s="2">
        <v>1555</v>
      </c>
      <c r="F2269" t="s">
        <v>36</v>
      </c>
      <c r="G2269">
        <v>91</v>
      </c>
      <c r="H2269">
        <v>15</v>
      </c>
      <c r="I2269">
        <v>1.1518649999999999</v>
      </c>
    </row>
    <row r="2270" spans="1:9" x14ac:dyDescent="0.25">
      <c r="A2270">
        <v>2110030082</v>
      </c>
      <c r="B2270" t="s">
        <v>1166</v>
      </c>
      <c r="C2270" t="s">
        <v>126</v>
      </c>
      <c r="D2270" t="s">
        <v>127</v>
      </c>
      <c r="E2270" s="2">
        <v>1469</v>
      </c>
      <c r="F2270" t="s">
        <v>36</v>
      </c>
      <c r="G2270">
        <v>0</v>
      </c>
      <c r="H2270">
        <v>0</v>
      </c>
      <c r="I2270">
        <v>1.2636350000000001</v>
      </c>
    </row>
    <row r="2271" spans="1:9" x14ac:dyDescent="0.25">
      <c r="A2271">
        <v>2110030082</v>
      </c>
      <c r="B2271" t="s">
        <v>1166</v>
      </c>
      <c r="C2271" t="s">
        <v>137</v>
      </c>
      <c r="D2271" t="s">
        <v>138</v>
      </c>
      <c r="E2271" s="2">
        <v>9</v>
      </c>
      <c r="F2271" t="s">
        <v>36</v>
      </c>
      <c r="G2271">
        <v>0</v>
      </c>
      <c r="H2271">
        <v>1</v>
      </c>
      <c r="I2271">
        <v>1.207778</v>
      </c>
    </row>
    <row r="2272" spans="1:9" x14ac:dyDescent="0.25">
      <c r="A2272">
        <v>2110030082</v>
      </c>
      <c r="B2272" t="s">
        <v>1166</v>
      </c>
      <c r="C2272" t="s">
        <v>139</v>
      </c>
      <c r="D2272" t="s">
        <v>140</v>
      </c>
      <c r="E2272" s="2">
        <v>15</v>
      </c>
      <c r="F2272" t="s">
        <v>36</v>
      </c>
      <c r="G2272">
        <v>15</v>
      </c>
      <c r="H2272">
        <v>0</v>
      </c>
      <c r="I2272">
        <v>1.1519999999999999</v>
      </c>
    </row>
    <row r="2273" spans="1:9" x14ac:dyDescent="0.25">
      <c r="A2273">
        <v>2110030117</v>
      </c>
      <c r="B2273" t="s">
        <v>1167</v>
      </c>
      <c r="C2273" t="s">
        <v>130</v>
      </c>
      <c r="D2273" t="s">
        <v>131</v>
      </c>
      <c r="E2273" s="2">
        <v>2857</v>
      </c>
      <c r="F2273" t="s">
        <v>36</v>
      </c>
      <c r="G2273">
        <v>49</v>
      </c>
      <c r="H2273">
        <v>0</v>
      </c>
      <c r="I2273">
        <v>1.5108440000000001</v>
      </c>
    </row>
    <row r="2274" spans="1:9" x14ac:dyDescent="0.25">
      <c r="A2274">
        <v>2110030117</v>
      </c>
      <c r="B2274" t="s">
        <v>1167</v>
      </c>
      <c r="C2274" t="s">
        <v>126</v>
      </c>
      <c r="D2274" t="s">
        <v>127</v>
      </c>
      <c r="E2274" s="2">
        <v>339</v>
      </c>
      <c r="F2274" t="s">
        <v>36</v>
      </c>
      <c r="G2274">
        <v>0</v>
      </c>
      <c r="H2274">
        <v>0</v>
      </c>
      <c r="I2274">
        <v>1.4392039999999999</v>
      </c>
    </row>
    <row r="2275" spans="1:9" x14ac:dyDescent="0.25">
      <c r="A2275">
        <v>2110030117</v>
      </c>
      <c r="B2275" t="s">
        <v>1167</v>
      </c>
      <c r="C2275" t="s">
        <v>137</v>
      </c>
      <c r="D2275" t="s">
        <v>138</v>
      </c>
      <c r="E2275" s="2">
        <v>6</v>
      </c>
      <c r="F2275" t="s">
        <v>36</v>
      </c>
      <c r="G2275">
        <v>0</v>
      </c>
      <c r="H2275">
        <v>1</v>
      </c>
      <c r="I2275">
        <v>1.463333</v>
      </c>
    </row>
    <row r="2276" spans="1:9" x14ac:dyDescent="0.25">
      <c r="A2276">
        <v>2110030118</v>
      </c>
      <c r="B2276" t="s">
        <v>1168</v>
      </c>
      <c r="C2276" t="s">
        <v>130</v>
      </c>
      <c r="D2276" t="s">
        <v>131</v>
      </c>
      <c r="E2276" s="2">
        <v>4026</v>
      </c>
      <c r="F2276" t="s">
        <v>36</v>
      </c>
      <c r="G2276">
        <v>64</v>
      </c>
      <c r="H2276">
        <v>0</v>
      </c>
      <c r="I2276">
        <v>1.326875</v>
      </c>
    </row>
    <row r="2277" spans="1:9" x14ac:dyDescent="0.25">
      <c r="A2277">
        <v>2110030118</v>
      </c>
      <c r="B2277" t="s">
        <v>1168</v>
      </c>
      <c r="C2277" t="s">
        <v>126</v>
      </c>
      <c r="D2277" t="s">
        <v>127</v>
      </c>
      <c r="E2277" s="2">
        <v>1154</v>
      </c>
      <c r="F2277" t="s">
        <v>36</v>
      </c>
      <c r="G2277">
        <v>0</v>
      </c>
      <c r="H2277" s="2">
        <v>0</v>
      </c>
      <c r="I2277">
        <v>1.2777639999999999</v>
      </c>
    </row>
    <row r="2278" spans="1:9" x14ac:dyDescent="0.25">
      <c r="A2278">
        <v>2110030118</v>
      </c>
      <c r="B2278" t="s">
        <v>1168</v>
      </c>
      <c r="C2278" t="s">
        <v>137</v>
      </c>
      <c r="D2278" t="s">
        <v>138</v>
      </c>
      <c r="E2278" s="2">
        <v>6</v>
      </c>
      <c r="F2278" t="s">
        <v>36</v>
      </c>
      <c r="G2278" s="2">
        <v>0</v>
      </c>
      <c r="H2278">
        <v>1</v>
      </c>
      <c r="I2278">
        <v>1.2516670000000001</v>
      </c>
    </row>
    <row r="2279" spans="1:9" x14ac:dyDescent="0.25">
      <c r="A2279">
        <v>2110030119</v>
      </c>
      <c r="B2279" t="s">
        <v>1169</v>
      </c>
      <c r="C2279" t="s">
        <v>130</v>
      </c>
      <c r="D2279" t="s">
        <v>131</v>
      </c>
      <c r="E2279" s="2">
        <v>979</v>
      </c>
      <c r="F2279" t="s">
        <v>36</v>
      </c>
      <c r="G2279">
        <v>39</v>
      </c>
      <c r="H2279">
        <v>0</v>
      </c>
      <c r="I2279">
        <v>1.2703169999999999</v>
      </c>
    </row>
    <row r="2280" spans="1:9" x14ac:dyDescent="0.25">
      <c r="A2280">
        <v>2110030119</v>
      </c>
      <c r="B2280" t="s">
        <v>1169</v>
      </c>
      <c r="C2280" t="s">
        <v>126</v>
      </c>
      <c r="D2280" t="s">
        <v>127</v>
      </c>
      <c r="E2280" s="2">
        <v>9</v>
      </c>
      <c r="F2280" t="s">
        <v>36</v>
      </c>
      <c r="G2280" s="2">
        <v>0</v>
      </c>
      <c r="H2280" s="2">
        <v>0</v>
      </c>
      <c r="I2280">
        <v>1.2933330000000001</v>
      </c>
    </row>
    <row r="2281" spans="1:9" x14ac:dyDescent="0.25">
      <c r="A2281">
        <v>2110030119</v>
      </c>
      <c r="B2281" t="s">
        <v>1169</v>
      </c>
      <c r="C2281" t="s">
        <v>137</v>
      </c>
      <c r="D2281" t="s">
        <v>138</v>
      </c>
      <c r="E2281" s="2">
        <v>9</v>
      </c>
      <c r="F2281" t="s">
        <v>36</v>
      </c>
      <c r="G2281">
        <v>0</v>
      </c>
      <c r="H2281">
        <v>0</v>
      </c>
      <c r="I2281">
        <v>1.2788889999999999</v>
      </c>
    </row>
    <row r="2282" spans="1:9" x14ac:dyDescent="0.25">
      <c r="A2282">
        <v>2110030120</v>
      </c>
      <c r="B2282" t="s">
        <v>1170</v>
      </c>
      <c r="C2282" t="s">
        <v>130</v>
      </c>
      <c r="D2282" t="s">
        <v>131</v>
      </c>
      <c r="E2282" s="2">
        <v>2921</v>
      </c>
      <c r="F2282" t="s">
        <v>36</v>
      </c>
      <c r="G2282">
        <v>24</v>
      </c>
      <c r="H2282">
        <v>0</v>
      </c>
      <c r="I2282">
        <v>2.811051</v>
      </c>
    </row>
    <row r="2283" spans="1:9" x14ac:dyDescent="0.25">
      <c r="A2283">
        <v>2110030120</v>
      </c>
      <c r="B2283" t="s">
        <v>1170</v>
      </c>
      <c r="C2283" t="s">
        <v>126</v>
      </c>
      <c r="D2283" t="s">
        <v>127</v>
      </c>
      <c r="E2283" s="2">
        <v>481</v>
      </c>
      <c r="F2283" t="s">
        <v>36</v>
      </c>
      <c r="G2283" s="2">
        <v>0</v>
      </c>
      <c r="H2283" s="2">
        <v>0</v>
      </c>
      <c r="I2283">
        <v>2.884137</v>
      </c>
    </row>
    <row r="2284" spans="1:9" x14ac:dyDescent="0.25">
      <c r="A2284">
        <v>2110030121</v>
      </c>
      <c r="B2284" t="s">
        <v>1171</v>
      </c>
      <c r="C2284" t="s">
        <v>130</v>
      </c>
      <c r="D2284" t="s">
        <v>131</v>
      </c>
      <c r="E2284" s="2">
        <v>2516</v>
      </c>
      <c r="F2284" t="s">
        <v>36</v>
      </c>
      <c r="G2284">
        <v>6</v>
      </c>
      <c r="H2284">
        <v>4</v>
      </c>
      <c r="I2284">
        <v>2.2434620000000001</v>
      </c>
    </row>
    <row r="2285" spans="1:9" x14ac:dyDescent="0.25">
      <c r="A2285">
        <v>2110030121</v>
      </c>
      <c r="B2285" t="s">
        <v>1171</v>
      </c>
      <c r="C2285" t="s">
        <v>126</v>
      </c>
      <c r="D2285" t="s">
        <v>127</v>
      </c>
      <c r="E2285" s="2">
        <v>196</v>
      </c>
      <c r="F2285" t="s">
        <v>36</v>
      </c>
      <c r="G2285">
        <v>0</v>
      </c>
      <c r="H2285">
        <v>0</v>
      </c>
      <c r="I2285">
        <v>2.6566329999999998</v>
      </c>
    </row>
    <row r="2286" spans="1:9" x14ac:dyDescent="0.25">
      <c r="A2286">
        <v>2110030121</v>
      </c>
      <c r="B2286" t="s">
        <v>1171</v>
      </c>
      <c r="C2286" t="s">
        <v>137</v>
      </c>
      <c r="D2286" t="s">
        <v>138</v>
      </c>
      <c r="E2286" s="2">
        <v>3</v>
      </c>
      <c r="F2286" t="s">
        <v>36</v>
      </c>
      <c r="G2286">
        <v>0</v>
      </c>
      <c r="H2286">
        <v>0</v>
      </c>
      <c r="I2286">
        <v>2.2400000000000002</v>
      </c>
    </row>
    <row r="2287" spans="1:9" x14ac:dyDescent="0.25">
      <c r="A2287">
        <v>2110030121</v>
      </c>
      <c r="B2287" t="s">
        <v>1171</v>
      </c>
      <c r="C2287" t="s">
        <v>139</v>
      </c>
      <c r="D2287" t="s">
        <v>140</v>
      </c>
      <c r="E2287" s="2">
        <v>4</v>
      </c>
      <c r="F2287" t="s">
        <v>36</v>
      </c>
      <c r="G2287">
        <v>4</v>
      </c>
      <c r="H2287">
        <v>0</v>
      </c>
      <c r="I2287">
        <v>2.6575000000000002</v>
      </c>
    </row>
    <row r="2288" spans="1:9" x14ac:dyDescent="0.25">
      <c r="A2288">
        <v>2110030122</v>
      </c>
      <c r="B2288" t="s">
        <v>1172</v>
      </c>
      <c r="C2288" t="s">
        <v>130</v>
      </c>
      <c r="D2288" t="s">
        <v>131</v>
      </c>
      <c r="E2288" s="2">
        <v>3689</v>
      </c>
      <c r="F2288" t="s">
        <v>36</v>
      </c>
      <c r="G2288">
        <v>72</v>
      </c>
      <c r="H2288">
        <v>0</v>
      </c>
      <c r="I2288">
        <v>2.451044</v>
      </c>
    </row>
    <row r="2289" spans="1:9" x14ac:dyDescent="0.25">
      <c r="A2289">
        <v>2110030122</v>
      </c>
      <c r="B2289" t="s">
        <v>1172</v>
      </c>
      <c r="C2289" t="s">
        <v>126</v>
      </c>
      <c r="D2289" t="s">
        <v>127</v>
      </c>
      <c r="E2289" s="2">
        <v>142</v>
      </c>
      <c r="F2289" t="s">
        <v>36</v>
      </c>
      <c r="G2289">
        <v>0</v>
      </c>
      <c r="H2289">
        <v>0</v>
      </c>
      <c r="I2289">
        <v>2.568028</v>
      </c>
    </row>
    <row r="2290" spans="1:9" x14ac:dyDescent="0.25">
      <c r="A2290">
        <v>2110030122</v>
      </c>
      <c r="B2290" t="s">
        <v>1172</v>
      </c>
      <c r="C2290" t="s">
        <v>137</v>
      </c>
      <c r="D2290" t="s">
        <v>138</v>
      </c>
      <c r="E2290" s="2">
        <v>3</v>
      </c>
      <c r="F2290" t="s">
        <v>36</v>
      </c>
      <c r="G2290" s="2">
        <v>0</v>
      </c>
      <c r="H2290">
        <v>0</v>
      </c>
      <c r="I2290">
        <v>2.4500000000000002</v>
      </c>
    </row>
    <row r="2291" spans="1:9" x14ac:dyDescent="0.25">
      <c r="A2291">
        <v>2110030123</v>
      </c>
      <c r="B2291" t="s">
        <v>1173</v>
      </c>
      <c r="C2291" t="s">
        <v>130</v>
      </c>
      <c r="D2291" t="s">
        <v>131</v>
      </c>
      <c r="E2291" s="2">
        <v>3071</v>
      </c>
      <c r="F2291" t="s">
        <v>36</v>
      </c>
      <c r="G2291">
        <v>72</v>
      </c>
      <c r="H2291">
        <v>0</v>
      </c>
      <c r="I2291">
        <v>2.267652</v>
      </c>
    </row>
    <row r="2292" spans="1:9" x14ac:dyDescent="0.25">
      <c r="A2292">
        <v>2110030123</v>
      </c>
      <c r="B2292" t="s">
        <v>1173</v>
      </c>
      <c r="C2292" t="s">
        <v>126</v>
      </c>
      <c r="D2292" t="s">
        <v>127</v>
      </c>
      <c r="E2292" s="2">
        <v>3</v>
      </c>
      <c r="F2292" t="s">
        <v>36</v>
      </c>
      <c r="G2292">
        <v>0</v>
      </c>
      <c r="H2292">
        <v>0</v>
      </c>
      <c r="I2292">
        <v>2.733333</v>
      </c>
    </row>
    <row r="2293" spans="1:9" x14ac:dyDescent="0.25">
      <c r="A2293">
        <v>2110030123</v>
      </c>
      <c r="B2293" t="s">
        <v>1173</v>
      </c>
      <c r="C2293" t="s">
        <v>137</v>
      </c>
      <c r="D2293" t="s">
        <v>138</v>
      </c>
      <c r="E2293" s="2">
        <v>3</v>
      </c>
      <c r="F2293" t="s">
        <v>36</v>
      </c>
      <c r="G2293">
        <v>0</v>
      </c>
      <c r="H2293">
        <v>0</v>
      </c>
      <c r="I2293">
        <v>2.27</v>
      </c>
    </row>
    <row r="2294" spans="1:9" x14ac:dyDescent="0.25">
      <c r="A2294">
        <v>2110030124</v>
      </c>
      <c r="B2294" t="s">
        <v>1174</v>
      </c>
      <c r="C2294" t="s">
        <v>130</v>
      </c>
      <c r="D2294" t="s">
        <v>131</v>
      </c>
      <c r="E2294" s="2">
        <v>1892</v>
      </c>
      <c r="F2294" t="s">
        <v>36</v>
      </c>
      <c r="G2294">
        <v>72</v>
      </c>
      <c r="H2294">
        <v>0</v>
      </c>
      <c r="I2294">
        <v>2.0864590000000001</v>
      </c>
    </row>
    <row r="2295" spans="1:9" x14ac:dyDescent="0.25">
      <c r="A2295">
        <v>2110030124</v>
      </c>
      <c r="B2295" t="s">
        <v>1174</v>
      </c>
      <c r="C2295" t="s">
        <v>126</v>
      </c>
      <c r="D2295" t="s">
        <v>127</v>
      </c>
      <c r="E2295" s="2">
        <v>700</v>
      </c>
      <c r="F2295" t="s">
        <v>36</v>
      </c>
      <c r="G2295">
        <v>0</v>
      </c>
      <c r="H2295">
        <v>0</v>
      </c>
      <c r="I2295">
        <v>2.7243430000000002</v>
      </c>
    </row>
    <row r="2296" spans="1:9" x14ac:dyDescent="0.25">
      <c r="A2296">
        <v>2110030135</v>
      </c>
      <c r="B2296" t="s">
        <v>1175</v>
      </c>
      <c r="C2296" t="s">
        <v>126</v>
      </c>
      <c r="D2296" t="s">
        <v>127</v>
      </c>
      <c r="E2296" s="2">
        <v>117</v>
      </c>
      <c r="F2296" t="s">
        <v>230</v>
      </c>
      <c r="G2296">
        <v>0</v>
      </c>
      <c r="H2296">
        <v>0</v>
      </c>
      <c r="I2296">
        <v>3.0157259999999999</v>
      </c>
    </row>
    <row r="2297" spans="1:9" x14ac:dyDescent="0.25">
      <c r="A2297">
        <v>2110030155</v>
      </c>
      <c r="B2297" t="s">
        <v>1176</v>
      </c>
      <c r="C2297" t="s">
        <v>130</v>
      </c>
      <c r="D2297" t="s">
        <v>131</v>
      </c>
      <c r="E2297">
        <v>0</v>
      </c>
      <c r="F2297" t="s">
        <v>230</v>
      </c>
      <c r="G2297" s="2">
        <v>0</v>
      </c>
      <c r="H2297" s="2">
        <v>36</v>
      </c>
      <c r="I2297">
        <v>0</v>
      </c>
    </row>
    <row r="2298" spans="1:9" x14ac:dyDescent="0.25">
      <c r="A2298">
        <v>2110030155</v>
      </c>
      <c r="B2298" t="s">
        <v>1176</v>
      </c>
      <c r="C2298" t="s">
        <v>126</v>
      </c>
      <c r="D2298" t="s">
        <v>127</v>
      </c>
      <c r="E2298">
        <v>33</v>
      </c>
      <c r="F2298" t="s">
        <v>230</v>
      </c>
      <c r="G2298">
        <v>0</v>
      </c>
      <c r="H2298">
        <v>0</v>
      </c>
      <c r="I2298">
        <v>7.8166669999999998</v>
      </c>
    </row>
    <row r="2299" spans="1:9" x14ac:dyDescent="0.25">
      <c r="A2299">
        <v>2110030155</v>
      </c>
      <c r="B2299" t="s">
        <v>1176</v>
      </c>
      <c r="C2299" t="s">
        <v>139</v>
      </c>
      <c r="D2299" t="s">
        <v>140</v>
      </c>
      <c r="E2299">
        <v>36</v>
      </c>
      <c r="F2299" t="s">
        <v>230</v>
      </c>
      <c r="G2299">
        <v>36</v>
      </c>
      <c r="H2299">
        <v>0</v>
      </c>
      <c r="I2299">
        <v>7.8166669999999998</v>
      </c>
    </row>
    <row r="2300" spans="1:9" x14ac:dyDescent="0.25">
      <c r="A2300">
        <v>2110030170</v>
      </c>
      <c r="B2300" t="s">
        <v>1177</v>
      </c>
      <c r="C2300" t="s">
        <v>130</v>
      </c>
      <c r="D2300" t="s">
        <v>131</v>
      </c>
      <c r="E2300" s="2">
        <v>992</v>
      </c>
      <c r="F2300" t="s">
        <v>230</v>
      </c>
      <c r="G2300" s="2">
        <v>0</v>
      </c>
      <c r="H2300" s="2">
        <v>55</v>
      </c>
      <c r="I2300">
        <v>2.6341730000000001</v>
      </c>
    </row>
    <row r="2301" spans="1:9" x14ac:dyDescent="0.25">
      <c r="A2301">
        <v>2110030170</v>
      </c>
      <c r="B2301" t="s">
        <v>1177</v>
      </c>
      <c r="C2301" t="s">
        <v>139</v>
      </c>
      <c r="D2301" t="s">
        <v>140</v>
      </c>
      <c r="E2301" s="2">
        <v>55</v>
      </c>
      <c r="F2301" t="s">
        <v>230</v>
      </c>
      <c r="G2301">
        <v>55</v>
      </c>
      <c r="H2301">
        <v>0</v>
      </c>
      <c r="I2301">
        <v>2.9154550000000001</v>
      </c>
    </row>
    <row r="2302" spans="1:9" x14ac:dyDescent="0.25">
      <c r="A2302">
        <v>2110030171</v>
      </c>
      <c r="B2302" t="s">
        <v>1178</v>
      </c>
      <c r="C2302" t="s">
        <v>130</v>
      </c>
      <c r="D2302" t="s">
        <v>131</v>
      </c>
      <c r="E2302" s="2">
        <v>2659</v>
      </c>
      <c r="F2302" t="s">
        <v>230</v>
      </c>
      <c r="G2302">
        <v>101</v>
      </c>
      <c r="H2302">
        <v>12</v>
      </c>
      <c r="I2302">
        <v>1.696329</v>
      </c>
    </row>
    <row r="2303" spans="1:9" x14ac:dyDescent="0.25">
      <c r="A2303">
        <v>2110030171</v>
      </c>
      <c r="B2303" t="s">
        <v>1178</v>
      </c>
      <c r="C2303" t="s">
        <v>137</v>
      </c>
      <c r="D2303" t="s">
        <v>138</v>
      </c>
      <c r="E2303" s="2">
        <v>4</v>
      </c>
      <c r="F2303" t="s">
        <v>230</v>
      </c>
      <c r="G2303">
        <v>0</v>
      </c>
      <c r="H2303">
        <v>0</v>
      </c>
      <c r="I2303">
        <v>1.7</v>
      </c>
    </row>
    <row r="2304" spans="1:9" x14ac:dyDescent="0.25">
      <c r="A2304">
        <v>2110030171</v>
      </c>
      <c r="B2304" t="s">
        <v>1178</v>
      </c>
      <c r="C2304" t="s">
        <v>151</v>
      </c>
      <c r="D2304" t="s">
        <v>152</v>
      </c>
      <c r="E2304">
        <v>372</v>
      </c>
      <c r="F2304" t="s">
        <v>230</v>
      </c>
      <c r="G2304" s="2">
        <v>0</v>
      </c>
      <c r="H2304">
        <v>0</v>
      </c>
      <c r="I2304">
        <v>1.6965859999999999</v>
      </c>
    </row>
    <row r="2305" spans="1:9" x14ac:dyDescent="0.25">
      <c r="A2305">
        <v>2110030172</v>
      </c>
      <c r="B2305" t="s">
        <v>1179</v>
      </c>
      <c r="C2305" t="s">
        <v>130</v>
      </c>
      <c r="D2305" t="s">
        <v>131</v>
      </c>
      <c r="E2305" s="2">
        <v>4066</v>
      </c>
      <c r="F2305" t="s">
        <v>230</v>
      </c>
      <c r="G2305">
        <v>30</v>
      </c>
      <c r="H2305">
        <v>0</v>
      </c>
      <c r="I2305">
        <v>1.432159</v>
      </c>
    </row>
    <row r="2306" spans="1:9" x14ac:dyDescent="0.25">
      <c r="A2306">
        <v>2110030185</v>
      </c>
      <c r="B2306" t="s">
        <v>1180</v>
      </c>
      <c r="C2306" t="s">
        <v>130</v>
      </c>
      <c r="D2306" t="s">
        <v>131</v>
      </c>
      <c r="E2306" s="2">
        <v>192</v>
      </c>
      <c r="F2306" t="s">
        <v>230</v>
      </c>
      <c r="G2306">
        <v>8</v>
      </c>
      <c r="H2306" s="2">
        <v>8642</v>
      </c>
      <c r="I2306">
        <v>1.96401</v>
      </c>
    </row>
    <row r="2307" spans="1:9" x14ac:dyDescent="0.25">
      <c r="A2307">
        <v>2110030185</v>
      </c>
      <c r="B2307" t="s">
        <v>1180</v>
      </c>
      <c r="C2307" t="s">
        <v>137</v>
      </c>
      <c r="D2307" t="s">
        <v>138</v>
      </c>
      <c r="E2307" s="2">
        <v>3</v>
      </c>
      <c r="F2307" t="s">
        <v>230</v>
      </c>
      <c r="G2307">
        <v>0</v>
      </c>
      <c r="H2307">
        <v>0</v>
      </c>
      <c r="I2307">
        <v>1.96</v>
      </c>
    </row>
    <row r="2308" spans="1:9" x14ac:dyDescent="0.25">
      <c r="A2308">
        <v>2110030185</v>
      </c>
      <c r="B2308" t="s">
        <v>1180</v>
      </c>
      <c r="C2308" t="s">
        <v>139</v>
      </c>
      <c r="D2308" t="s">
        <v>140</v>
      </c>
      <c r="E2308" s="2">
        <v>8642</v>
      </c>
      <c r="F2308" t="s">
        <v>230</v>
      </c>
      <c r="G2308" s="2">
        <v>8642</v>
      </c>
      <c r="H2308">
        <v>0</v>
      </c>
      <c r="I2308">
        <v>1.963902</v>
      </c>
    </row>
    <row r="2309" spans="1:9" x14ac:dyDescent="0.25">
      <c r="A2309">
        <v>2110030186</v>
      </c>
      <c r="B2309" t="s">
        <v>1181</v>
      </c>
      <c r="C2309" t="s">
        <v>130</v>
      </c>
      <c r="D2309" t="s">
        <v>131</v>
      </c>
      <c r="E2309">
        <v>216</v>
      </c>
      <c r="F2309" t="s">
        <v>230</v>
      </c>
      <c r="G2309">
        <v>3</v>
      </c>
      <c r="H2309" s="2">
        <v>14400</v>
      </c>
      <c r="I2309">
        <v>2.9911569999999998</v>
      </c>
    </row>
    <row r="2310" spans="1:9" x14ac:dyDescent="0.25">
      <c r="A2310">
        <v>2110030186</v>
      </c>
      <c r="B2310" t="s">
        <v>1181</v>
      </c>
      <c r="C2310" t="s">
        <v>126</v>
      </c>
      <c r="D2310" t="s">
        <v>127</v>
      </c>
      <c r="E2310">
        <v>727</v>
      </c>
      <c r="F2310" t="s">
        <v>230</v>
      </c>
      <c r="G2310">
        <v>0</v>
      </c>
      <c r="H2310">
        <v>0</v>
      </c>
      <c r="I2310">
        <v>2.9910869999999998</v>
      </c>
    </row>
    <row r="2311" spans="1:9" x14ac:dyDescent="0.25">
      <c r="A2311">
        <v>2110030186</v>
      </c>
      <c r="B2311" t="s">
        <v>1181</v>
      </c>
      <c r="C2311" t="s">
        <v>137</v>
      </c>
      <c r="D2311" t="s">
        <v>138</v>
      </c>
      <c r="E2311" s="2">
        <v>4</v>
      </c>
      <c r="F2311" t="s">
        <v>230</v>
      </c>
      <c r="G2311">
        <v>0</v>
      </c>
      <c r="H2311" s="2">
        <v>1</v>
      </c>
      <c r="I2311">
        <v>2.99</v>
      </c>
    </row>
    <row r="2312" spans="1:9" x14ac:dyDescent="0.25">
      <c r="A2312">
        <v>2110030186</v>
      </c>
      <c r="B2312" t="s">
        <v>1181</v>
      </c>
      <c r="C2312" t="s">
        <v>139</v>
      </c>
      <c r="D2312" t="s">
        <v>140</v>
      </c>
      <c r="E2312" s="2">
        <v>14292</v>
      </c>
      <c r="F2312" t="s">
        <v>230</v>
      </c>
      <c r="G2312" s="2">
        <v>14400</v>
      </c>
      <c r="H2312">
        <v>0</v>
      </c>
      <c r="I2312">
        <v>2.9910869999999998</v>
      </c>
    </row>
    <row r="2313" spans="1:9" x14ac:dyDescent="0.25">
      <c r="A2313">
        <v>2110030187</v>
      </c>
      <c r="B2313" t="s">
        <v>1182</v>
      </c>
      <c r="C2313" t="s">
        <v>130</v>
      </c>
      <c r="D2313" t="s">
        <v>131</v>
      </c>
      <c r="E2313">
        <v>8</v>
      </c>
      <c r="F2313" t="s">
        <v>36</v>
      </c>
      <c r="G2313" s="2">
        <v>6</v>
      </c>
      <c r="H2313" s="2">
        <v>2016</v>
      </c>
      <c r="I2313">
        <v>2.06</v>
      </c>
    </row>
    <row r="2314" spans="1:9" x14ac:dyDescent="0.25">
      <c r="A2314">
        <v>2110030187</v>
      </c>
      <c r="B2314" t="s">
        <v>1182</v>
      </c>
      <c r="C2314" t="s">
        <v>139</v>
      </c>
      <c r="D2314" t="s">
        <v>140</v>
      </c>
      <c r="E2314" s="2">
        <v>1239</v>
      </c>
      <c r="F2314" t="s">
        <v>36</v>
      </c>
      <c r="G2314" s="2">
        <v>2016</v>
      </c>
      <c r="H2314">
        <v>0</v>
      </c>
      <c r="I2314">
        <v>2.0621870000000002</v>
      </c>
    </row>
    <row r="2315" spans="1:9" x14ac:dyDescent="0.25">
      <c r="A2315">
        <v>2110030188</v>
      </c>
      <c r="B2315" t="s">
        <v>1183</v>
      </c>
      <c r="C2315" t="s">
        <v>130</v>
      </c>
      <c r="D2315" t="s">
        <v>131</v>
      </c>
      <c r="E2315">
        <v>4</v>
      </c>
      <c r="F2315" t="s">
        <v>36</v>
      </c>
      <c r="G2315">
        <v>6</v>
      </c>
      <c r="H2315" s="2">
        <v>2016</v>
      </c>
      <c r="I2315">
        <v>2.0699999999999998</v>
      </c>
    </row>
    <row r="2316" spans="1:9" x14ac:dyDescent="0.25">
      <c r="A2316">
        <v>2110030188</v>
      </c>
      <c r="B2316" t="s">
        <v>1183</v>
      </c>
      <c r="C2316" t="s">
        <v>139</v>
      </c>
      <c r="D2316" t="s">
        <v>140</v>
      </c>
      <c r="E2316" s="2">
        <v>1098</v>
      </c>
      <c r="F2316" t="s">
        <v>36</v>
      </c>
      <c r="G2316" s="2">
        <v>2016</v>
      </c>
      <c r="H2316">
        <v>0</v>
      </c>
      <c r="I2316">
        <v>2.0652089999999999</v>
      </c>
    </row>
    <row r="2317" spans="1:9" x14ac:dyDescent="0.25">
      <c r="A2317">
        <v>2110030189</v>
      </c>
      <c r="B2317" t="s">
        <v>1184</v>
      </c>
      <c r="C2317" t="s">
        <v>130</v>
      </c>
      <c r="D2317" t="s">
        <v>131</v>
      </c>
      <c r="E2317" s="2">
        <v>2844</v>
      </c>
      <c r="F2317" t="s">
        <v>230</v>
      </c>
      <c r="G2317">
        <v>44</v>
      </c>
      <c r="H2317">
        <v>0</v>
      </c>
      <c r="I2317">
        <v>3.0084</v>
      </c>
    </row>
    <row r="2318" spans="1:9" x14ac:dyDescent="0.25">
      <c r="A2318">
        <v>2110030189</v>
      </c>
      <c r="B2318" t="s">
        <v>1184</v>
      </c>
      <c r="C2318" t="s">
        <v>126</v>
      </c>
      <c r="D2318" t="s">
        <v>127</v>
      </c>
      <c r="E2318">
        <v>36</v>
      </c>
      <c r="F2318" t="s">
        <v>230</v>
      </c>
      <c r="G2318" s="2">
        <v>0</v>
      </c>
      <c r="H2318">
        <v>0</v>
      </c>
      <c r="I2318">
        <v>3.0083329999999999</v>
      </c>
    </row>
    <row r="2319" spans="1:9" x14ac:dyDescent="0.25">
      <c r="A2319">
        <v>2110030189</v>
      </c>
      <c r="B2319" t="s">
        <v>1184</v>
      </c>
      <c r="C2319" t="s">
        <v>137</v>
      </c>
      <c r="D2319" t="s">
        <v>138</v>
      </c>
      <c r="E2319">
        <v>22</v>
      </c>
      <c r="F2319" t="s">
        <v>230</v>
      </c>
      <c r="G2319" s="2">
        <v>0</v>
      </c>
      <c r="H2319">
        <v>4</v>
      </c>
      <c r="I2319">
        <v>2.9518179999999998</v>
      </c>
    </row>
    <row r="2320" spans="1:9" x14ac:dyDescent="0.25">
      <c r="A2320">
        <v>2110030190</v>
      </c>
      <c r="B2320" t="s">
        <v>1185</v>
      </c>
      <c r="C2320" t="s">
        <v>130</v>
      </c>
      <c r="D2320" t="s">
        <v>131</v>
      </c>
      <c r="E2320" s="2">
        <v>8164</v>
      </c>
      <c r="F2320" t="s">
        <v>36</v>
      </c>
      <c r="G2320" s="2">
        <v>320</v>
      </c>
      <c r="H2320">
        <v>0</v>
      </c>
      <c r="I2320">
        <v>1.185622</v>
      </c>
    </row>
    <row r="2321" spans="1:9" x14ac:dyDescent="0.25">
      <c r="A2321">
        <v>2110030190</v>
      </c>
      <c r="B2321" t="s">
        <v>1185</v>
      </c>
      <c r="C2321" t="s">
        <v>137</v>
      </c>
      <c r="D2321" t="s">
        <v>138</v>
      </c>
      <c r="E2321">
        <v>3</v>
      </c>
      <c r="F2321" t="s">
        <v>36</v>
      </c>
      <c r="G2321">
        <v>0</v>
      </c>
      <c r="H2321">
        <v>41</v>
      </c>
      <c r="I2321">
        <v>1.19</v>
      </c>
    </row>
    <row r="2322" spans="1:9" x14ac:dyDescent="0.25">
      <c r="A2322">
        <v>2110030190</v>
      </c>
      <c r="B2322" t="s">
        <v>1185</v>
      </c>
      <c r="C2322" t="s">
        <v>151</v>
      </c>
      <c r="D2322" t="s">
        <v>152</v>
      </c>
      <c r="E2322">
        <v>0</v>
      </c>
      <c r="F2322" t="s">
        <v>36</v>
      </c>
      <c r="G2322" s="2">
        <v>0</v>
      </c>
      <c r="H2322">
        <v>480</v>
      </c>
      <c r="I2322">
        <v>1.185602</v>
      </c>
    </row>
    <row r="2323" spans="1:9" x14ac:dyDescent="0.25">
      <c r="A2323">
        <v>2110030190</v>
      </c>
      <c r="B2323" t="s">
        <v>1185</v>
      </c>
      <c r="C2323" t="s">
        <v>139</v>
      </c>
      <c r="D2323" t="s">
        <v>140</v>
      </c>
      <c r="E2323">
        <v>0</v>
      </c>
      <c r="F2323" t="s">
        <v>36</v>
      </c>
      <c r="G2323" s="2">
        <v>240</v>
      </c>
      <c r="H2323">
        <v>0</v>
      </c>
      <c r="I2323">
        <v>1.10744</v>
      </c>
    </row>
    <row r="2324" spans="1:9" x14ac:dyDescent="0.25">
      <c r="A2324">
        <v>2110030191</v>
      </c>
      <c r="B2324" t="s">
        <v>1186</v>
      </c>
      <c r="C2324" t="s">
        <v>130</v>
      </c>
      <c r="D2324" t="s">
        <v>131</v>
      </c>
      <c r="E2324" s="2">
        <v>427</v>
      </c>
      <c r="F2324" t="s">
        <v>36</v>
      </c>
      <c r="G2324">
        <v>6</v>
      </c>
      <c r="H2324">
        <v>0</v>
      </c>
      <c r="I2324">
        <v>1.778314</v>
      </c>
    </row>
    <row r="2325" spans="1:9" x14ac:dyDescent="0.25">
      <c r="A2325">
        <v>2110030191</v>
      </c>
      <c r="B2325" t="s">
        <v>1186</v>
      </c>
      <c r="C2325" t="s">
        <v>137</v>
      </c>
      <c r="D2325" t="s">
        <v>138</v>
      </c>
      <c r="E2325" s="2">
        <v>3</v>
      </c>
      <c r="F2325" t="s">
        <v>36</v>
      </c>
      <c r="G2325">
        <v>0</v>
      </c>
      <c r="H2325">
        <v>0</v>
      </c>
      <c r="I2325">
        <v>1.78</v>
      </c>
    </row>
    <row r="2326" spans="1:9" x14ac:dyDescent="0.25">
      <c r="A2326">
        <v>2110030192</v>
      </c>
      <c r="B2326" t="s">
        <v>1187</v>
      </c>
      <c r="C2326" t="s">
        <v>130</v>
      </c>
      <c r="D2326" t="s">
        <v>131</v>
      </c>
      <c r="E2326" s="2">
        <v>14110</v>
      </c>
      <c r="F2326" t="s">
        <v>36</v>
      </c>
      <c r="G2326" s="2">
        <v>42</v>
      </c>
      <c r="H2326" s="2">
        <v>1470</v>
      </c>
      <c r="I2326">
        <v>0.24591199999999999</v>
      </c>
    </row>
    <row r="2327" spans="1:9" x14ac:dyDescent="0.25">
      <c r="A2327">
        <v>2110030193</v>
      </c>
      <c r="B2327" t="s">
        <v>1188</v>
      </c>
      <c r="C2327" t="s">
        <v>130</v>
      </c>
      <c r="D2327" t="s">
        <v>131</v>
      </c>
      <c r="E2327" s="2">
        <v>17799</v>
      </c>
      <c r="F2327" t="s">
        <v>36</v>
      </c>
      <c r="G2327">
        <v>42</v>
      </c>
      <c r="H2327">
        <v>0</v>
      </c>
      <c r="I2327">
        <v>0.283997</v>
      </c>
    </row>
    <row r="2328" spans="1:9" x14ac:dyDescent="0.25">
      <c r="A2328">
        <v>2110030194</v>
      </c>
      <c r="B2328" t="s">
        <v>1189</v>
      </c>
      <c r="C2328" t="s">
        <v>130</v>
      </c>
      <c r="D2328" t="s">
        <v>131</v>
      </c>
      <c r="E2328" s="2">
        <v>20061</v>
      </c>
      <c r="F2328" t="s">
        <v>36</v>
      </c>
      <c r="G2328">
        <v>42</v>
      </c>
      <c r="H2328">
        <v>0</v>
      </c>
      <c r="I2328">
        <v>0.25450099999999998</v>
      </c>
    </row>
    <row r="2329" spans="1:9" x14ac:dyDescent="0.25">
      <c r="A2329">
        <v>2110040010</v>
      </c>
      <c r="B2329" t="s">
        <v>624</v>
      </c>
      <c r="C2329" t="s">
        <v>130</v>
      </c>
      <c r="D2329" t="s">
        <v>131</v>
      </c>
      <c r="E2329" s="2">
        <v>158</v>
      </c>
      <c r="F2329" t="s">
        <v>36</v>
      </c>
      <c r="G2329">
        <v>0</v>
      </c>
      <c r="H2329">
        <v>0</v>
      </c>
      <c r="I2329">
        <v>1.7081010000000001</v>
      </c>
    </row>
    <row r="2330" spans="1:9" x14ac:dyDescent="0.25">
      <c r="A2330">
        <v>2110040010</v>
      </c>
      <c r="B2330" t="s">
        <v>624</v>
      </c>
      <c r="C2330" t="s">
        <v>126</v>
      </c>
      <c r="D2330" t="s">
        <v>127</v>
      </c>
      <c r="E2330">
        <v>60</v>
      </c>
      <c r="F2330" t="s">
        <v>36</v>
      </c>
      <c r="G2330">
        <v>0</v>
      </c>
      <c r="H2330">
        <v>0</v>
      </c>
      <c r="I2330">
        <v>1.708167</v>
      </c>
    </row>
    <row r="2331" spans="1:9" x14ac:dyDescent="0.25">
      <c r="A2331">
        <v>2110040016</v>
      </c>
      <c r="B2331" t="s">
        <v>1190</v>
      </c>
      <c r="C2331" t="s">
        <v>130</v>
      </c>
      <c r="D2331" t="s">
        <v>131</v>
      </c>
      <c r="E2331" s="2">
        <v>21019</v>
      </c>
      <c r="F2331" t="s">
        <v>36</v>
      </c>
      <c r="G2331" s="2">
        <v>3996</v>
      </c>
      <c r="H2331">
        <v>0</v>
      </c>
      <c r="I2331">
        <v>1.842482</v>
      </c>
    </row>
    <row r="2332" spans="1:9" x14ac:dyDescent="0.25">
      <c r="A2332">
        <v>2110040016</v>
      </c>
      <c r="B2332" t="s">
        <v>1190</v>
      </c>
      <c r="C2332" t="s">
        <v>126</v>
      </c>
      <c r="D2332" t="s">
        <v>127</v>
      </c>
      <c r="E2332">
        <v>23</v>
      </c>
      <c r="F2332" t="s">
        <v>36</v>
      </c>
      <c r="G2332">
        <v>0</v>
      </c>
      <c r="H2332">
        <v>0</v>
      </c>
      <c r="I2332">
        <v>1.593043</v>
      </c>
    </row>
    <row r="2333" spans="1:9" x14ac:dyDescent="0.25">
      <c r="A2333">
        <v>2110040016</v>
      </c>
      <c r="B2333" t="s">
        <v>1190</v>
      </c>
      <c r="C2333" t="s">
        <v>258</v>
      </c>
      <c r="D2333" t="s">
        <v>259</v>
      </c>
      <c r="E2333" s="2">
        <v>210</v>
      </c>
      <c r="F2333" t="s">
        <v>36</v>
      </c>
      <c r="G2333">
        <v>0</v>
      </c>
      <c r="H2333" s="2">
        <v>300</v>
      </c>
      <c r="I2333">
        <v>1.917476</v>
      </c>
    </row>
    <row r="2334" spans="1:9" x14ac:dyDescent="0.25">
      <c r="A2334">
        <v>2110040016</v>
      </c>
      <c r="B2334" t="s">
        <v>1190</v>
      </c>
      <c r="C2334" t="s">
        <v>137</v>
      </c>
      <c r="D2334" t="s">
        <v>138</v>
      </c>
      <c r="E2334" s="2">
        <v>2064</v>
      </c>
      <c r="F2334" t="s">
        <v>36</v>
      </c>
      <c r="G2334">
        <v>0</v>
      </c>
      <c r="H2334" s="2">
        <v>3120</v>
      </c>
      <c r="I2334">
        <v>1.750359</v>
      </c>
    </row>
    <row r="2335" spans="1:9" x14ac:dyDescent="0.25">
      <c r="A2335">
        <v>2110040016</v>
      </c>
      <c r="B2335" t="s">
        <v>1190</v>
      </c>
      <c r="C2335" t="s">
        <v>151</v>
      </c>
      <c r="D2335" t="s">
        <v>152</v>
      </c>
      <c r="E2335" s="2">
        <v>3528</v>
      </c>
      <c r="F2335" t="s">
        <v>36</v>
      </c>
      <c r="G2335">
        <v>0</v>
      </c>
      <c r="H2335">
        <v>0</v>
      </c>
      <c r="I2335">
        <v>1.867945</v>
      </c>
    </row>
    <row r="2336" spans="1:9" x14ac:dyDescent="0.25">
      <c r="A2336">
        <v>2110040017</v>
      </c>
      <c r="B2336" t="s">
        <v>1191</v>
      </c>
      <c r="C2336" t="s">
        <v>130</v>
      </c>
      <c r="D2336" t="s">
        <v>131</v>
      </c>
      <c r="E2336" s="2">
        <v>7358</v>
      </c>
      <c r="F2336" t="s">
        <v>36</v>
      </c>
      <c r="G2336">
        <v>28</v>
      </c>
      <c r="H2336">
        <v>0</v>
      </c>
      <c r="I2336">
        <v>1.6380399999999999</v>
      </c>
    </row>
    <row r="2337" spans="1:9" x14ac:dyDescent="0.25">
      <c r="A2337">
        <v>2110040017</v>
      </c>
      <c r="B2337" t="s">
        <v>1191</v>
      </c>
      <c r="C2337" t="s">
        <v>126</v>
      </c>
      <c r="D2337" t="s">
        <v>127</v>
      </c>
      <c r="E2337" s="2">
        <v>91</v>
      </c>
      <c r="F2337" t="s">
        <v>36</v>
      </c>
      <c r="G2337">
        <v>0</v>
      </c>
      <c r="H2337">
        <v>0</v>
      </c>
      <c r="I2337">
        <v>1.202088</v>
      </c>
    </row>
    <row r="2338" spans="1:9" x14ac:dyDescent="0.25">
      <c r="A2338">
        <v>2110040017</v>
      </c>
      <c r="B2338" t="s">
        <v>1191</v>
      </c>
      <c r="C2338" t="s">
        <v>167</v>
      </c>
      <c r="D2338" t="s">
        <v>168</v>
      </c>
      <c r="E2338">
        <v>0.01</v>
      </c>
      <c r="F2338" t="s">
        <v>36</v>
      </c>
      <c r="G2338">
        <v>0</v>
      </c>
      <c r="H2338">
        <v>0</v>
      </c>
      <c r="I2338">
        <v>1</v>
      </c>
    </row>
    <row r="2339" spans="1:9" x14ac:dyDescent="0.25">
      <c r="A2339">
        <v>2110040017</v>
      </c>
      <c r="B2339" t="s">
        <v>1191</v>
      </c>
      <c r="C2339" t="s">
        <v>137</v>
      </c>
      <c r="D2339" t="s">
        <v>138</v>
      </c>
      <c r="E2339" s="2">
        <v>6</v>
      </c>
      <c r="F2339" t="s">
        <v>36</v>
      </c>
      <c r="G2339">
        <v>0</v>
      </c>
      <c r="H2339">
        <v>4</v>
      </c>
      <c r="I2339">
        <v>1.5616669999999999</v>
      </c>
    </row>
    <row r="2340" spans="1:9" x14ac:dyDescent="0.25">
      <c r="A2340">
        <v>2110040043</v>
      </c>
      <c r="B2340" t="s">
        <v>1192</v>
      </c>
      <c r="C2340" t="s">
        <v>126</v>
      </c>
      <c r="D2340" t="s">
        <v>127</v>
      </c>
      <c r="E2340" s="2">
        <v>127</v>
      </c>
      <c r="F2340" t="s">
        <v>36</v>
      </c>
      <c r="G2340">
        <v>0</v>
      </c>
      <c r="H2340">
        <v>0</v>
      </c>
      <c r="I2340">
        <v>2.0355120000000002</v>
      </c>
    </row>
    <row r="2341" spans="1:9" x14ac:dyDescent="0.25">
      <c r="A2341">
        <v>2110040047</v>
      </c>
      <c r="B2341" t="s">
        <v>1193</v>
      </c>
      <c r="C2341" t="s">
        <v>130</v>
      </c>
      <c r="D2341" t="s">
        <v>131</v>
      </c>
      <c r="E2341" s="2">
        <v>1750</v>
      </c>
      <c r="F2341" t="s">
        <v>36</v>
      </c>
      <c r="G2341">
        <v>36</v>
      </c>
      <c r="H2341">
        <v>0</v>
      </c>
      <c r="I2341">
        <v>1.4009769999999999</v>
      </c>
    </row>
    <row r="2342" spans="1:9" x14ac:dyDescent="0.25">
      <c r="A2342">
        <v>2110040047</v>
      </c>
      <c r="B2342" t="s">
        <v>1193</v>
      </c>
      <c r="C2342" t="s">
        <v>126</v>
      </c>
      <c r="D2342" t="s">
        <v>127</v>
      </c>
      <c r="E2342" s="2">
        <v>1</v>
      </c>
      <c r="F2342" t="s">
        <v>36</v>
      </c>
      <c r="G2342">
        <v>0</v>
      </c>
      <c r="H2342">
        <v>0</v>
      </c>
      <c r="I2342">
        <v>1.65</v>
      </c>
    </row>
    <row r="2343" spans="1:9" x14ac:dyDescent="0.25">
      <c r="A2343">
        <v>2110040047</v>
      </c>
      <c r="B2343" t="s">
        <v>1193</v>
      </c>
      <c r="C2343" t="s">
        <v>137</v>
      </c>
      <c r="D2343" t="s">
        <v>138</v>
      </c>
      <c r="E2343" s="2">
        <v>33</v>
      </c>
      <c r="F2343" t="s">
        <v>36</v>
      </c>
      <c r="G2343">
        <v>0</v>
      </c>
      <c r="H2343">
        <v>0</v>
      </c>
      <c r="I2343">
        <v>1.498788</v>
      </c>
    </row>
    <row r="2344" spans="1:9" x14ac:dyDescent="0.25">
      <c r="A2344">
        <v>2110040055</v>
      </c>
      <c r="B2344" t="s">
        <v>1194</v>
      </c>
      <c r="C2344" t="s">
        <v>167</v>
      </c>
      <c r="D2344" t="s">
        <v>168</v>
      </c>
      <c r="E2344" s="2">
        <v>26796</v>
      </c>
      <c r="F2344" t="s">
        <v>36</v>
      </c>
      <c r="G2344">
        <v>300</v>
      </c>
      <c r="H2344">
        <v>0</v>
      </c>
      <c r="I2344">
        <v>0.53707300000000002</v>
      </c>
    </row>
    <row r="2345" spans="1:9" x14ac:dyDescent="0.25">
      <c r="A2345">
        <v>2110040055</v>
      </c>
      <c r="B2345" t="s">
        <v>1194</v>
      </c>
      <c r="C2345" t="s">
        <v>137</v>
      </c>
      <c r="D2345" t="s">
        <v>138</v>
      </c>
      <c r="E2345">
        <v>100</v>
      </c>
      <c r="F2345" t="s">
        <v>36</v>
      </c>
      <c r="G2345">
        <v>0</v>
      </c>
      <c r="H2345">
        <v>300</v>
      </c>
      <c r="I2345">
        <v>0.53710000000000002</v>
      </c>
    </row>
    <row r="2346" spans="1:9" x14ac:dyDescent="0.25">
      <c r="A2346">
        <v>2110040057</v>
      </c>
      <c r="B2346" t="s">
        <v>1195</v>
      </c>
      <c r="C2346" t="s">
        <v>130</v>
      </c>
      <c r="D2346" t="s">
        <v>131</v>
      </c>
      <c r="E2346">
        <v>0</v>
      </c>
      <c r="F2346" t="s">
        <v>36</v>
      </c>
      <c r="G2346">
        <v>0</v>
      </c>
      <c r="H2346">
        <v>15</v>
      </c>
      <c r="I2346">
        <v>0</v>
      </c>
    </row>
    <row r="2347" spans="1:9" x14ac:dyDescent="0.25">
      <c r="A2347">
        <v>2110040057</v>
      </c>
      <c r="B2347" t="s">
        <v>1195</v>
      </c>
      <c r="C2347" t="s">
        <v>139</v>
      </c>
      <c r="D2347" t="s">
        <v>140</v>
      </c>
      <c r="E2347">
        <v>15</v>
      </c>
      <c r="F2347" t="s">
        <v>36</v>
      </c>
      <c r="G2347">
        <v>15</v>
      </c>
      <c r="H2347" s="2">
        <v>0</v>
      </c>
      <c r="I2347">
        <v>0.92733299999999996</v>
      </c>
    </row>
    <row r="2348" spans="1:9" x14ac:dyDescent="0.25">
      <c r="A2348">
        <v>2110050014</v>
      </c>
      <c r="B2348" t="s">
        <v>1196</v>
      </c>
      <c r="C2348" t="s">
        <v>130</v>
      </c>
      <c r="D2348" t="s">
        <v>131</v>
      </c>
      <c r="E2348" s="2">
        <v>31233</v>
      </c>
      <c r="F2348" t="s">
        <v>36</v>
      </c>
      <c r="G2348" s="2">
        <v>22560</v>
      </c>
      <c r="H2348">
        <v>0</v>
      </c>
      <c r="I2348">
        <v>1.159341</v>
      </c>
    </row>
    <row r="2349" spans="1:9" x14ac:dyDescent="0.25">
      <c r="A2349">
        <v>2110050014</v>
      </c>
      <c r="B2349" t="s">
        <v>1196</v>
      </c>
      <c r="C2349" t="s">
        <v>167</v>
      </c>
      <c r="D2349" t="s">
        <v>168</v>
      </c>
      <c r="E2349">
        <v>0</v>
      </c>
      <c r="F2349" t="s">
        <v>36</v>
      </c>
      <c r="G2349">
        <v>0</v>
      </c>
      <c r="H2349">
        <v>18</v>
      </c>
      <c r="I2349">
        <v>0</v>
      </c>
    </row>
    <row r="2350" spans="1:9" x14ac:dyDescent="0.25">
      <c r="A2350">
        <v>2110050014</v>
      </c>
      <c r="B2350" t="s">
        <v>1196</v>
      </c>
      <c r="C2350" t="s">
        <v>137</v>
      </c>
      <c r="D2350" t="s">
        <v>138</v>
      </c>
      <c r="E2350" s="2">
        <v>4</v>
      </c>
      <c r="F2350" t="s">
        <v>36</v>
      </c>
      <c r="G2350">
        <v>0</v>
      </c>
      <c r="H2350">
        <v>13</v>
      </c>
      <c r="I2350">
        <v>1.1499999999999999</v>
      </c>
    </row>
    <row r="2351" spans="1:9" x14ac:dyDescent="0.25">
      <c r="A2351">
        <v>2110050014</v>
      </c>
      <c r="B2351" t="s">
        <v>1196</v>
      </c>
      <c r="C2351" t="s">
        <v>151</v>
      </c>
      <c r="D2351" t="s">
        <v>152</v>
      </c>
      <c r="E2351" s="2">
        <v>9923</v>
      </c>
      <c r="F2351" t="s">
        <v>36</v>
      </c>
      <c r="G2351">
        <v>0</v>
      </c>
      <c r="H2351">
        <v>0</v>
      </c>
      <c r="I2351">
        <v>2.4553349999999998</v>
      </c>
    </row>
    <row r="2352" spans="1:9" x14ac:dyDescent="0.25">
      <c r="A2352">
        <v>2110050015</v>
      </c>
      <c r="B2352" t="s">
        <v>129</v>
      </c>
      <c r="C2352" t="s">
        <v>130</v>
      </c>
      <c r="D2352" t="s">
        <v>131</v>
      </c>
      <c r="E2352" s="2">
        <v>103572</v>
      </c>
      <c r="F2352" t="s">
        <v>36</v>
      </c>
      <c r="G2352" s="2">
        <v>7267</v>
      </c>
      <c r="H2352" s="2">
        <v>51927</v>
      </c>
      <c r="I2352">
        <v>1.0370330000000001</v>
      </c>
    </row>
    <row r="2353" spans="1:9" x14ac:dyDescent="0.25">
      <c r="A2353">
        <v>2110050015</v>
      </c>
      <c r="B2353" t="s">
        <v>129</v>
      </c>
      <c r="C2353" t="s">
        <v>126</v>
      </c>
      <c r="D2353" t="s">
        <v>127</v>
      </c>
      <c r="E2353">
        <v>24</v>
      </c>
      <c r="F2353" t="s">
        <v>36</v>
      </c>
      <c r="G2353" s="2">
        <v>0</v>
      </c>
      <c r="H2353">
        <v>0</v>
      </c>
      <c r="I2353">
        <v>1.3220829999999999</v>
      </c>
    </row>
    <row r="2354" spans="1:9" x14ac:dyDescent="0.25">
      <c r="A2354">
        <v>2110050015</v>
      </c>
      <c r="B2354" t="s">
        <v>129</v>
      </c>
      <c r="C2354" t="s">
        <v>137</v>
      </c>
      <c r="D2354" t="s">
        <v>138</v>
      </c>
      <c r="E2354">
        <v>42</v>
      </c>
      <c r="F2354" t="s">
        <v>36</v>
      </c>
      <c r="G2354">
        <v>0</v>
      </c>
      <c r="H2354">
        <v>293</v>
      </c>
      <c r="I2354">
        <v>1.3054760000000001</v>
      </c>
    </row>
    <row r="2355" spans="1:9" x14ac:dyDescent="0.25">
      <c r="A2355">
        <v>2110050015</v>
      </c>
      <c r="B2355" t="s">
        <v>129</v>
      </c>
      <c r="C2355" t="s">
        <v>151</v>
      </c>
      <c r="D2355" t="s">
        <v>152</v>
      </c>
      <c r="E2355" s="2">
        <v>2688</v>
      </c>
      <c r="F2355" t="s">
        <v>36</v>
      </c>
      <c r="G2355">
        <v>0</v>
      </c>
      <c r="H2355">
        <v>0</v>
      </c>
      <c r="I2355">
        <v>1.3806700000000001</v>
      </c>
    </row>
    <row r="2356" spans="1:9" x14ac:dyDescent="0.25">
      <c r="A2356">
        <v>2110050015</v>
      </c>
      <c r="B2356" t="s">
        <v>129</v>
      </c>
      <c r="C2356" t="s">
        <v>139</v>
      </c>
      <c r="D2356" t="s">
        <v>140</v>
      </c>
      <c r="E2356" s="2">
        <v>7</v>
      </c>
      <c r="F2356" t="s">
        <v>36</v>
      </c>
      <c r="G2356" s="2">
        <v>11607</v>
      </c>
      <c r="H2356">
        <v>0</v>
      </c>
      <c r="I2356">
        <v>1.321429</v>
      </c>
    </row>
    <row r="2357" spans="1:9" x14ac:dyDescent="0.25">
      <c r="A2357">
        <v>2110050016</v>
      </c>
      <c r="B2357" t="s">
        <v>1197</v>
      </c>
      <c r="C2357" t="s">
        <v>130</v>
      </c>
      <c r="D2357" t="s">
        <v>131</v>
      </c>
      <c r="E2357" s="2">
        <v>22</v>
      </c>
      <c r="F2357" t="s">
        <v>36</v>
      </c>
      <c r="G2357">
        <v>672</v>
      </c>
      <c r="H2357" s="2">
        <v>8498</v>
      </c>
      <c r="I2357">
        <v>0.84045499999999995</v>
      </c>
    </row>
    <row r="2358" spans="1:9" x14ac:dyDescent="0.25">
      <c r="A2358">
        <v>2110050016</v>
      </c>
      <c r="B2358" t="s">
        <v>1197</v>
      </c>
      <c r="C2358" t="s">
        <v>126</v>
      </c>
      <c r="D2358" t="s">
        <v>127</v>
      </c>
      <c r="E2358" s="2">
        <v>13</v>
      </c>
      <c r="F2358" t="s">
        <v>36</v>
      </c>
      <c r="G2358">
        <v>0</v>
      </c>
      <c r="H2358">
        <v>0</v>
      </c>
      <c r="I2358">
        <v>0.84076899999999999</v>
      </c>
    </row>
    <row r="2359" spans="1:9" x14ac:dyDescent="0.25">
      <c r="A2359">
        <v>2110050016</v>
      </c>
      <c r="B2359" t="s">
        <v>1197</v>
      </c>
      <c r="C2359" t="s">
        <v>137</v>
      </c>
      <c r="D2359" t="s">
        <v>138</v>
      </c>
      <c r="E2359">
        <v>21</v>
      </c>
      <c r="F2359" t="s">
        <v>36</v>
      </c>
      <c r="G2359">
        <v>0</v>
      </c>
      <c r="H2359">
        <v>0</v>
      </c>
      <c r="I2359">
        <v>0.840476</v>
      </c>
    </row>
    <row r="2360" spans="1:9" x14ac:dyDescent="0.25">
      <c r="A2360">
        <v>2110050016</v>
      </c>
      <c r="B2360" t="s">
        <v>1197</v>
      </c>
      <c r="C2360" t="s">
        <v>151</v>
      </c>
      <c r="D2360" t="s">
        <v>152</v>
      </c>
      <c r="E2360" s="2">
        <v>0</v>
      </c>
      <c r="F2360" t="s">
        <v>36</v>
      </c>
      <c r="G2360" s="2">
        <v>8498</v>
      </c>
      <c r="H2360">
        <v>0</v>
      </c>
      <c r="I2360">
        <v>0.84040999999999999</v>
      </c>
    </row>
    <row r="2361" spans="1:9" x14ac:dyDescent="0.25">
      <c r="A2361">
        <v>2110050047</v>
      </c>
      <c r="B2361" t="s">
        <v>1198</v>
      </c>
      <c r="C2361" t="s">
        <v>130</v>
      </c>
      <c r="D2361" t="s">
        <v>131</v>
      </c>
      <c r="E2361" s="2">
        <v>4634</v>
      </c>
      <c r="F2361" t="s">
        <v>36</v>
      </c>
      <c r="G2361">
        <v>106</v>
      </c>
      <c r="H2361">
        <v>1</v>
      </c>
      <c r="I2361">
        <v>1.461694</v>
      </c>
    </row>
    <row r="2362" spans="1:9" x14ac:dyDescent="0.25">
      <c r="A2362">
        <v>2110050047</v>
      </c>
      <c r="B2362" t="s">
        <v>1198</v>
      </c>
      <c r="C2362" t="s">
        <v>137</v>
      </c>
      <c r="D2362" t="s">
        <v>138</v>
      </c>
      <c r="E2362">
        <v>6</v>
      </c>
      <c r="F2362" t="s">
        <v>36</v>
      </c>
      <c r="G2362">
        <v>0</v>
      </c>
      <c r="H2362">
        <v>0</v>
      </c>
      <c r="I2362">
        <v>1.461667</v>
      </c>
    </row>
    <row r="2363" spans="1:9" x14ac:dyDescent="0.25">
      <c r="A2363">
        <v>2110050047</v>
      </c>
      <c r="B2363" t="s">
        <v>1198</v>
      </c>
      <c r="C2363" t="s">
        <v>151</v>
      </c>
      <c r="D2363" t="s">
        <v>152</v>
      </c>
      <c r="E2363">
        <v>408</v>
      </c>
      <c r="F2363" t="s">
        <v>36</v>
      </c>
      <c r="G2363">
        <v>0</v>
      </c>
      <c r="H2363">
        <v>0</v>
      </c>
      <c r="I2363">
        <v>1.4616910000000001</v>
      </c>
    </row>
    <row r="2364" spans="1:9" x14ac:dyDescent="0.25">
      <c r="A2364">
        <v>2110050047</v>
      </c>
      <c r="B2364" t="s">
        <v>1198</v>
      </c>
      <c r="C2364" t="s">
        <v>139</v>
      </c>
      <c r="D2364" t="s">
        <v>140</v>
      </c>
      <c r="E2364">
        <v>1</v>
      </c>
      <c r="F2364" t="s">
        <v>36</v>
      </c>
      <c r="G2364" s="2">
        <v>1</v>
      </c>
      <c r="H2364" s="2">
        <v>0</v>
      </c>
      <c r="I2364">
        <v>1.46</v>
      </c>
    </row>
    <row r="2365" spans="1:9" x14ac:dyDescent="0.25">
      <c r="A2365">
        <v>2110050048</v>
      </c>
      <c r="B2365" t="s">
        <v>1199</v>
      </c>
      <c r="C2365" t="s">
        <v>130</v>
      </c>
      <c r="D2365" t="s">
        <v>131</v>
      </c>
      <c r="E2365" s="2">
        <v>10072</v>
      </c>
      <c r="F2365" t="s">
        <v>36</v>
      </c>
      <c r="G2365">
        <v>4</v>
      </c>
      <c r="H2365">
        <v>0</v>
      </c>
      <c r="I2365">
        <v>1.7323170000000001</v>
      </c>
    </row>
    <row r="2366" spans="1:9" x14ac:dyDescent="0.25">
      <c r="A2366">
        <v>2110050048</v>
      </c>
      <c r="B2366" t="s">
        <v>1199</v>
      </c>
      <c r="C2366" t="s">
        <v>137</v>
      </c>
      <c r="D2366" t="s">
        <v>138</v>
      </c>
      <c r="E2366" s="2">
        <v>6</v>
      </c>
      <c r="F2366" t="s">
        <v>36</v>
      </c>
      <c r="G2366" s="2">
        <v>0</v>
      </c>
      <c r="H2366">
        <v>0</v>
      </c>
      <c r="I2366">
        <v>1.7316670000000001</v>
      </c>
    </row>
    <row r="2367" spans="1:9" x14ac:dyDescent="0.25">
      <c r="A2367">
        <v>2110050049</v>
      </c>
      <c r="B2367" t="s">
        <v>1200</v>
      </c>
      <c r="C2367" t="s">
        <v>130</v>
      </c>
      <c r="D2367" t="s">
        <v>131</v>
      </c>
      <c r="E2367">
        <v>8</v>
      </c>
      <c r="F2367" t="s">
        <v>36</v>
      </c>
      <c r="G2367">
        <v>0</v>
      </c>
      <c r="H2367">
        <v>0</v>
      </c>
      <c r="I2367">
        <v>1.5175000000000001</v>
      </c>
    </row>
    <row r="2368" spans="1:9" x14ac:dyDescent="0.25">
      <c r="A2368">
        <v>2110070007</v>
      </c>
      <c r="B2368" t="s">
        <v>1201</v>
      </c>
      <c r="C2368" t="s">
        <v>130</v>
      </c>
      <c r="D2368" t="s">
        <v>131</v>
      </c>
      <c r="E2368" s="2">
        <v>0</v>
      </c>
      <c r="F2368" t="s">
        <v>230</v>
      </c>
      <c r="G2368">
        <v>0</v>
      </c>
      <c r="H2368">
        <v>62</v>
      </c>
      <c r="I2368">
        <v>0</v>
      </c>
    </row>
    <row r="2369" spans="1:9" x14ac:dyDescent="0.25">
      <c r="A2369">
        <v>2110070007</v>
      </c>
      <c r="B2369" t="s">
        <v>1201</v>
      </c>
      <c r="C2369" t="s">
        <v>139</v>
      </c>
      <c r="D2369" t="s">
        <v>140</v>
      </c>
      <c r="E2369">
        <v>62</v>
      </c>
      <c r="F2369" t="s">
        <v>230</v>
      </c>
      <c r="G2369">
        <v>62</v>
      </c>
      <c r="H2369">
        <v>0</v>
      </c>
      <c r="I2369">
        <v>1.7029030000000001</v>
      </c>
    </row>
    <row r="2370" spans="1:9" x14ac:dyDescent="0.25">
      <c r="A2370">
        <v>2110070014</v>
      </c>
      <c r="B2370" t="s">
        <v>1202</v>
      </c>
      <c r="C2370" t="s">
        <v>130</v>
      </c>
      <c r="D2370" t="s">
        <v>131</v>
      </c>
      <c r="E2370">
        <v>0</v>
      </c>
      <c r="F2370" t="s">
        <v>230</v>
      </c>
      <c r="G2370">
        <v>0</v>
      </c>
      <c r="H2370">
        <v>750</v>
      </c>
      <c r="I2370">
        <v>0</v>
      </c>
    </row>
    <row r="2371" spans="1:9" x14ac:dyDescent="0.25">
      <c r="A2371">
        <v>2110070014</v>
      </c>
      <c r="B2371" t="s">
        <v>1202</v>
      </c>
      <c r="C2371" t="s">
        <v>139</v>
      </c>
      <c r="D2371" t="s">
        <v>140</v>
      </c>
      <c r="E2371" s="2">
        <v>750</v>
      </c>
      <c r="F2371" t="s">
        <v>230</v>
      </c>
      <c r="G2371">
        <v>750</v>
      </c>
      <c r="H2371">
        <v>0</v>
      </c>
      <c r="I2371">
        <v>0.70099999999999996</v>
      </c>
    </row>
    <row r="2372" spans="1:9" x14ac:dyDescent="0.25">
      <c r="A2372">
        <v>2110070015</v>
      </c>
      <c r="B2372" t="s">
        <v>1203</v>
      </c>
      <c r="C2372" t="s">
        <v>130</v>
      </c>
      <c r="D2372" t="s">
        <v>131</v>
      </c>
      <c r="E2372">
        <v>0</v>
      </c>
      <c r="F2372" t="s">
        <v>230</v>
      </c>
      <c r="G2372">
        <v>0</v>
      </c>
      <c r="H2372">
        <v>64</v>
      </c>
      <c r="I2372">
        <v>0</v>
      </c>
    </row>
    <row r="2373" spans="1:9" x14ac:dyDescent="0.25">
      <c r="A2373">
        <v>2110070015</v>
      </c>
      <c r="B2373" t="s">
        <v>1203</v>
      </c>
      <c r="C2373" t="s">
        <v>139</v>
      </c>
      <c r="D2373" t="s">
        <v>140</v>
      </c>
      <c r="E2373">
        <v>64</v>
      </c>
      <c r="F2373" t="s">
        <v>230</v>
      </c>
      <c r="G2373">
        <v>64</v>
      </c>
      <c r="H2373">
        <v>0</v>
      </c>
      <c r="I2373">
        <v>1.0759380000000001</v>
      </c>
    </row>
    <row r="2374" spans="1:9" x14ac:dyDescent="0.25">
      <c r="A2374">
        <v>2110080032</v>
      </c>
      <c r="B2374" t="s">
        <v>1204</v>
      </c>
      <c r="C2374" t="s">
        <v>130</v>
      </c>
      <c r="D2374" t="s">
        <v>131</v>
      </c>
      <c r="E2374" s="2">
        <v>0</v>
      </c>
      <c r="F2374" t="s">
        <v>36</v>
      </c>
      <c r="G2374">
        <v>0</v>
      </c>
      <c r="H2374" s="2">
        <v>1500</v>
      </c>
      <c r="I2374">
        <v>0</v>
      </c>
    </row>
    <row r="2375" spans="1:9" x14ac:dyDescent="0.25">
      <c r="A2375">
        <v>2110080032</v>
      </c>
      <c r="B2375" t="s">
        <v>1204</v>
      </c>
      <c r="C2375" t="s">
        <v>139</v>
      </c>
      <c r="D2375" t="s">
        <v>140</v>
      </c>
      <c r="E2375" s="2">
        <v>1500</v>
      </c>
      <c r="F2375" t="s">
        <v>36</v>
      </c>
      <c r="G2375" s="2">
        <v>1500</v>
      </c>
      <c r="H2375">
        <v>0</v>
      </c>
      <c r="I2375">
        <v>0.14955299999999999</v>
      </c>
    </row>
    <row r="2376" spans="1:9" x14ac:dyDescent="0.25">
      <c r="A2376">
        <v>2110080033</v>
      </c>
      <c r="B2376" t="s">
        <v>1205</v>
      </c>
      <c r="C2376" t="s">
        <v>126</v>
      </c>
      <c r="D2376" t="s">
        <v>127</v>
      </c>
      <c r="E2376">
        <v>41</v>
      </c>
      <c r="F2376" t="s">
        <v>36</v>
      </c>
      <c r="G2376">
        <v>0</v>
      </c>
      <c r="H2376">
        <v>0</v>
      </c>
      <c r="I2376">
        <v>0.15024399999999999</v>
      </c>
    </row>
    <row r="2377" spans="1:9" x14ac:dyDescent="0.25">
      <c r="A2377">
        <v>2110080034</v>
      </c>
      <c r="B2377" t="s">
        <v>1206</v>
      </c>
      <c r="C2377" t="s">
        <v>126</v>
      </c>
      <c r="D2377" t="s">
        <v>127</v>
      </c>
      <c r="E2377" s="2">
        <v>114</v>
      </c>
      <c r="F2377" t="s">
        <v>36</v>
      </c>
      <c r="G2377">
        <v>0</v>
      </c>
      <c r="H2377" s="2">
        <v>0</v>
      </c>
      <c r="I2377">
        <v>0.15131600000000001</v>
      </c>
    </row>
    <row r="2378" spans="1:9" x14ac:dyDescent="0.25">
      <c r="A2378">
        <v>2110080036</v>
      </c>
      <c r="B2378" t="s">
        <v>1207</v>
      </c>
      <c r="C2378" t="s">
        <v>130</v>
      </c>
      <c r="D2378" t="s">
        <v>131</v>
      </c>
      <c r="E2378" s="2">
        <v>1950</v>
      </c>
      <c r="F2378" t="s">
        <v>36</v>
      </c>
      <c r="G2378" s="2">
        <v>0</v>
      </c>
      <c r="H2378">
        <v>0</v>
      </c>
      <c r="I2378">
        <v>0.20000499999999999</v>
      </c>
    </row>
    <row r="2379" spans="1:9" x14ac:dyDescent="0.25">
      <c r="A2379">
        <v>2110080036</v>
      </c>
      <c r="B2379" t="s">
        <v>1207</v>
      </c>
      <c r="C2379" t="s">
        <v>126</v>
      </c>
      <c r="D2379" t="s">
        <v>127</v>
      </c>
      <c r="E2379">
        <v>45</v>
      </c>
      <c r="F2379" t="s">
        <v>36</v>
      </c>
      <c r="G2379">
        <v>0</v>
      </c>
      <c r="H2379">
        <v>0</v>
      </c>
      <c r="I2379">
        <v>0.2</v>
      </c>
    </row>
    <row r="2380" spans="1:9" x14ac:dyDescent="0.25">
      <c r="A2380">
        <v>2110080037</v>
      </c>
      <c r="B2380" t="s">
        <v>1208</v>
      </c>
      <c r="C2380" t="s">
        <v>130</v>
      </c>
      <c r="D2380" t="s">
        <v>131</v>
      </c>
      <c r="E2380">
        <v>0</v>
      </c>
      <c r="F2380" t="s">
        <v>36</v>
      </c>
      <c r="G2380">
        <v>0</v>
      </c>
      <c r="H2380" s="2">
        <v>1995</v>
      </c>
      <c r="I2380">
        <v>0</v>
      </c>
    </row>
    <row r="2381" spans="1:9" x14ac:dyDescent="0.25">
      <c r="A2381">
        <v>2110080037</v>
      </c>
      <c r="B2381" t="s">
        <v>1208</v>
      </c>
      <c r="C2381" t="s">
        <v>126</v>
      </c>
      <c r="D2381" t="s">
        <v>127</v>
      </c>
      <c r="E2381">
        <v>3</v>
      </c>
      <c r="F2381" t="s">
        <v>36</v>
      </c>
      <c r="G2381">
        <v>0</v>
      </c>
      <c r="H2381">
        <v>0</v>
      </c>
      <c r="I2381">
        <v>0.24</v>
      </c>
    </row>
    <row r="2382" spans="1:9" x14ac:dyDescent="0.25">
      <c r="A2382">
        <v>2110080037</v>
      </c>
      <c r="B2382" t="s">
        <v>1208</v>
      </c>
      <c r="C2382" t="s">
        <v>139</v>
      </c>
      <c r="D2382" t="s">
        <v>140</v>
      </c>
      <c r="E2382" s="2">
        <v>1995</v>
      </c>
      <c r="F2382" t="s">
        <v>36</v>
      </c>
      <c r="G2382" s="2">
        <v>1995</v>
      </c>
      <c r="H2382">
        <v>0</v>
      </c>
      <c r="I2382">
        <v>0.241148</v>
      </c>
    </row>
    <row r="2383" spans="1:9" x14ac:dyDescent="0.25">
      <c r="A2383">
        <v>2110080038</v>
      </c>
      <c r="B2383" t="s">
        <v>1209</v>
      </c>
      <c r="C2383" t="s">
        <v>130</v>
      </c>
      <c r="D2383" t="s">
        <v>131</v>
      </c>
      <c r="E2383" s="2">
        <v>3950</v>
      </c>
      <c r="F2383" t="s">
        <v>36</v>
      </c>
      <c r="G2383">
        <v>0</v>
      </c>
      <c r="H2383">
        <v>0</v>
      </c>
      <c r="I2383">
        <v>0.26322800000000002</v>
      </c>
    </row>
    <row r="2384" spans="1:9" x14ac:dyDescent="0.25">
      <c r="A2384">
        <v>2110080038</v>
      </c>
      <c r="B2384" t="s">
        <v>1209</v>
      </c>
      <c r="C2384" t="s">
        <v>126</v>
      </c>
      <c r="D2384" t="s">
        <v>127</v>
      </c>
      <c r="E2384" s="2">
        <v>141592</v>
      </c>
      <c r="F2384" t="s">
        <v>36</v>
      </c>
      <c r="G2384">
        <v>0</v>
      </c>
      <c r="H2384">
        <v>0</v>
      </c>
      <c r="I2384">
        <v>0.26322899999999999</v>
      </c>
    </row>
    <row r="2385" spans="1:9" x14ac:dyDescent="0.25">
      <c r="A2385">
        <v>2110080044</v>
      </c>
      <c r="B2385" t="s">
        <v>1210</v>
      </c>
      <c r="C2385" t="s">
        <v>130</v>
      </c>
      <c r="D2385" t="s">
        <v>131</v>
      </c>
      <c r="E2385">
        <v>0</v>
      </c>
      <c r="F2385" t="s">
        <v>36</v>
      </c>
      <c r="G2385">
        <v>0</v>
      </c>
      <c r="H2385" s="2">
        <v>1138</v>
      </c>
      <c r="I2385">
        <v>0</v>
      </c>
    </row>
    <row r="2386" spans="1:9" x14ac:dyDescent="0.25">
      <c r="A2386">
        <v>2110080044</v>
      </c>
      <c r="B2386" t="s">
        <v>1210</v>
      </c>
      <c r="C2386" t="s">
        <v>139</v>
      </c>
      <c r="D2386" t="s">
        <v>140</v>
      </c>
      <c r="E2386" s="2">
        <v>1138</v>
      </c>
      <c r="F2386" t="s">
        <v>36</v>
      </c>
      <c r="G2386" s="2">
        <v>1138</v>
      </c>
      <c r="H2386">
        <v>0</v>
      </c>
      <c r="I2386">
        <v>0.26927099999999998</v>
      </c>
    </row>
    <row r="2387" spans="1:9" x14ac:dyDescent="0.25">
      <c r="A2387">
        <v>2110080045</v>
      </c>
      <c r="B2387" t="s">
        <v>1211</v>
      </c>
      <c r="C2387" t="s">
        <v>130</v>
      </c>
      <c r="D2387" t="s">
        <v>131</v>
      </c>
      <c r="E2387">
        <v>0</v>
      </c>
      <c r="F2387" t="s">
        <v>36</v>
      </c>
      <c r="G2387">
        <v>0</v>
      </c>
      <c r="H2387">
        <v>214</v>
      </c>
      <c r="I2387">
        <v>0</v>
      </c>
    </row>
    <row r="2388" spans="1:9" x14ac:dyDescent="0.25">
      <c r="A2388">
        <v>2110080045</v>
      </c>
      <c r="B2388" t="s">
        <v>1211</v>
      </c>
      <c r="C2388" t="s">
        <v>126</v>
      </c>
      <c r="D2388" t="s">
        <v>127</v>
      </c>
      <c r="E2388">
        <v>215</v>
      </c>
      <c r="F2388" t="s">
        <v>36</v>
      </c>
      <c r="G2388" s="2">
        <v>0</v>
      </c>
      <c r="H2388" s="2">
        <v>0</v>
      </c>
      <c r="I2388">
        <v>0.27260499999999999</v>
      </c>
    </row>
    <row r="2389" spans="1:9" x14ac:dyDescent="0.25">
      <c r="A2389">
        <v>2110080045</v>
      </c>
      <c r="B2389" t="s">
        <v>1211</v>
      </c>
      <c r="C2389" t="s">
        <v>139</v>
      </c>
      <c r="D2389" t="s">
        <v>140</v>
      </c>
      <c r="E2389" s="2">
        <v>214</v>
      </c>
      <c r="F2389" t="s">
        <v>36</v>
      </c>
      <c r="G2389">
        <v>214</v>
      </c>
      <c r="H2389" s="2">
        <v>0</v>
      </c>
      <c r="I2389">
        <v>0.272617</v>
      </c>
    </row>
    <row r="2390" spans="1:9" x14ac:dyDescent="0.25">
      <c r="A2390">
        <v>2110080046</v>
      </c>
      <c r="B2390" t="s">
        <v>1212</v>
      </c>
      <c r="C2390" t="s">
        <v>130</v>
      </c>
      <c r="D2390" t="s">
        <v>131</v>
      </c>
      <c r="E2390">
        <v>0</v>
      </c>
      <c r="F2390" t="s">
        <v>36</v>
      </c>
      <c r="G2390">
        <v>0</v>
      </c>
      <c r="H2390">
        <v>360</v>
      </c>
      <c r="I2390">
        <v>0</v>
      </c>
    </row>
    <row r="2391" spans="1:9" x14ac:dyDescent="0.25">
      <c r="A2391">
        <v>2110080046</v>
      </c>
      <c r="B2391" t="s">
        <v>1212</v>
      </c>
      <c r="C2391" t="s">
        <v>139</v>
      </c>
      <c r="D2391" t="s">
        <v>140</v>
      </c>
      <c r="E2391">
        <v>360</v>
      </c>
      <c r="F2391" t="s">
        <v>36</v>
      </c>
      <c r="G2391">
        <v>360</v>
      </c>
      <c r="H2391">
        <v>0</v>
      </c>
      <c r="I2391">
        <v>0.36816700000000002</v>
      </c>
    </row>
    <row r="2392" spans="1:9" x14ac:dyDescent="0.25">
      <c r="A2392">
        <v>2110080172</v>
      </c>
      <c r="B2392" t="s">
        <v>1213</v>
      </c>
      <c r="C2392" t="s">
        <v>130</v>
      </c>
      <c r="D2392" t="s">
        <v>131</v>
      </c>
      <c r="E2392" s="2">
        <v>3840</v>
      </c>
      <c r="F2392" t="s">
        <v>36</v>
      </c>
      <c r="G2392">
        <v>0</v>
      </c>
      <c r="H2392" s="2">
        <v>9600</v>
      </c>
      <c r="I2392">
        <v>0.290078</v>
      </c>
    </row>
    <row r="2393" spans="1:9" x14ac:dyDescent="0.25">
      <c r="A2393">
        <v>2110080172</v>
      </c>
      <c r="B2393" t="s">
        <v>1213</v>
      </c>
      <c r="C2393" t="s">
        <v>126</v>
      </c>
      <c r="D2393" t="s">
        <v>127</v>
      </c>
      <c r="E2393">
        <v>143</v>
      </c>
      <c r="F2393" t="s">
        <v>36</v>
      </c>
      <c r="G2393">
        <v>0</v>
      </c>
      <c r="H2393">
        <v>0</v>
      </c>
      <c r="I2393">
        <v>0.29006999999999999</v>
      </c>
    </row>
    <row r="2394" spans="1:9" x14ac:dyDescent="0.25">
      <c r="A2394">
        <v>2110080172</v>
      </c>
      <c r="B2394" t="s">
        <v>1213</v>
      </c>
      <c r="C2394" t="s">
        <v>139</v>
      </c>
      <c r="D2394" t="s">
        <v>140</v>
      </c>
      <c r="E2394" s="2">
        <v>9600</v>
      </c>
      <c r="F2394" t="s">
        <v>36</v>
      </c>
      <c r="G2394" s="2">
        <v>9600</v>
      </c>
      <c r="H2394">
        <v>0</v>
      </c>
      <c r="I2394">
        <v>0.29007699999999997</v>
      </c>
    </row>
    <row r="2395" spans="1:9" x14ac:dyDescent="0.25">
      <c r="A2395">
        <v>2110080173</v>
      </c>
      <c r="B2395" t="s">
        <v>1214</v>
      </c>
      <c r="C2395" t="s">
        <v>130</v>
      </c>
      <c r="D2395" t="s">
        <v>131</v>
      </c>
      <c r="E2395" s="2">
        <v>1920</v>
      </c>
      <c r="F2395" t="s">
        <v>36</v>
      </c>
      <c r="G2395">
        <v>0</v>
      </c>
      <c r="H2395" s="2">
        <v>2872</v>
      </c>
      <c r="I2395">
        <v>0.40454699999999999</v>
      </c>
    </row>
    <row r="2396" spans="1:9" x14ac:dyDescent="0.25">
      <c r="A2396">
        <v>2110080173</v>
      </c>
      <c r="B2396" t="s">
        <v>1214</v>
      </c>
      <c r="C2396" t="s">
        <v>126</v>
      </c>
      <c r="D2396" t="s">
        <v>127</v>
      </c>
      <c r="E2396">
        <v>7</v>
      </c>
      <c r="F2396" t="s">
        <v>36</v>
      </c>
      <c r="G2396">
        <v>0</v>
      </c>
      <c r="H2396">
        <v>0</v>
      </c>
      <c r="I2396">
        <v>0.40428599999999998</v>
      </c>
    </row>
    <row r="2397" spans="1:9" x14ac:dyDescent="0.25">
      <c r="A2397">
        <v>2110080173</v>
      </c>
      <c r="B2397" t="s">
        <v>1214</v>
      </c>
      <c r="C2397" t="s">
        <v>139</v>
      </c>
      <c r="D2397" t="s">
        <v>140</v>
      </c>
      <c r="E2397" s="2">
        <v>2872</v>
      </c>
      <c r="F2397" t="s">
        <v>36</v>
      </c>
      <c r="G2397" s="2">
        <v>2872</v>
      </c>
      <c r="H2397">
        <v>0</v>
      </c>
      <c r="I2397">
        <v>0.40454400000000001</v>
      </c>
    </row>
    <row r="2398" spans="1:9" x14ac:dyDescent="0.25">
      <c r="A2398">
        <v>2110080174</v>
      </c>
      <c r="B2398" t="s">
        <v>1215</v>
      </c>
      <c r="C2398" t="s">
        <v>130</v>
      </c>
      <c r="D2398" t="s">
        <v>131</v>
      </c>
      <c r="E2398" s="2">
        <v>5760</v>
      </c>
      <c r="F2398" t="s">
        <v>36</v>
      </c>
      <c r="G2398">
        <v>0</v>
      </c>
      <c r="H2398" s="2">
        <v>4558</v>
      </c>
      <c r="I2398">
        <v>0.31843900000000003</v>
      </c>
    </row>
    <row r="2399" spans="1:9" x14ac:dyDescent="0.25">
      <c r="A2399">
        <v>2110080174</v>
      </c>
      <c r="B2399" t="s">
        <v>1215</v>
      </c>
      <c r="C2399" t="s">
        <v>139</v>
      </c>
      <c r="D2399" t="s">
        <v>140</v>
      </c>
      <c r="E2399" s="2">
        <v>4558</v>
      </c>
      <c r="F2399" t="s">
        <v>36</v>
      </c>
      <c r="G2399" s="2">
        <v>4558</v>
      </c>
      <c r="H2399">
        <v>0</v>
      </c>
      <c r="I2399">
        <v>0.318438</v>
      </c>
    </row>
    <row r="2400" spans="1:9" x14ac:dyDescent="0.25">
      <c r="A2400">
        <v>2110080221</v>
      </c>
      <c r="B2400" t="s">
        <v>1216</v>
      </c>
      <c r="C2400" t="s">
        <v>130</v>
      </c>
      <c r="D2400" t="s">
        <v>131</v>
      </c>
      <c r="E2400" s="2">
        <v>0</v>
      </c>
      <c r="F2400" t="s">
        <v>36</v>
      </c>
      <c r="G2400">
        <v>0</v>
      </c>
      <c r="H2400" s="2">
        <v>6640</v>
      </c>
      <c r="I2400">
        <v>0</v>
      </c>
    </row>
    <row r="2401" spans="1:9" x14ac:dyDescent="0.25">
      <c r="A2401">
        <v>2110080221</v>
      </c>
      <c r="B2401" t="s">
        <v>1216</v>
      </c>
      <c r="C2401" t="s">
        <v>126</v>
      </c>
      <c r="D2401" t="s">
        <v>127</v>
      </c>
      <c r="E2401">
        <v>11</v>
      </c>
      <c r="F2401" t="s">
        <v>36</v>
      </c>
      <c r="G2401">
        <v>0</v>
      </c>
      <c r="H2401">
        <v>0</v>
      </c>
      <c r="I2401">
        <v>0.40909099999999998</v>
      </c>
    </row>
    <row r="2402" spans="1:9" x14ac:dyDescent="0.25">
      <c r="A2402">
        <v>2110080221</v>
      </c>
      <c r="B2402" t="s">
        <v>1216</v>
      </c>
      <c r="C2402" t="s">
        <v>139</v>
      </c>
      <c r="D2402" t="s">
        <v>140</v>
      </c>
      <c r="E2402" s="2">
        <v>6640</v>
      </c>
      <c r="F2402" t="s">
        <v>36</v>
      </c>
      <c r="G2402" s="2">
        <v>6640</v>
      </c>
      <c r="H2402">
        <v>0</v>
      </c>
      <c r="I2402">
        <v>0.40900500000000001</v>
      </c>
    </row>
    <row r="2403" spans="1:9" x14ac:dyDescent="0.25">
      <c r="A2403">
        <v>2110080225</v>
      </c>
      <c r="B2403" t="s">
        <v>1217</v>
      </c>
      <c r="C2403" t="s">
        <v>130</v>
      </c>
      <c r="D2403" t="s">
        <v>131</v>
      </c>
      <c r="E2403" s="2">
        <v>0</v>
      </c>
      <c r="F2403" t="s">
        <v>36</v>
      </c>
      <c r="G2403">
        <v>0</v>
      </c>
      <c r="H2403" s="2">
        <v>9147</v>
      </c>
      <c r="I2403">
        <v>0</v>
      </c>
    </row>
    <row r="2404" spans="1:9" x14ac:dyDescent="0.25">
      <c r="A2404">
        <v>2110080225</v>
      </c>
      <c r="B2404" t="s">
        <v>1217</v>
      </c>
      <c r="C2404" t="s">
        <v>139</v>
      </c>
      <c r="D2404" t="s">
        <v>140</v>
      </c>
      <c r="E2404" s="2">
        <v>9147</v>
      </c>
      <c r="F2404" t="s">
        <v>36</v>
      </c>
      <c r="G2404" s="2">
        <v>9147</v>
      </c>
      <c r="H2404">
        <v>0</v>
      </c>
      <c r="I2404">
        <v>0.47109800000000002</v>
      </c>
    </row>
    <row r="2405" spans="1:9" x14ac:dyDescent="0.25">
      <c r="A2405">
        <v>2110080226</v>
      </c>
      <c r="B2405" t="s">
        <v>1218</v>
      </c>
      <c r="C2405" t="s">
        <v>130</v>
      </c>
      <c r="D2405" t="s">
        <v>131</v>
      </c>
      <c r="E2405">
        <v>8</v>
      </c>
      <c r="F2405" t="s">
        <v>36</v>
      </c>
      <c r="G2405" s="2">
        <v>1460</v>
      </c>
      <c r="H2405" s="2">
        <v>0</v>
      </c>
      <c r="I2405">
        <v>2.5437500000000002</v>
      </c>
    </row>
    <row r="2406" spans="1:9" x14ac:dyDescent="0.25">
      <c r="A2406">
        <v>2110080226</v>
      </c>
      <c r="B2406" t="s">
        <v>1218</v>
      </c>
      <c r="C2406" t="s">
        <v>126</v>
      </c>
      <c r="D2406" t="s">
        <v>127</v>
      </c>
      <c r="E2406">
        <v>24</v>
      </c>
      <c r="F2406" t="s">
        <v>36</v>
      </c>
      <c r="G2406">
        <v>0</v>
      </c>
      <c r="H2406">
        <v>0</v>
      </c>
      <c r="I2406">
        <v>2.5441669999999998</v>
      </c>
    </row>
    <row r="2407" spans="1:9" x14ac:dyDescent="0.25">
      <c r="A2407">
        <v>2110080226</v>
      </c>
      <c r="B2407" t="s">
        <v>1218</v>
      </c>
      <c r="C2407" t="s">
        <v>167</v>
      </c>
      <c r="D2407" t="s">
        <v>168</v>
      </c>
      <c r="E2407" s="2">
        <v>0</v>
      </c>
      <c r="F2407" t="s">
        <v>36</v>
      </c>
      <c r="G2407">
        <v>0</v>
      </c>
      <c r="H2407">
        <v>1</v>
      </c>
      <c r="I2407">
        <v>2.5438890000000001</v>
      </c>
    </row>
    <row r="2408" spans="1:9" x14ac:dyDescent="0.25">
      <c r="A2408">
        <v>2110080226</v>
      </c>
      <c r="B2408" t="s">
        <v>1218</v>
      </c>
      <c r="C2408" t="s">
        <v>137</v>
      </c>
      <c r="D2408" t="s">
        <v>138</v>
      </c>
      <c r="E2408">
        <v>36</v>
      </c>
      <c r="F2408" t="s">
        <v>36</v>
      </c>
      <c r="G2408">
        <v>0</v>
      </c>
      <c r="H2408" s="2">
        <v>3</v>
      </c>
      <c r="I2408">
        <v>2.5438890000000001</v>
      </c>
    </row>
    <row r="2409" spans="1:9" x14ac:dyDescent="0.25">
      <c r="A2409">
        <v>2110080227</v>
      </c>
      <c r="B2409" t="s">
        <v>1219</v>
      </c>
      <c r="C2409" t="s">
        <v>130</v>
      </c>
      <c r="D2409" t="s">
        <v>131</v>
      </c>
      <c r="E2409" s="2">
        <v>97601</v>
      </c>
      <c r="F2409" t="s">
        <v>36</v>
      </c>
      <c r="G2409" s="2">
        <v>5400</v>
      </c>
      <c r="H2409" s="2">
        <v>208473</v>
      </c>
      <c r="I2409">
        <v>0.18587600000000001</v>
      </c>
    </row>
    <row r="2410" spans="1:9" x14ac:dyDescent="0.25">
      <c r="A2410">
        <v>2110080227</v>
      </c>
      <c r="B2410" t="s">
        <v>1219</v>
      </c>
      <c r="C2410" t="s">
        <v>142</v>
      </c>
      <c r="D2410" t="s">
        <v>143</v>
      </c>
      <c r="E2410" s="2">
        <v>3718</v>
      </c>
      <c r="F2410" t="s">
        <v>36</v>
      </c>
      <c r="G2410">
        <v>0</v>
      </c>
      <c r="H2410" s="2">
        <v>0</v>
      </c>
      <c r="I2410">
        <v>0.18587699999999999</v>
      </c>
    </row>
    <row r="2411" spans="1:9" x14ac:dyDescent="0.25">
      <c r="A2411">
        <v>2110080227</v>
      </c>
      <c r="B2411" t="s">
        <v>1219</v>
      </c>
      <c r="C2411" t="s">
        <v>258</v>
      </c>
      <c r="D2411" t="s">
        <v>259</v>
      </c>
      <c r="E2411">
        <v>850</v>
      </c>
      <c r="F2411" t="s">
        <v>36</v>
      </c>
      <c r="G2411">
        <v>0</v>
      </c>
      <c r="H2411">
        <v>0</v>
      </c>
      <c r="I2411">
        <v>0.16103500000000001</v>
      </c>
    </row>
    <row r="2412" spans="1:9" x14ac:dyDescent="0.25">
      <c r="A2412">
        <v>2110080227</v>
      </c>
      <c r="B2412" t="s">
        <v>1219</v>
      </c>
      <c r="C2412" t="s">
        <v>137</v>
      </c>
      <c r="D2412" t="s">
        <v>138</v>
      </c>
      <c r="E2412" s="2">
        <v>4000</v>
      </c>
      <c r="F2412" t="s">
        <v>36</v>
      </c>
      <c r="G2412">
        <v>0</v>
      </c>
      <c r="H2412" s="2">
        <v>5100</v>
      </c>
      <c r="I2412">
        <v>0.18587799999999999</v>
      </c>
    </row>
    <row r="2413" spans="1:9" x14ac:dyDescent="0.25">
      <c r="A2413">
        <v>2110080227</v>
      </c>
      <c r="B2413" t="s">
        <v>1219</v>
      </c>
      <c r="C2413" t="s">
        <v>151</v>
      </c>
      <c r="D2413" t="s">
        <v>152</v>
      </c>
      <c r="E2413">
        <v>0</v>
      </c>
      <c r="F2413" t="s">
        <v>36</v>
      </c>
      <c r="G2413" s="2">
        <v>208473</v>
      </c>
      <c r="H2413">
        <v>0</v>
      </c>
      <c r="I2413">
        <v>0.191305</v>
      </c>
    </row>
    <row r="2414" spans="1:9" x14ac:dyDescent="0.25">
      <c r="A2414">
        <v>2110080227</v>
      </c>
      <c r="B2414" t="s">
        <v>1219</v>
      </c>
      <c r="C2414" t="s">
        <v>139</v>
      </c>
      <c r="D2414" t="s">
        <v>140</v>
      </c>
      <c r="E2414" s="2">
        <v>1250</v>
      </c>
      <c r="F2414" t="s">
        <v>36</v>
      </c>
      <c r="G2414">
        <v>0</v>
      </c>
      <c r="H2414">
        <v>0</v>
      </c>
      <c r="I2414">
        <v>0.18615200000000001</v>
      </c>
    </row>
    <row r="2415" spans="1:9" x14ac:dyDescent="0.25">
      <c r="A2415">
        <v>2110080228</v>
      </c>
      <c r="B2415" t="s">
        <v>1220</v>
      </c>
      <c r="C2415" t="s">
        <v>130</v>
      </c>
      <c r="D2415" t="s">
        <v>131</v>
      </c>
      <c r="E2415" s="2">
        <v>75275</v>
      </c>
      <c r="F2415" t="s">
        <v>36</v>
      </c>
      <c r="G2415" s="2">
        <v>1850</v>
      </c>
      <c r="H2415">
        <v>0</v>
      </c>
      <c r="I2415">
        <v>0.18887699999999999</v>
      </c>
    </row>
    <row r="2416" spans="1:9" x14ac:dyDescent="0.25">
      <c r="A2416">
        <v>2110080228</v>
      </c>
      <c r="B2416" t="s">
        <v>1220</v>
      </c>
      <c r="C2416" t="s">
        <v>258</v>
      </c>
      <c r="D2416" t="s">
        <v>259</v>
      </c>
      <c r="E2416">
        <v>850</v>
      </c>
      <c r="F2416" t="s">
        <v>36</v>
      </c>
      <c r="G2416">
        <v>0</v>
      </c>
      <c r="H2416">
        <v>0</v>
      </c>
      <c r="I2416">
        <v>0.163435</v>
      </c>
    </row>
    <row r="2417" spans="1:9" x14ac:dyDescent="0.25">
      <c r="A2417">
        <v>2110080228</v>
      </c>
      <c r="B2417" t="s">
        <v>1220</v>
      </c>
      <c r="C2417" t="s">
        <v>137</v>
      </c>
      <c r="D2417" t="s">
        <v>138</v>
      </c>
      <c r="E2417" s="2">
        <v>9300</v>
      </c>
      <c r="F2417" t="s">
        <v>36</v>
      </c>
      <c r="G2417">
        <v>0</v>
      </c>
      <c r="H2417" s="2">
        <v>1550</v>
      </c>
      <c r="I2417">
        <v>0.176459</v>
      </c>
    </row>
    <row r="2418" spans="1:9" x14ac:dyDescent="0.25">
      <c r="A2418">
        <v>2110080229</v>
      </c>
      <c r="B2418" t="s">
        <v>1221</v>
      </c>
      <c r="C2418" t="s">
        <v>130</v>
      </c>
      <c r="D2418" t="s">
        <v>131</v>
      </c>
      <c r="E2418" s="2">
        <v>45767</v>
      </c>
      <c r="F2418" t="s">
        <v>36</v>
      </c>
      <c r="G2418" s="2">
        <v>4350</v>
      </c>
      <c r="H2418">
        <v>0</v>
      </c>
      <c r="I2418">
        <v>0.20078699999999999</v>
      </c>
    </row>
    <row r="2419" spans="1:9" x14ac:dyDescent="0.25">
      <c r="A2419">
        <v>2110080229</v>
      </c>
      <c r="B2419" t="s">
        <v>1221</v>
      </c>
      <c r="C2419" t="s">
        <v>142</v>
      </c>
      <c r="D2419" t="s">
        <v>143</v>
      </c>
      <c r="E2419" s="2">
        <v>3718</v>
      </c>
      <c r="F2419" t="s">
        <v>36</v>
      </c>
      <c r="G2419">
        <v>0</v>
      </c>
      <c r="H2419">
        <v>0</v>
      </c>
      <c r="I2419">
        <v>0.20078499999999999</v>
      </c>
    </row>
    <row r="2420" spans="1:9" x14ac:dyDescent="0.25">
      <c r="A2420">
        <v>2110080229</v>
      </c>
      <c r="B2420" t="s">
        <v>1221</v>
      </c>
      <c r="C2420" t="s">
        <v>258</v>
      </c>
      <c r="D2420" t="s">
        <v>259</v>
      </c>
      <c r="E2420">
        <v>800</v>
      </c>
      <c r="F2420" t="s">
        <v>36</v>
      </c>
      <c r="G2420">
        <v>0</v>
      </c>
      <c r="H2420">
        <v>0</v>
      </c>
      <c r="I2420">
        <v>0.16822500000000001</v>
      </c>
    </row>
    <row r="2421" spans="1:9" x14ac:dyDescent="0.25">
      <c r="A2421">
        <v>2110080229</v>
      </c>
      <c r="B2421" t="s">
        <v>1221</v>
      </c>
      <c r="C2421" t="s">
        <v>137</v>
      </c>
      <c r="D2421" t="s">
        <v>138</v>
      </c>
      <c r="E2421" s="2">
        <v>1750</v>
      </c>
      <c r="F2421" t="s">
        <v>36</v>
      </c>
      <c r="G2421">
        <v>0</v>
      </c>
      <c r="H2421" s="2">
        <v>2100</v>
      </c>
      <c r="I2421">
        <v>0.200789</v>
      </c>
    </row>
    <row r="2422" spans="1:9" x14ac:dyDescent="0.25">
      <c r="A2422">
        <v>2110080231</v>
      </c>
      <c r="B2422" t="s">
        <v>1222</v>
      </c>
      <c r="C2422" t="s">
        <v>130</v>
      </c>
      <c r="D2422" t="s">
        <v>131</v>
      </c>
      <c r="E2422" s="2">
        <v>23510.5</v>
      </c>
      <c r="F2422" t="s">
        <v>36</v>
      </c>
      <c r="G2422">
        <v>0</v>
      </c>
      <c r="H2422">
        <v>0</v>
      </c>
      <c r="I2422">
        <v>0.21310499999999999</v>
      </c>
    </row>
    <row r="2423" spans="1:9" x14ac:dyDescent="0.25">
      <c r="A2423">
        <v>2110100136</v>
      </c>
      <c r="B2423" t="s">
        <v>1223</v>
      </c>
      <c r="C2423" t="s">
        <v>130</v>
      </c>
      <c r="D2423" t="s">
        <v>131</v>
      </c>
      <c r="E2423">
        <v>8</v>
      </c>
      <c r="F2423" t="s">
        <v>36</v>
      </c>
      <c r="G2423" s="2">
        <v>1101</v>
      </c>
      <c r="H2423" s="2">
        <v>0</v>
      </c>
      <c r="I2423">
        <v>1.1174999999999999</v>
      </c>
    </row>
    <row r="2424" spans="1:9" x14ac:dyDescent="0.25">
      <c r="A2424">
        <v>2110100136</v>
      </c>
      <c r="B2424" t="s">
        <v>1223</v>
      </c>
      <c r="C2424" t="s">
        <v>126</v>
      </c>
      <c r="D2424" t="s">
        <v>127</v>
      </c>
      <c r="E2424">
        <v>9</v>
      </c>
      <c r="F2424" t="s">
        <v>36</v>
      </c>
      <c r="G2424">
        <v>0</v>
      </c>
      <c r="H2424">
        <v>0</v>
      </c>
      <c r="I2424">
        <v>1.1166670000000001</v>
      </c>
    </row>
    <row r="2425" spans="1:9" x14ac:dyDescent="0.25">
      <c r="A2425">
        <v>2110100137</v>
      </c>
      <c r="B2425" t="s">
        <v>1224</v>
      </c>
      <c r="C2425" t="s">
        <v>130</v>
      </c>
      <c r="D2425" t="s">
        <v>131</v>
      </c>
      <c r="E2425" s="2">
        <v>8394</v>
      </c>
      <c r="F2425" t="s">
        <v>36</v>
      </c>
      <c r="G2425" s="2">
        <v>37</v>
      </c>
      <c r="H2425">
        <v>0</v>
      </c>
      <c r="I2425">
        <v>1.0314920000000001</v>
      </c>
    </row>
    <row r="2426" spans="1:9" x14ac:dyDescent="0.25">
      <c r="A2426">
        <v>2110100137</v>
      </c>
      <c r="B2426" t="s">
        <v>1224</v>
      </c>
      <c r="C2426" t="s">
        <v>126</v>
      </c>
      <c r="D2426" t="s">
        <v>127</v>
      </c>
      <c r="E2426">
        <v>2</v>
      </c>
      <c r="F2426" t="s">
        <v>36</v>
      </c>
      <c r="G2426">
        <v>0</v>
      </c>
      <c r="H2426">
        <v>0</v>
      </c>
      <c r="I2426">
        <v>1.03</v>
      </c>
    </row>
    <row r="2427" spans="1:9" x14ac:dyDescent="0.25">
      <c r="A2427">
        <v>2110100138</v>
      </c>
      <c r="B2427" t="s">
        <v>1225</v>
      </c>
      <c r="C2427" t="s">
        <v>130</v>
      </c>
      <c r="D2427" t="s">
        <v>131</v>
      </c>
      <c r="E2427" s="2">
        <v>9121</v>
      </c>
      <c r="F2427" t="s">
        <v>36</v>
      </c>
      <c r="G2427" s="2">
        <v>1932</v>
      </c>
      <c r="H2427">
        <v>0</v>
      </c>
      <c r="I2427">
        <v>1.2905040000000001</v>
      </c>
    </row>
    <row r="2428" spans="1:9" x14ac:dyDescent="0.25">
      <c r="A2428">
        <v>2110100139</v>
      </c>
      <c r="B2428" t="s">
        <v>1226</v>
      </c>
      <c r="C2428" t="s">
        <v>130</v>
      </c>
      <c r="D2428" t="s">
        <v>131</v>
      </c>
      <c r="E2428">
        <v>11</v>
      </c>
      <c r="F2428" t="s">
        <v>36</v>
      </c>
      <c r="G2428" s="2">
        <v>1104</v>
      </c>
      <c r="H2428">
        <v>0</v>
      </c>
      <c r="I2428">
        <v>1.29</v>
      </c>
    </row>
    <row r="2429" spans="1:9" x14ac:dyDescent="0.25">
      <c r="A2429">
        <v>2110100143</v>
      </c>
      <c r="B2429" t="s">
        <v>1227</v>
      </c>
      <c r="C2429" t="s">
        <v>157</v>
      </c>
      <c r="D2429" t="s">
        <v>158</v>
      </c>
      <c r="E2429">
        <v>20</v>
      </c>
      <c r="F2429" t="s">
        <v>36</v>
      </c>
      <c r="G2429">
        <v>0</v>
      </c>
      <c r="H2429" s="2">
        <v>0</v>
      </c>
      <c r="I2429">
        <v>0.99399999999999999</v>
      </c>
    </row>
    <row r="2430" spans="1:9" x14ac:dyDescent="0.25">
      <c r="A2430">
        <v>2110100175</v>
      </c>
      <c r="B2430" t="s">
        <v>1228</v>
      </c>
      <c r="C2430" t="s">
        <v>167</v>
      </c>
      <c r="D2430" t="s">
        <v>168</v>
      </c>
      <c r="E2430" s="2">
        <v>3212</v>
      </c>
      <c r="F2430" t="s">
        <v>36</v>
      </c>
      <c r="G2430">
        <v>201</v>
      </c>
      <c r="H2430">
        <v>0</v>
      </c>
      <c r="I2430">
        <v>0.62845300000000004</v>
      </c>
    </row>
    <row r="2431" spans="1:9" x14ac:dyDescent="0.25">
      <c r="A2431">
        <v>2110100175</v>
      </c>
      <c r="B2431" t="s">
        <v>1228</v>
      </c>
      <c r="C2431" t="s">
        <v>137</v>
      </c>
      <c r="D2431" t="s">
        <v>138</v>
      </c>
      <c r="E2431" s="2">
        <v>0</v>
      </c>
      <c r="F2431" t="s">
        <v>36</v>
      </c>
      <c r="G2431" s="2">
        <v>0</v>
      </c>
      <c r="H2431">
        <v>201</v>
      </c>
      <c r="I2431">
        <v>0.62844900000000004</v>
      </c>
    </row>
    <row r="2432" spans="1:9" x14ac:dyDescent="0.25">
      <c r="A2432">
        <v>2110100176</v>
      </c>
      <c r="B2432" t="s">
        <v>1229</v>
      </c>
      <c r="C2432" t="s">
        <v>167</v>
      </c>
      <c r="D2432" t="s">
        <v>168</v>
      </c>
      <c r="E2432" s="2">
        <v>36</v>
      </c>
      <c r="F2432" t="s">
        <v>36</v>
      </c>
      <c r="G2432">
        <v>0</v>
      </c>
      <c r="H2432">
        <v>0</v>
      </c>
      <c r="I2432">
        <v>2.2430560000000002</v>
      </c>
    </row>
    <row r="2433" spans="1:9" x14ac:dyDescent="0.25">
      <c r="A2433">
        <v>2110100184</v>
      </c>
      <c r="B2433" t="s">
        <v>1230</v>
      </c>
      <c r="C2433" t="s">
        <v>130</v>
      </c>
      <c r="D2433" t="s">
        <v>131</v>
      </c>
      <c r="E2433" s="2">
        <v>0</v>
      </c>
      <c r="F2433" t="s">
        <v>1231</v>
      </c>
      <c r="G2433">
        <v>0</v>
      </c>
      <c r="H2433">
        <v>295</v>
      </c>
      <c r="I2433">
        <v>0</v>
      </c>
    </row>
    <row r="2434" spans="1:9" x14ac:dyDescent="0.25">
      <c r="A2434">
        <v>2110100184</v>
      </c>
      <c r="B2434" t="s">
        <v>1230</v>
      </c>
      <c r="C2434" t="s">
        <v>139</v>
      </c>
      <c r="D2434" t="s">
        <v>140</v>
      </c>
      <c r="E2434">
        <v>295</v>
      </c>
      <c r="F2434" t="s">
        <v>1231</v>
      </c>
      <c r="G2434">
        <v>295</v>
      </c>
      <c r="H2434">
        <v>0</v>
      </c>
      <c r="I2434">
        <v>10.616678</v>
      </c>
    </row>
    <row r="2435" spans="1:9" x14ac:dyDescent="0.25">
      <c r="A2435">
        <v>2110100185</v>
      </c>
      <c r="B2435" t="s">
        <v>1232</v>
      </c>
      <c r="C2435" t="s">
        <v>130</v>
      </c>
      <c r="D2435" t="s">
        <v>131</v>
      </c>
      <c r="E2435">
        <v>0</v>
      </c>
      <c r="F2435" t="s">
        <v>1231</v>
      </c>
      <c r="G2435">
        <v>0</v>
      </c>
      <c r="H2435">
        <v>26</v>
      </c>
      <c r="I2435">
        <v>0</v>
      </c>
    </row>
    <row r="2436" spans="1:9" x14ac:dyDescent="0.25">
      <c r="A2436">
        <v>2110100185</v>
      </c>
      <c r="B2436" t="s">
        <v>1232</v>
      </c>
      <c r="C2436" t="s">
        <v>139</v>
      </c>
      <c r="D2436" t="s">
        <v>140</v>
      </c>
      <c r="E2436">
        <v>26</v>
      </c>
      <c r="F2436" t="s">
        <v>1231</v>
      </c>
      <c r="G2436">
        <v>26</v>
      </c>
      <c r="H2436">
        <v>0</v>
      </c>
      <c r="I2436">
        <v>6.3638459999999997</v>
      </c>
    </row>
    <row r="2437" spans="1:9" x14ac:dyDescent="0.25">
      <c r="A2437">
        <v>2110100195</v>
      </c>
      <c r="B2437" t="s">
        <v>1233</v>
      </c>
      <c r="C2437" t="s">
        <v>130</v>
      </c>
      <c r="D2437" t="s">
        <v>131</v>
      </c>
      <c r="E2437">
        <v>701</v>
      </c>
      <c r="F2437" t="s">
        <v>36</v>
      </c>
      <c r="G2437">
        <v>0</v>
      </c>
      <c r="H2437">
        <v>0</v>
      </c>
      <c r="I2437">
        <v>1.0797859999999999</v>
      </c>
    </row>
    <row r="2438" spans="1:9" x14ac:dyDescent="0.25">
      <c r="A2438">
        <v>2110100195</v>
      </c>
      <c r="B2438" t="s">
        <v>1233</v>
      </c>
      <c r="C2438" t="s">
        <v>137</v>
      </c>
      <c r="D2438" t="s">
        <v>138</v>
      </c>
      <c r="E2438" s="2">
        <v>27</v>
      </c>
      <c r="F2438" t="s">
        <v>36</v>
      </c>
      <c r="G2438" s="2">
        <v>0</v>
      </c>
      <c r="H2438">
        <v>0</v>
      </c>
      <c r="I2438">
        <v>1.08</v>
      </c>
    </row>
    <row r="2439" spans="1:9" x14ac:dyDescent="0.25">
      <c r="A2439">
        <v>2110100196</v>
      </c>
      <c r="B2439" t="s">
        <v>1234</v>
      </c>
      <c r="C2439" t="s">
        <v>130</v>
      </c>
      <c r="D2439" t="s">
        <v>131</v>
      </c>
      <c r="E2439">
        <v>626</v>
      </c>
      <c r="F2439" t="s">
        <v>1231</v>
      </c>
      <c r="G2439">
        <v>50</v>
      </c>
      <c r="H2439">
        <v>1</v>
      </c>
      <c r="I2439">
        <v>11.68655</v>
      </c>
    </row>
    <row r="2440" spans="1:9" x14ac:dyDescent="0.25">
      <c r="A2440">
        <v>2110100196</v>
      </c>
      <c r="B2440" t="s">
        <v>1234</v>
      </c>
      <c r="C2440" t="s">
        <v>142</v>
      </c>
      <c r="D2440" t="s">
        <v>143</v>
      </c>
      <c r="E2440" s="2">
        <v>0</v>
      </c>
      <c r="F2440" t="s">
        <v>1231</v>
      </c>
      <c r="G2440">
        <v>0</v>
      </c>
      <c r="H2440">
        <v>50</v>
      </c>
      <c r="I2440">
        <v>11.6866</v>
      </c>
    </row>
    <row r="2441" spans="1:9" x14ac:dyDescent="0.25">
      <c r="A2441">
        <v>2110100196</v>
      </c>
      <c r="B2441" t="s">
        <v>1234</v>
      </c>
      <c r="C2441" t="s">
        <v>137</v>
      </c>
      <c r="D2441" t="s">
        <v>138</v>
      </c>
      <c r="E2441">
        <v>5</v>
      </c>
      <c r="F2441" t="s">
        <v>1231</v>
      </c>
      <c r="G2441">
        <v>0</v>
      </c>
      <c r="H2441">
        <v>0</v>
      </c>
      <c r="I2441">
        <v>11.688000000000001</v>
      </c>
    </row>
    <row r="2442" spans="1:9" x14ac:dyDescent="0.25">
      <c r="A2442">
        <v>2110100196</v>
      </c>
      <c r="B2442" t="s">
        <v>1234</v>
      </c>
      <c r="C2442" t="s">
        <v>139</v>
      </c>
      <c r="D2442" t="s">
        <v>140</v>
      </c>
      <c r="E2442" s="2">
        <v>0</v>
      </c>
      <c r="F2442" t="s">
        <v>1231</v>
      </c>
      <c r="G2442">
        <v>1</v>
      </c>
      <c r="H2442">
        <v>0</v>
      </c>
      <c r="I2442">
        <v>0</v>
      </c>
    </row>
    <row r="2443" spans="1:9" x14ac:dyDescent="0.25">
      <c r="A2443">
        <v>2110100197</v>
      </c>
      <c r="B2443" t="s">
        <v>1235</v>
      </c>
      <c r="C2443" t="s">
        <v>130</v>
      </c>
      <c r="D2443" t="s">
        <v>131</v>
      </c>
      <c r="E2443">
        <v>0</v>
      </c>
      <c r="F2443" t="s">
        <v>36</v>
      </c>
      <c r="G2443">
        <v>0</v>
      </c>
      <c r="H2443" s="2">
        <v>1651</v>
      </c>
      <c r="I2443">
        <v>0</v>
      </c>
    </row>
    <row r="2444" spans="1:9" x14ac:dyDescent="0.25">
      <c r="A2444">
        <v>2110100197</v>
      </c>
      <c r="B2444" t="s">
        <v>1235</v>
      </c>
      <c r="C2444" t="s">
        <v>139</v>
      </c>
      <c r="D2444" t="s">
        <v>140</v>
      </c>
      <c r="E2444" s="2">
        <v>1651</v>
      </c>
      <c r="F2444" t="s">
        <v>36</v>
      </c>
      <c r="G2444" s="2">
        <v>1651</v>
      </c>
      <c r="H2444">
        <v>0</v>
      </c>
      <c r="I2444">
        <v>7.8292070000000002</v>
      </c>
    </row>
    <row r="2445" spans="1:9" x14ac:dyDescent="0.25">
      <c r="A2445">
        <v>2110100198</v>
      </c>
      <c r="B2445" t="s">
        <v>1236</v>
      </c>
      <c r="C2445" t="s">
        <v>130</v>
      </c>
      <c r="D2445" t="s">
        <v>131</v>
      </c>
      <c r="E2445" s="2">
        <v>0</v>
      </c>
      <c r="F2445" t="s">
        <v>36</v>
      </c>
      <c r="G2445">
        <v>0</v>
      </c>
      <c r="H2445" s="2">
        <v>194</v>
      </c>
      <c r="I2445">
        <v>0</v>
      </c>
    </row>
    <row r="2446" spans="1:9" x14ac:dyDescent="0.25">
      <c r="A2446">
        <v>2110100198</v>
      </c>
      <c r="B2446" t="s">
        <v>1236</v>
      </c>
      <c r="C2446" t="s">
        <v>139</v>
      </c>
      <c r="D2446" t="s">
        <v>140</v>
      </c>
      <c r="E2446">
        <v>194</v>
      </c>
      <c r="F2446" t="s">
        <v>36</v>
      </c>
      <c r="G2446">
        <v>194</v>
      </c>
      <c r="H2446">
        <v>0</v>
      </c>
      <c r="I2446">
        <v>8.340052</v>
      </c>
    </row>
    <row r="2447" spans="1:9" x14ac:dyDescent="0.25">
      <c r="A2447">
        <v>2110100199</v>
      </c>
      <c r="B2447" t="s">
        <v>1237</v>
      </c>
      <c r="C2447" t="s">
        <v>130</v>
      </c>
      <c r="D2447" t="s">
        <v>131</v>
      </c>
      <c r="E2447" s="2">
        <v>0</v>
      </c>
      <c r="F2447" t="s">
        <v>36</v>
      </c>
      <c r="G2447">
        <v>0</v>
      </c>
      <c r="H2447">
        <v>299</v>
      </c>
      <c r="I2447">
        <v>0</v>
      </c>
    </row>
    <row r="2448" spans="1:9" x14ac:dyDescent="0.25">
      <c r="A2448">
        <v>2110100199</v>
      </c>
      <c r="B2448" t="s">
        <v>1237</v>
      </c>
      <c r="C2448" t="s">
        <v>139</v>
      </c>
      <c r="D2448" t="s">
        <v>140</v>
      </c>
      <c r="E2448" s="2">
        <v>299</v>
      </c>
      <c r="F2448" t="s">
        <v>36</v>
      </c>
      <c r="G2448">
        <v>299</v>
      </c>
      <c r="H2448">
        <v>0</v>
      </c>
      <c r="I2448">
        <v>5.7361199999999997</v>
      </c>
    </row>
    <row r="2449" spans="1:9" x14ac:dyDescent="0.25">
      <c r="A2449">
        <v>2110100200</v>
      </c>
      <c r="B2449" t="s">
        <v>1238</v>
      </c>
      <c r="C2449" t="s">
        <v>130</v>
      </c>
      <c r="D2449" t="s">
        <v>131</v>
      </c>
      <c r="E2449" s="2">
        <v>857</v>
      </c>
      <c r="F2449" t="s">
        <v>36</v>
      </c>
      <c r="G2449">
        <v>0</v>
      </c>
      <c r="H2449">
        <v>0</v>
      </c>
      <c r="I2449">
        <v>7.3542940000000003</v>
      </c>
    </row>
    <row r="2450" spans="1:9" x14ac:dyDescent="0.25">
      <c r="A2450">
        <v>2110100200</v>
      </c>
      <c r="B2450" t="s">
        <v>1238</v>
      </c>
      <c r="C2450" t="s">
        <v>137</v>
      </c>
      <c r="D2450" t="s">
        <v>138</v>
      </c>
      <c r="E2450">
        <v>5</v>
      </c>
      <c r="F2450" t="s">
        <v>36</v>
      </c>
      <c r="G2450">
        <v>0</v>
      </c>
      <c r="H2450">
        <v>0</v>
      </c>
      <c r="I2450">
        <v>7.3520000000000003</v>
      </c>
    </row>
    <row r="2451" spans="1:9" x14ac:dyDescent="0.25">
      <c r="A2451">
        <v>2110100201</v>
      </c>
      <c r="B2451" t="s">
        <v>1239</v>
      </c>
      <c r="C2451" t="s">
        <v>130</v>
      </c>
      <c r="D2451" t="s">
        <v>131</v>
      </c>
      <c r="E2451">
        <v>1</v>
      </c>
      <c r="F2451" t="s">
        <v>36</v>
      </c>
      <c r="G2451">
        <v>13</v>
      </c>
      <c r="H2451">
        <v>0</v>
      </c>
      <c r="I2451">
        <v>7.21</v>
      </c>
    </row>
    <row r="2452" spans="1:9" x14ac:dyDescent="0.25">
      <c r="A2452">
        <v>2110100201</v>
      </c>
      <c r="B2452" t="s">
        <v>1239</v>
      </c>
      <c r="C2452" t="s">
        <v>137</v>
      </c>
      <c r="D2452" t="s">
        <v>138</v>
      </c>
      <c r="E2452">
        <v>2</v>
      </c>
      <c r="F2452" t="s">
        <v>36</v>
      </c>
      <c r="G2452">
        <v>0</v>
      </c>
      <c r="H2452">
        <v>0</v>
      </c>
      <c r="I2452">
        <v>7.2149999999999999</v>
      </c>
    </row>
    <row r="2453" spans="1:9" x14ac:dyDescent="0.25">
      <c r="A2453">
        <v>2110100201</v>
      </c>
      <c r="B2453" t="s">
        <v>1239</v>
      </c>
      <c r="C2453" t="s">
        <v>151</v>
      </c>
      <c r="D2453" t="s">
        <v>152</v>
      </c>
      <c r="E2453">
        <v>39</v>
      </c>
      <c r="F2453" t="s">
        <v>36</v>
      </c>
      <c r="G2453">
        <v>0</v>
      </c>
      <c r="H2453">
        <v>0</v>
      </c>
      <c r="I2453">
        <v>7.2146150000000002</v>
      </c>
    </row>
    <row r="2454" spans="1:9" x14ac:dyDescent="0.25">
      <c r="A2454">
        <v>2110100202</v>
      </c>
      <c r="B2454" t="s">
        <v>1240</v>
      </c>
      <c r="C2454" t="s">
        <v>130</v>
      </c>
      <c r="D2454" t="s">
        <v>131</v>
      </c>
      <c r="E2454">
        <v>0</v>
      </c>
      <c r="F2454" t="s">
        <v>36</v>
      </c>
      <c r="G2454">
        <v>0</v>
      </c>
      <c r="H2454">
        <v>290</v>
      </c>
      <c r="I2454">
        <v>0</v>
      </c>
    </row>
    <row r="2455" spans="1:9" x14ac:dyDescent="0.25">
      <c r="A2455">
        <v>2110100202</v>
      </c>
      <c r="B2455" t="s">
        <v>1240</v>
      </c>
      <c r="C2455" t="s">
        <v>139</v>
      </c>
      <c r="D2455" t="s">
        <v>140</v>
      </c>
      <c r="E2455">
        <v>290</v>
      </c>
      <c r="F2455" t="s">
        <v>36</v>
      </c>
      <c r="G2455">
        <v>290</v>
      </c>
      <c r="H2455">
        <v>0</v>
      </c>
      <c r="I2455">
        <v>7.390034</v>
      </c>
    </row>
    <row r="2456" spans="1:9" x14ac:dyDescent="0.25">
      <c r="A2456">
        <v>2110100203</v>
      </c>
      <c r="B2456" t="s">
        <v>1241</v>
      </c>
      <c r="C2456" t="s">
        <v>130</v>
      </c>
      <c r="D2456" t="s">
        <v>131</v>
      </c>
      <c r="E2456" s="2">
        <v>8</v>
      </c>
      <c r="F2456" t="s">
        <v>36</v>
      </c>
      <c r="G2456">
        <v>1</v>
      </c>
      <c r="H2456">
        <v>139</v>
      </c>
      <c r="I2456">
        <v>7.4112499999999999</v>
      </c>
    </row>
    <row r="2457" spans="1:9" x14ac:dyDescent="0.25">
      <c r="A2457">
        <v>2110100203</v>
      </c>
      <c r="B2457" t="s">
        <v>1241</v>
      </c>
      <c r="C2457" t="s">
        <v>137</v>
      </c>
      <c r="D2457" t="s">
        <v>138</v>
      </c>
      <c r="E2457">
        <v>1</v>
      </c>
      <c r="F2457" t="s">
        <v>36</v>
      </c>
      <c r="G2457">
        <v>0</v>
      </c>
      <c r="H2457">
        <v>0</v>
      </c>
      <c r="I2457">
        <v>7.41</v>
      </c>
    </row>
    <row r="2458" spans="1:9" x14ac:dyDescent="0.25">
      <c r="A2458">
        <v>2110100203</v>
      </c>
      <c r="B2458" t="s">
        <v>1241</v>
      </c>
      <c r="C2458" t="s">
        <v>139</v>
      </c>
      <c r="D2458" t="s">
        <v>140</v>
      </c>
      <c r="E2458">
        <v>139</v>
      </c>
      <c r="F2458" t="s">
        <v>36</v>
      </c>
      <c r="G2458">
        <v>139</v>
      </c>
      <c r="H2458">
        <v>0</v>
      </c>
      <c r="I2458">
        <v>7.4105759999999998</v>
      </c>
    </row>
    <row r="2459" spans="1:9" x14ac:dyDescent="0.25">
      <c r="A2459">
        <v>2110100204</v>
      </c>
      <c r="B2459" t="s">
        <v>1242</v>
      </c>
      <c r="C2459" t="s">
        <v>130</v>
      </c>
      <c r="D2459" t="s">
        <v>131</v>
      </c>
      <c r="E2459" s="2">
        <v>0</v>
      </c>
      <c r="F2459" t="s">
        <v>36</v>
      </c>
      <c r="G2459" s="2">
        <v>2</v>
      </c>
      <c r="H2459">
        <v>286</v>
      </c>
      <c r="I2459">
        <v>0</v>
      </c>
    </row>
    <row r="2460" spans="1:9" x14ac:dyDescent="0.25">
      <c r="A2460">
        <v>2110100204</v>
      </c>
      <c r="B2460" t="s">
        <v>1242</v>
      </c>
      <c r="C2460" t="s">
        <v>139</v>
      </c>
      <c r="D2460" t="s">
        <v>140</v>
      </c>
      <c r="E2460">
        <v>286</v>
      </c>
      <c r="F2460" t="s">
        <v>36</v>
      </c>
      <c r="G2460">
        <v>286</v>
      </c>
      <c r="H2460">
        <v>0</v>
      </c>
      <c r="I2460">
        <v>7.4966080000000002</v>
      </c>
    </row>
    <row r="2461" spans="1:9" x14ac:dyDescent="0.25">
      <c r="A2461">
        <v>2110100205</v>
      </c>
      <c r="B2461" t="s">
        <v>1243</v>
      </c>
      <c r="C2461" t="s">
        <v>130</v>
      </c>
      <c r="D2461" t="s">
        <v>131</v>
      </c>
      <c r="E2461" s="2">
        <v>0</v>
      </c>
      <c r="F2461" t="s">
        <v>36</v>
      </c>
      <c r="G2461">
        <v>0</v>
      </c>
      <c r="H2461">
        <v>10</v>
      </c>
      <c r="I2461">
        <v>0</v>
      </c>
    </row>
    <row r="2462" spans="1:9" x14ac:dyDescent="0.25">
      <c r="A2462">
        <v>2110100205</v>
      </c>
      <c r="B2462" t="s">
        <v>1243</v>
      </c>
      <c r="C2462" t="s">
        <v>139</v>
      </c>
      <c r="D2462" t="s">
        <v>140</v>
      </c>
      <c r="E2462" s="2">
        <v>10</v>
      </c>
      <c r="F2462" t="s">
        <v>36</v>
      </c>
      <c r="G2462" s="2">
        <v>10</v>
      </c>
      <c r="H2462">
        <v>0</v>
      </c>
      <c r="I2462">
        <v>10.715</v>
      </c>
    </row>
    <row r="2463" spans="1:9" x14ac:dyDescent="0.25">
      <c r="A2463">
        <v>2110100206</v>
      </c>
      <c r="B2463" t="s">
        <v>1244</v>
      </c>
      <c r="C2463" t="s">
        <v>130</v>
      </c>
      <c r="D2463" t="s">
        <v>131</v>
      </c>
      <c r="E2463">
        <v>0</v>
      </c>
      <c r="F2463" t="s">
        <v>36</v>
      </c>
      <c r="G2463">
        <v>0</v>
      </c>
      <c r="H2463">
        <v>946</v>
      </c>
      <c r="I2463">
        <v>0</v>
      </c>
    </row>
    <row r="2464" spans="1:9" x14ac:dyDescent="0.25">
      <c r="A2464">
        <v>2110100206</v>
      </c>
      <c r="B2464" t="s">
        <v>1244</v>
      </c>
      <c r="C2464" t="s">
        <v>139</v>
      </c>
      <c r="D2464" t="s">
        <v>140</v>
      </c>
      <c r="E2464">
        <v>946</v>
      </c>
      <c r="F2464" t="s">
        <v>36</v>
      </c>
      <c r="G2464">
        <v>946</v>
      </c>
      <c r="H2464">
        <v>0</v>
      </c>
      <c r="I2464">
        <v>15.999798999999999</v>
      </c>
    </row>
    <row r="2465" spans="1:9" x14ac:dyDescent="0.25">
      <c r="A2465">
        <v>2110100207</v>
      </c>
      <c r="B2465" t="s">
        <v>1245</v>
      </c>
      <c r="C2465" t="s">
        <v>130</v>
      </c>
      <c r="D2465" t="s">
        <v>131</v>
      </c>
      <c r="E2465">
        <v>0</v>
      </c>
      <c r="F2465" t="s">
        <v>36</v>
      </c>
      <c r="G2465" s="2">
        <v>0</v>
      </c>
      <c r="H2465">
        <v>915</v>
      </c>
      <c r="I2465">
        <v>0</v>
      </c>
    </row>
    <row r="2466" spans="1:9" x14ac:dyDescent="0.25">
      <c r="A2466">
        <v>2110100207</v>
      </c>
      <c r="B2466" t="s">
        <v>1245</v>
      </c>
      <c r="C2466" t="s">
        <v>139</v>
      </c>
      <c r="D2466" t="s">
        <v>140</v>
      </c>
      <c r="E2466" s="2">
        <v>915</v>
      </c>
      <c r="F2466" t="s">
        <v>36</v>
      </c>
      <c r="G2466">
        <v>915</v>
      </c>
      <c r="H2466">
        <v>0</v>
      </c>
      <c r="I2466">
        <v>15.158863</v>
      </c>
    </row>
    <row r="2467" spans="1:9" x14ac:dyDescent="0.25">
      <c r="A2467">
        <v>2110100208</v>
      </c>
      <c r="B2467" t="s">
        <v>1246</v>
      </c>
      <c r="C2467" t="s">
        <v>130</v>
      </c>
      <c r="D2467" t="s">
        <v>131</v>
      </c>
      <c r="E2467">
        <v>0</v>
      </c>
      <c r="F2467" t="s">
        <v>36</v>
      </c>
      <c r="G2467">
        <v>0</v>
      </c>
      <c r="H2467">
        <v>927</v>
      </c>
      <c r="I2467">
        <v>0</v>
      </c>
    </row>
    <row r="2468" spans="1:9" x14ac:dyDescent="0.25">
      <c r="A2468">
        <v>2110100208</v>
      </c>
      <c r="B2468" t="s">
        <v>1246</v>
      </c>
      <c r="C2468" t="s">
        <v>139</v>
      </c>
      <c r="D2468" t="s">
        <v>140</v>
      </c>
      <c r="E2468">
        <v>927</v>
      </c>
      <c r="F2468" t="s">
        <v>36</v>
      </c>
      <c r="G2468">
        <v>927</v>
      </c>
      <c r="H2468">
        <v>0</v>
      </c>
      <c r="I2468">
        <v>14.31972</v>
      </c>
    </row>
    <row r="2469" spans="1:9" x14ac:dyDescent="0.25">
      <c r="A2469">
        <v>2110100209</v>
      </c>
      <c r="B2469" t="s">
        <v>1247</v>
      </c>
      <c r="C2469" t="s">
        <v>130</v>
      </c>
      <c r="D2469" t="s">
        <v>131</v>
      </c>
      <c r="E2469" s="2">
        <v>6</v>
      </c>
      <c r="F2469" t="s">
        <v>36</v>
      </c>
      <c r="G2469">
        <v>19</v>
      </c>
      <c r="H2469">
        <v>1</v>
      </c>
      <c r="I2469">
        <v>6.9649999999999999</v>
      </c>
    </row>
    <row r="2470" spans="1:9" x14ac:dyDescent="0.25">
      <c r="A2470">
        <v>2110100209</v>
      </c>
      <c r="B2470" t="s">
        <v>1247</v>
      </c>
      <c r="C2470" t="s">
        <v>137</v>
      </c>
      <c r="D2470" t="s">
        <v>138</v>
      </c>
      <c r="E2470" s="2">
        <v>2</v>
      </c>
      <c r="F2470" t="s">
        <v>36</v>
      </c>
      <c r="G2470">
        <v>0</v>
      </c>
      <c r="H2470">
        <v>0</v>
      </c>
      <c r="I2470">
        <v>6.97</v>
      </c>
    </row>
    <row r="2471" spans="1:9" x14ac:dyDescent="0.25">
      <c r="A2471">
        <v>2110100209</v>
      </c>
      <c r="B2471" t="s">
        <v>1247</v>
      </c>
      <c r="C2471" t="s">
        <v>151</v>
      </c>
      <c r="D2471" t="s">
        <v>152</v>
      </c>
      <c r="E2471">
        <v>4</v>
      </c>
      <c r="F2471" t="s">
        <v>36</v>
      </c>
      <c r="G2471">
        <v>0</v>
      </c>
      <c r="H2471">
        <v>0</v>
      </c>
      <c r="I2471">
        <v>6.9649999999999999</v>
      </c>
    </row>
    <row r="2472" spans="1:9" x14ac:dyDescent="0.25">
      <c r="A2472">
        <v>2110100209</v>
      </c>
      <c r="B2472" t="s">
        <v>1247</v>
      </c>
      <c r="C2472" t="s">
        <v>139</v>
      </c>
      <c r="D2472" t="s">
        <v>140</v>
      </c>
      <c r="E2472">
        <v>0</v>
      </c>
      <c r="F2472" t="s">
        <v>36</v>
      </c>
      <c r="G2472">
        <v>1</v>
      </c>
      <c r="H2472">
        <v>0</v>
      </c>
      <c r="I2472">
        <v>6.9654999999999996</v>
      </c>
    </row>
    <row r="2473" spans="1:9" x14ac:dyDescent="0.25">
      <c r="A2473">
        <v>2110100210</v>
      </c>
      <c r="B2473" t="s">
        <v>1248</v>
      </c>
      <c r="C2473" t="s">
        <v>130</v>
      </c>
      <c r="D2473" t="s">
        <v>131</v>
      </c>
      <c r="E2473" s="2">
        <v>5</v>
      </c>
      <c r="F2473" t="s">
        <v>36</v>
      </c>
      <c r="G2473">
        <v>2</v>
      </c>
      <c r="H2473">
        <v>3</v>
      </c>
      <c r="I2473">
        <v>7.3940000000000001</v>
      </c>
    </row>
    <row r="2474" spans="1:9" x14ac:dyDescent="0.25">
      <c r="A2474">
        <v>2110100210</v>
      </c>
      <c r="B2474" t="s">
        <v>1248</v>
      </c>
      <c r="C2474" t="s">
        <v>137</v>
      </c>
      <c r="D2474" t="s">
        <v>138</v>
      </c>
      <c r="E2474" s="2">
        <v>3</v>
      </c>
      <c r="F2474" t="s">
        <v>36</v>
      </c>
      <c r="G2474">
        <v>0</v>
      </c>
      <c r="H2474">
        <v>2</v>
      </c>
      <c r="I2474">
        <v>7.3933330000000002</v>
      </c>
    </row>
    <row r="2475" spans="1:9" x14ac:dyDescent="0.25">
      <c r="A2475">
        <v>2110100210</v>
      </c>
      <c r="B2475" t="s">
        <v>1248</v>
      </c>
      <c r="C2475" t="s">
        <v>139</v>
      </c>
      <c r="D2475" t="s">
        <v>140</v>
      </c>
      <c r="E2475">
        <v>0</v>
      </c>
      <c r="F2475" t="s">
        <v>36</v>
      </c>
      <c r="G2475">
        <v>3</v>
      </c>
      <c r="H2475">
        <v>0</v>
      </c>
      <c r="I2475">
        <v>7.3949999999999996</v>
      </c>
    </row>
    <row r="2476" spans="1:9" x14ac:dyDescent="0.25">
      <c r="A2476">
        <v>2110100212</v>
      </c>
      <c r="B2476" t="s">
        <v>1249</v>
      </c>
      <c r="C2476" t="s">
        <v>130</v>
      </c>
      <c r="D2476" t="s">
        <v>131</v>
      </c>
      <c r="E2476" s="2">
        <v>1677</v>
      </c>
      <c r="F2476" t="s">
        <v>147</v>
      </c>
      <c r="G2476">
        <v>0</v>
      </c>
      <c r="H2476">
        <v>0</v>
      </c>
      <c r="I2476">
        <v>1.9867980000000001</v>
      </c>
    </row>
    <row r="2477" spans="1:9" x14ac:dyDescent="0.25">
      <c r="A2477">
        <v>2110100212</v>
      </c>
      <c r="B2477" t="s">
        <v>1249</v>
      </c>
      <c r="C2477" t="s">
        <v>137</v>
      </c>
      <c r="D2477" t="s">
        <v>138</v>
      </c>
      <c r="E2477">
        <v>3</v>
      </c>
      <c r="F2477" t="s">
        <v>147</v>
      </c>
      <c r="G2477">
        <v>0</v>
      </c>
      <c r="H2477">
        <v>0</v>
      </c>
      <c r="I2477">
        <v>1.99</v>
      </c>
    </row>
    <row r="2478" spans="1:9" x14ac:dyDescent="0.25">
      <c r="A2478">
        <v>2110100213</v>
      </c>
      <c r="B2478" t="s">
        <v>1250</v>
      </c>
      <c r="C2478" t="s">
        <v>130</v>
      </c>
      <c r="D2478" t="s">
        <v>131</v>
      </c>
      <c r="E2478" s="2">
        <v>2505</v>
      </c>
      <c r="F2478" t="s">
        <v>147</v>
      </c>
      <c r="G2478">
        <v>38</v>
      </c>
      <c r="H2478">
        <v>0</v>
      </c>
      <c r="I2478">
        <v>2.1630940000000001</v>
      </c>
    </row>
    <row r="2479" spans="1:9" x14ac:dyDescent="0.25">
      <c r="A2479">
        <v>2110100213</v>
      </c>
      <c r="B2479" t="s">
        <v>1250</v>
      </c>
      <c r="C2479" t="s">
        <v>137</v>
      </c>
      <c r="D2479" t="s">
        <v>138</v>
      </c>
      <c r="E2479">
        <v>15</v>
      </c>
      <c r="F2479" t="s">
        <v>147</v>
      </c>
      <c r="G2479">
        <v>0</v>
      </c>
      <c r="H2479">
        <v>0</v>
      </c>
      <c r="I2479">
        <v>2.3079999999999998</v>
      </c>
    </row>
    <row r="2480" spans="1:9" x14ac:dyDescent="0.25">
      <c r="A2480">
        <v>2110100213</v>
      </c>
      <c r="B2480" t="s">
        <v>1250</v>
      </c>
      <c r="C2480" t="s">
        <v>151</v>
      </c>
      <c r="D2480" t="s">
        <v>152</v>
      </c>
      <c r="E2480" s="2">
        <v>2984</v>
      </c>
      <c r="F2480" t="s">
        <v>147</v>
      </c>
      <c r="G2480">
        <v>0</v>
      </c>
      <c r="H2480">
        <v>0</v>
      </c>
      <c r="I2480">
        <v>2.125858</v>
      </c>
    </row>
    <row r="2481" spans="1:9" x14ac:dyDescent="0.25">
      <c r="A2481">
        <v>2110100217</v>
      </c>
      <c r="B2481" t="s">
        <v>1251</v>
      </c>
      <c r="C2481" t="s">
        <v>130</v>
      </c>
      <c r="D2481" t="s">
        <v>131</v>
      </c>
      <c r="E2481" s="2">
        <v>1707</v>
      </c>
      <c r="F2481" t="s">
        <v>1231</v>
      </c>
      <c r="G2481">
        <v>0</v>
      </c>
      <c r="H2481">
        <v>0</v>
      </c>
      <c r="I2481">
        <v>4.7563500000000003</v>
      </c>
    </row>
    <row r="2482" spans="1:9" x14ac:dyDescent="0.25">
      <c r="A2482">
        <v>2110100218</v>
      </c>
      <c r="B2482" t="s">
        <v>1252</v>
      </c>
      <c r="C2482" t="s">
        <v>130</v>
      </c>
      <c r="D2482" t="s">
        <v>131</v>
      </c>
      <c r="E2482">
        <v>119</v>
      </c>
      <c r="F2482" t="s">
        <v>1231</v>
      </c>
      <c r="G2482">
        <v>0</v>
      </c>
      <c r="H2482">
        <v>0</v>
      </c>
      <c r="I2482">
        <v>7.6818489999999997</v>
      </c>
    </row>
    <row r="2483" spans="1:9" x14ac:dyDescent="0.25">
      <c r="A2483">
        <v>2110100219</v>
      </c>
      <c r="B2483" t="s">
        <v>1253</v>
      </c>
      <c r="C2483" t="s">
        <v>130</v>
      </c>
      <c r="D2483" t="s">
        <v>131</v>
      </c>
      <c r="E2483">
        <v>431</v>
      </c>
      <c r="F2483" t="s">
        <v>1231</v>
      </c>
      <c r="G2483">
        <v>0</v>
      </c>
      <c r="H2483">
        <v>0</v>
      </c>
      <c r="I2483">
        <v>6.0310670000000002</v>
      </c>
    </row>
    <row r="2484" spans="1:9" x14ac:dyDescent="0.25">
      <c r="A2484">
        <v>2110100220</v>
      </c>
      <c r="B2484" t="s">
        <v>1254</v>
      </c>
      <c r="C2484" t="s">
        <v>130</v>
      </c>
      <c r="D2484" t="s">
        <v>131</v>
      </c>
      <c r="E2484">
        <v>342</v>
      </c>
      <c r="F2484" t="s">
        <v>1231</v>
      </c>
      <c r="G2484">
        <v>0</v>
      </c>
      <c r="H2484">
        <v>0</v>
      </c>
      <c r="I2484">
        <v>8.3010230000000007</v>
      </c>
    </row>
    <row r="2485" spans="1:9" x14ac:dyDescent="0.25">
      <c r="A2485">
        <v>2110100221</v>
      </c>
      <c r="B2485" t="s">
        <v>1255</v>
      </c>
      <c r="C2485" t="s">
        <v>130</v>
      </c>
      <c r="D2485" t="s">
        <v>131</v>
      </c>
      <c r="E2485">
        <v>51</v>
      </c>
      <c r="F2485" t="s">
        <v>147</v>
      </c>
      <c r="G2485">
        <v>0</v>
      </c>
      <c r="H2485">
        <v>0</v>
      </c>
      <c r="I2485">
        <v>0.91058799999999995</v>
      </c>
    </row>
    <row r="2486" spans="1:9" x14ac:dyDescent="0.25">
      <c r="A2486">
        <v>2110100222</v>
      </c>
      <c r="B2486" t="s">
        <v>1256</v>
      </c>
      <c r="C2486" t="s">
        <v>130</v>
      </c>
      <c r="D2486" t="s">
        <v>131</v>
      </c>
      <c r="E2486">
        <v>11</v>
      </c>
      <c r="F2486" t="s">
        <v>147</v>
      </c>
      <c r="G2486">
        <v>0</v>
      </c>
      <c r="H2486" s="2">
        <v>0</v>
      </c>
      <c r="I2486">
        <v>0.93909100000000001</v>
      </c>
    </row>
    <row r="2487" spans="1:9" x14ac:dyDescent="0.25">
      <c r="A2487">
        <v>2110100223</v>
      </c>
      <c r="B2487" t="s">
        <v>1257</v>
      </c>
      <c r="C2487" t="s">
        <v>130</v>
      </c>
      <c r="D2487" t="s">
        <v>131</v>
      </c>
      <c r="E2487" s="2">
        <v>24</v>
      </c>
      <c r="F2487" t="s">
        <v>147</v>
      </c>
      <c r="G2487" s="2">
        <v>0</v>
      </c>
      <c r="H2487">
        <v>0</v>
      </c>
      <c r="I2487">
        <v>1.865</v>
      </c>
    </row>
    <row r="2488" spans="1:9" x14ac:dyDescent="0.25">
      <c r="A2488">
        <v>2110100224</v>
      </c>
      <c r="B2488" t="s">
        <v>1258</v>
      </c>
      <c r="C2488" t="s">
        <v>130</v>
      </c>
      <c r="D2488" t="s">
        <v>131</v>
      </c>
      <c r="E2488">
        <v>576</v>
      </c>
      <c r="F2488" t="s">
        <v>147</v>
      </c>
      <c r="G2488">
        <v>0</v>
      </c>
      <c r="H2488">
        <v>0</v>
      </c>
      <c r="I2488">
        <v>2.009601</v>
      </c>
    </row>
    <row r="2489" spans="1:9" x14ac:dyDescent="0.25">
      <c r="A2489">
        <v>2110100225</v>
      </c>
      <c r="B2489" t="s">
        <v>1259</v>
      </c>
      <c r="C2489" t="s">
        <v>130</v>
      </c>
      <c r="D2489" t="s">
        <v>131</v>
      </c>
      <c r="E2489">
        <v>91</v>
      </c>
      <c r="F2489" t="s">
        <v>147</v>
      </c>
      <c r="G2489">
        <v>948</v>
      </c>
      <c r="H2489" s="2">
        <v>4485</v>
      </c>
      <c r="I2489">
        <v>1.478791</v>
      </c>
    </row>
    <row r="2490" spans="1:9" x14ac:dyDescent="0.25">
      <c r="A2490">
        <v>2110100225</v>
      </c>
      <c r="B2490" t="s">
        <v>1259</v>
      </c>
      <c r="C2490" t="s">
        <v>151</v>
      </c>
      <c r="D2490" t="s">
        <v>152</v>
      </c>
      <c r="E2490" s="2">
        <v>0</v>
      </c>
      <c r="F2490" t="s">
        <v>147</v>
      </c>
      <c r="G2490" s="2">
        <v>4485</v>
      </c>
      <c r="H2490">
        <v>0</v>
      </c>
      <c r="I2490">
        <v>1.4787779999999999</v>
      </c>
    </row>
    <row r="2491" spans="1:9" x14ac:dyDescent="0.25">
      <c r="A2491">
        <v>2110100226</v>
      </c>
      <c r="B2491" t="s">
        <v>1260</v>
      </c>
      <c r="C2491" t="s">
        <v>130</v>
      </c>
      <c r="D2491" t="s">
        <v>131</v>
      </c>
      <c r="E2491">
        <v>960</v>
      </c>
      <c r="F2491" t="s">
        <v>147</v>
      </c>
      <c r="G2491">
        <v>0</v>
      </c>
      <c r="H2491">
        <v>0</v>
      </c>
      <c r="I2491">
        <v>1.6289899999999999</v>
      </c>
    </row>
    <row r="2492" spans="1:9" x14ac:dyDescent="0.25">
      <c r="A2492">
        <v>2110100227</v>
      </c>
      <c r="B2492" t="s">
        <v>1261</v>
      </c>
      <c r="C2492" t="s">
        <v>130</v>
      </c>
      <c r="D2492" t="s">
        <v>131</v>
      </c>
      <c r="E2492">
        <v>406</v>
      </c>
      <c r="F2492" t="s">
        <v>147</v>
      </c>
      <c r="G2492">
        <v>336</v>
      </c>
      <c r="H2492" s="2">
        <v>0</v>
      </c>
      <c r="I2492">
        <v>2.6634479999999998</v>
      </c>
    </row>
    <row r="2493" spans="1:9" x14ac:dyDescent="0.25">
      <c r="A2493">
        <v>2110100227</v>
      </c>
      <c r="B2493" t="s">
        <v>1261</v>
      </c>
      <c r="C2493" t="s">
        <v>151</v>
      </c>
      <c r="D2493" t="s">
        <v>152</v>
      </c>
      <c r="E2493">
        <v>336</v>
      </c>
      <c r="F2493" t="s">
        <v>147</v>
      </c>
      <c r="G2493">
        <v>0</v>
      </c>
      <c r="H2493">
        <v>0</v>
      </c>
      <c r="I2493">
        <v>2.6634820000000001</v>
      </c>
    </row>
    <row r="2494" spans="1:9" x14ac:dyDescent="0.25">
      <c r="A2494">
        <v>2110100228</v>
      </c>
      <c r="B2494" t="s">
        <v>1262</v>
      </c>
      <c r="C2494" t="s">
        <v>130</v>
      </c>
      <c r="D2494" t="s">
        <v>131</v>
      </c>
      <c r="E2494" s="2">
        <v>1085</v>
      </c>
      <c r="F2494" t="s">
        <v>1231</v>
      </c>
      <c r="G2494" s="2">
        <v>0</v>
      </c>
      <c r="H2494">
        <v>0</v>
      </c>
      <c r="I2494">
        <v>5.1148759999999998</v>
      </c>
    </row>
    <row r="2495" spans="1:9" x14ac:dyDescent="0.25">
      <c r="A2495">
        <v>2110100229</v>
      </c>
      <c r="B2495" t="s">
        <v>1263</v>
      </c>
      <c r="C2495" t="s">
        <v>130</v>
      </c>
      <c r="D2495" t="s">
        <v>131</v>
      </c>
      <c r="E2495" s="2">
        <v>160</v>
      </c>
      <c r="F2495" t="s">
        <v>1231</v>
      </c>
      <c r="G2495">
        <v>0</v>
      </c>
      <c r="H2495" s="2">
        <v>0</v>
      </c>
      <c r="I2495">
        <v>10.347125</v>
      </c>
    </row>
    <row r="2496" spans="1:9" x14ac:dyDescent="0.25">
      <c r="A2496">
        <v>2110100233</v>
      </c>
      <c r="B2496" t="s">
        <v>1264</v>
      </c>
      <c r="C2496" t="s">
        <v>130</v>
      </c>
      <c r="D2496" t="s">
        <v>131</v>
      </c>
      <c r="E2496" s="2">
        <v>211</v>
      </c>
      <c r="F2496" t="s">
        <v>1231</v>
      </c>
      <c r="G2496">
        <v>0</v>
      </c>
      <c r="H2496">
        <v>0</v>
      </c>
      <c r="I2496">
        <v>5.430237</v>
      </c>
    </row>
    <row r="2497" spans="1:9" x14ac:dyDescent="0.25">
      <c r="A2497">
        <v>2110100233</v>
      </c>
      <c r="B2497" t="s">
        <v>1264</v>
      </c>
      <c r="C2497" t="s">
        <v>137</v>
      </c>
      <c r="D2497" t="s">
        <v>138</v>
      </c>
      <c r="E2497" s="2">
        <v>2</v>
      </c>
      <c r="F2497" t="s">
        <v>1231</v>
      </c>
      <c r="G2497">
        <v>0</v>
      </c>
      <c r="H2497">
        <v>0</v>
      </c>
      <c r="I2497">
        <v>5.43</v>
      </c>
    </row>
    <row r="2498" spans="1:9" x14ac:dyDescent="0.25">
      <c r="A2498">
        <v>2110100234</v>
      </c>
      <c r="B2498" t="s">
        <v>1265</v>
      </c>
      <c r="C2498" t="s">
        <v>130</v>
      </c>
      <c r="D2498" t="s">
        <v>131</v>
      </c>
      <c r="E2498" s="2">
        <v>75</v>
      </c>
      <c r="F2498" t="s">
        <v>1231</v>
      </c>
      <c r="G2498">
        <v>0</v>
      </c>
      <c r="H2498">
        <v>0</v>
      </c>
      <c r="I2498">
        <v>9.5497329999999998</v>
      </c>
    </row>
    <row r="2499" spans="1:9" x14ac:dyDescent="0.25">
      <c r="A2499">
        <v>2110100234</v>
      </c>
      <c r="B2499" t="s">
        <v>1265</v>
      </c>
      <c r="C2499" t="s">
        <v>137</v>
      </c>
      <c r="D2499" t="s">
        <v>138</v>
      </c>
      <c r="E2499">
        <v>2</v>
      </c>
      <c r="F2499" t="s">
        <v>1231</v>
      </c>
      <c r="G2499">
        <v>0</v>
      </c>
      <c r="H2499">
        <v>0</v>
      </c>
      <c r="I2499">
        <v>9.5500000000000007</v>
      </c>
    </row>
    <row r="2500" spans="1:9" x14ac:dyDescent="0.25">
      <c r="A2500">
        <v>2110100235</v>
      </c>
      <c r="B2500" t="s">
        <v>1266</v>
      </c>
      <c r="C2500" t="s">
        <v>130</v>
      </c>
      <c r="D2500" t="s">
        <v>131</v>
      </c>
      <c r="E2500" s="2">
        <v>169</v>
      </c>
      <c r="F2500" t="s">
        <v>1231</v>
      </c>
      <c r="G2500" s="2">
        <v>0</v>
      </c>
      <c r="H2500">
        <v>0</v>
      </c>
      <c r="I2500">
        <v>6.6331949999999997</v>
      </c>
    </row>
    <row r="2501" spans="1:9" x14ac:dyDescent="0.25">
      <c r="A2501">
        <v>2110100235</v>
      </c>
      <c r="B2501" t="s">
        <v>1266</v>
      </c>
      <c r="C2501" t="s">
        <v>137</v>
      </c>
      <c r="D2501" t="s">
        <v>138</v>
      </c>
      <c r="E2501" s="2">
        <v>2</v>
      </c>
      <c r="F2501" t="s">
        <v>1231</v>
      </c>
      <c r="G2501">
        <v>0</v>
      </c>
      <c r="H2501">
        <v>0</v>
      </c>
      <c r="I2501">
        <v>6.63</v>
      </c>
    </row>
    <row r="2502" spans="1:9" x14ac:dyDescent="0.25">
      <c r="A2502">
        <v>2110100236</v>
      </c>
      <c r="B2502" t="s">
        <v>1267</v>
      </c>
      <c r="C2502" t="s">
        <v>130</v>
      </c>
      <c r="D2502" t="s">
        <v>131</v>
      </c>
      <c r="E2502">
        <v>298</v>
      </c>
      <c r="F2502" t="s">
        <v>1231</v>
      </c>
      <c r="G2502">
        <v>0</v>
      </c>
      <c r="H2502">
        <v>0</v>
      </c>
      <c r="I2502">
        <v>5.8103360000000004</v>
      </c>
    </row>
    <row r="2503" spans="1:9" x14ac:dyDescent="0.25">
      <c r="A2503">
        <v>2110100236</v>
      </c>
      <c r="B2503" t="s">
        <v>1267</v>
      </c>
      <c r="C2503" t="s">
        <v>137</v>
      </c>
      <c r="D2503" t="s">
        <v>138</v>
      </c>
      <c r="E2503">
        <v>2</v>
      </c>
      <c r="F2503" t="s">
        <v>1231</v>
      </c>
      <c r="G2503">
        <v>0</v>
      </c>
      <c r="H2503">
        <v>0</v>
      </c>
      <c r="I2503">
        <v>5.81</v>
      </c>
    </row>
    <row r="2504" spans="1:9" x14ac:dyDescent="0.25">
      <c r="A2504">
        <v>2110100237</v>
      </c>
      <c r="B2504" t="s">
        <v>1268</v>
      </c>
      <c r="C2504" t="s">
        <v>130</v>
      </c>
      <c r="D2504" t="s">
        <v>131</v>
      </c>
      <c r="E2504">
        <v>106</v>
      </c>
      <c r="F2504" t="s">
        <v>1231</v>
      </c>
      <c r="G2504">
        <v>0</v>
      </c>
      <c r="H2504">
        <v>0</v>
      </c>
      <c r="I2504">
        <v>10.068208</v>
      </c>
    </row>
    <row r="2505" spans="1:9" x14ac:dyDescent="0.25">
      <c r="A2505">
        <v>2110100237</v>
      </c>
      <c r="B2505" t="s">
        <v>1268</v>
      </c>
      <c r="C2505" t="s">
        <v>137</v>
      </c>
      <c r="D2505" t="s">
        <v>138</v>
      </c>
      <c r="E2505">
        <v>2</v>
      </c>
      <c r="F2505" t="s">
        <v>1231</v>
      </c>
      <c r="G2505">
        <v>0</v>
      </c>
      <c r="H2505">
        <v>0</v>
      </c>
      <c r="I2505">
        <v>10.07</v>
      </c>
    </row>
    <row r="2506" spans="1:9" x14ac:dyDescent="0.25">
      <c r="A2506">
        <v>2110100238</v>
      </c>
      <c r="B2506" t="s">
        <v>1269</v>
      </c>
      <c r="C2506" t="s">
        <v>130</v>
      </c>
      <c r="D2506" t="s">
        <v>131</v>
      </c>
      <c r="E2506">
        <v>227</v>
      </c>
      <c r="F2506" t="s">
        <v>1231</v>
      </c>
      <c r="G2506">
        <v>0</v>
      </c>
      <c r="H2506">
        <v>0</v>
      </c>
      <c r="I2506">
        <v>6.8090310000000001</v>
      </c>
    </row>
    <row r="2507" spans="1:9" x14ac:dyDescent="0.25">
      <c r="A2507">
        <v>2110100238</v>
      </c>
      <c r="B2507" t="s">
        <v>1269</v>
      </c>
      <c r="C2507" t="s">
        <v>137</v>
      </c>
      <c r="D2507" t="s">
        <v>138</v>
      </c>
      <c r="E2507" s="2">
        <v>2</v>
      </c>
      <c r="F2507" t="s">
        <v>1231</v>
      </c>
      <c r="G2507">
        <v>0</v>
      </c>
      <c r="H2507">
        <v>0</v>
      </c>
      <c r="I2507">
        <v>6.81</v>
      </c>
    </row>
    <row r="2508" spans="1:9" x14ac:dyDescent="0.25">
      <c r="A2508">
        <v>2110100239</v>
      </c>
      <c r="B2508" t="s">
        <v>1270</v>
      </c>
      <c r="C2508" t="s">
        <v>130</v>
      </c>
      <c r="D2508" t="s">
        <v>131</v>
      </c>
      <c r="E2508">
        <v>71</v>
      </c>
      <c r="F2508" t="s">
        <v>1231</v>
      </c>
      <c r="G2508">
        <v>0</v>
      </c>
      <c r="H2508">
        <v>0</v>
      </c>
      <c r="I2508">
        <v>6.1647889999999999</v>
      </c>
    </row>
    <row r="2509" spans="1:9" x14ac:dyDescent="0.25">
      <c r="A2509">
        <v>2110100239</v>
      </c>
      <c r="B2509" t="s">
        <v>1270</v>
      </c>
      <c r="C2509" t="s">
        <v>137</v>
      </c>
      <c r="D2509" t="s">
        <v>138</v>
      </c>
      <c r="E2509" s="2">
        <v>2</v>
      </c>
      <c r="F2509" t="s">
        <v>1231</v>
      </c>
      <c r="G2509" s="2">
        <v>0</v>
      </c>
      <c r="H2509">
        <v>0</v>
      </c>
      <c r="I2509">
        <v>6.165</v>
      </c>
    </row>
    <row r="2510" spans="1:9" x14ac:dyDescent="0.25">
      <c r="A2510">
        <v>2110100240</v>
      </c>
      <c r="B2510" t="s">
        <v>1271</v>
      </c>
      <c r="C2510" t="s">
        <v>130</v>
      </c>
      <c r="D2510" t="s">
        <v>131</v>
      </c>
      <c r="E2510" s="2">
        <v>26</v>
      </c>
      <c r="F2510" t="s">
        <v>1231</v>
      </c>
      <c r="G2510">
        <v>0</v>
      </c>
      <c r="H2510" s="2">
        <v>0</v>
      </c>
      <c r="I2510">
        <v>6.1369230000000003</v>
      </c>
    </row>
    <row r="2511" spans="1:9" x14ac:dyDescent="0.25">
      <c r="A2511">
        <v>2110100240</v>
      </c>
      <c r="B2511" t="s">
        <v>1271</v>
      </c>
      <c r="C2511" t="s">
        <v>137</v>
      </c>
      <c r="D2511" t="s">
        <v>138</v>
      </c>
      <c r="E2511">
        <v>2</v>
      </c>
      <c r="F2511" t="s">
        <v>1231</v>
      </c>
      <c r="G2511">
        <v>0</v>
      </c>
      <c r="H2511">
        <v>0</v>
      </c>
      <c r="I2511">
        <v>6.1349999999999998</v>
      </c>
    </row>
    <row r="2512" spans="1:9" x14ac:dyDescent="0.25">
      <c r="A2512">
        <v>2110100241</v>
      </c>
      <c r="B2512" t="s">
        <v>1272</v>
      </c>
      <c r="C2512" t="s">
        <v>130</v>
      </c>
      <c r="D2512" t="s">
        <v>131</v>
      </c>
      <c r="E2512" s="2">
        <v>125</v>
      </c>
      <c r="F2512" t="s">
        <v>1231</v>
      </c>
      <c r="G2512">
        <v>0</v>
      </c>
      <c r="H2512">
        <v>0</v>
      </c>
      <c r="I2512">
        <v>5.4747199999999996</v>
      </c>
    </row>
    <row r="2513" spans="1:9" x14ac:dyDescent="0.25">
      <c r="A2513">
        <v>2110100241</v>
      </c>
      <c r="B2513" t="s">
        <v>1272</v>
      </c>
      <c r="C2513" t="s">
        <v>137</v>
      </c>
      <c r="D2513" t="s">
        <v>138</v>
      </c>
      <c r="E2513" s="2">
        <v>2</v>
      </c>
      <c r="F2513" t="s">
        <v>1231</v>
      </c>
      <c r="G2513">
        <v>0</v>
      </c>
      <c r="H2513" s="2">
        <v>0</v>
      </c>
      <c r="I2513">
        <v>5.4749999999999996</v>
      </c>
    </row>
    <row r="2514" spans="1:9" x14ac:dyDescent="0.25">
      <c r="A2514">
        <v>2110100242</v>
      </c>
      <c r="B2514" t="s">
        <v>1273</v>
      </c>
      <c r="C2514" t="s">
        <v>130</v>
      </c>
      <c r="D2514" t="s">
        <v>131</v>
      </c>
      <c r="E2514">
        <v>186</v>
      </c>
      <c r="F2514" t="s">
        <v>1231</v>
      </c>
      <c r="G2514">
        <v>0</v>
      </c>
      <c r="H2514">
        <v>0</v>
      </c>
      <c r="I2514">
        <v>4.1438709999999999</v>
      </c>
    </row>
    <row r="2515" spans="1:9" x14ac:dyDescent="0.25">
      <c r="A2515">
        <v>2110100242</v>
      </c>
      <c r="B2515" t="s">
        <v>1273</v>
      </c>
      <c r="C2515" t="s">
        <v>137</v>
      </c>
      <c r="D2515" t="s">
        <v>138</v>
      </c>
      <c r="E2515">
        <v>2</v>
      </c>
      <c r="F2515" t="s">
        <v>1231</v>
      </c>
      <c r="G2515">
        <v>0</v>
      </c>
      <c r="H2515">
        <v>0</v>
      </c>
      <c r="I2515">
        <v>4.1449999999999996</v>
      </c>
    </row>
    <row r="2516" spans="1:9" x14ac:dyDescent="0.25">
      <c r="A2516">
        <v>2110100243</v>
      </c>
      <c r="B2516" t="s">
        <v>1274</v>
      </c>
      <c r="C2516" t="s">
        <v>130</v>
      </c>
      <c r="D2516" t="s">
        <v>131</v>
      </c>
      <c r="E2516" s="2">
        <v>75</v>
      </c>
      <c r="F2516" t="s">
        <v>1231</v>
      </c>
      <c r="G2516">
        <v>0</v>
      </c>
      <c r="H2516">
        <v>0</v>
      </c>
      <c r="I2516">
        <v>5.8750669999999996</v>
      </c>
    </row>
    <row r="2517" spans="1:9" x14ac:dyDescent="0.25">
      <c r="A2517">
        <v>2110100243</v>
      </c>
      <c r="B2517" t="s">
        <v>1274</v>
      </c>
      <c r="C2517" t="s">
        <v>137</v>
      </c>
      <c r="D2517" t="s">
        <v>138</v>
      </c>
      <c r="E2517">
        <v>2</v>
      </c>
      <c r="F2517" t="s">
        <v>1231</v>
      </c>
      <c r="G2517">
        <v>0</v>
      </c>
      <c r="H2517" s="2">
        <v>0</v>
      </c>
      <c r="I2517">
        <v>5.875</v>
      </c>
    </row>
    <row r="2518" spans="1:9" x14ac:dyDescent="0.25">
      <c r="A2518">
        <v>2110100244</v>
      </c>
      <c r="B2518" t="s">
        <v>1275</v>
      </c>
      <c r="C2518" t="s">
        <v>130</v>
      </c>
      <c r="D2518" t="s">
        <v>131</v>
      </c>
      <c r="E2518">
        <v>0</v>
      </c>
      <c r="F2518" t="s">
        <v>1231</v>
      </c>
      <c r="G2518" s="2">
        <v>1859</v>
      </c>
      <c r="H2518">
        <v>0</v>
      </c>
      <c r="I2518">
        <v>0</v>
      </c>
    </row>
    <row r="2519" spans="1:9" x14ac:dyDescent="0.25">
      <c r="A2519">
        <v>2110100245</v>
      </c>
      <c r="B2519" t="s">
        <v>1276</v>
      </c>
      <c r="C2519" t="s">
        <v>130</v>
      </c>
      <c r="D2519" t="s">
        <v>131</v>
      </c>
      <c r="E2519" s="2">
        <v>475</v>
      </c>
      <c r="F2519" t="s">
        <v>147</v>
      </c>
      <c r="G2519" s="2">
        <v>1524</v>
      </c>
      <c r="H2519" s="2">
        <v>4129</v>
      </c>
      <c r="I2519">
        <v>0.641621</v>
      </c>
    </row>
    <row r="2520" spans="1:9" x14ac:dyDescent="0.25">
      <c r="A2520">
        <v>2110100245</v>
      </c>
      <c r="B2520" t="s">
        <v>1276</v>
      </c>
      <c r="C2520" t="s">
        <v>151</v>
      </c>
      <c r="D2520" t="s">
        <v>152</v>
      </c>
      <c r="E2520">
        <v>0</v>
      </c>
      <c r="F2520" t="s">
        <v>147</v>
      </c>
      <c r="G2520" s="2">
        <v>3841</v>
      </c>
      <c r="H2520" s="2">
        <v>720</v>
      </c>
      <c r="I2520">
        <v>0.97126800000000002</v>
      </c>
    </row>
    <row r="2521" spans="1:9" x14ac:dyDescent="0.25">
      <c r="A2521">
        <v>2110100245</v>
      </c>
      <c r="B2521" t="s">
        <v>1276</v>
      </c>
      <c r="C2521" t="s">
        <v>139</v>
      </c>
      <c r="D2521" t="s">
        <v>140</v>
      </c>
      <c r="E2521" s="2">
        <v>0</v>
      </c>
      <c r="F2521" t="s">
        <v>147</v>
      </c>
      <c r="G2521" s="2">
        <v>288</v>
      </c>
      <c r="H2521">
        <v>0</v>
      </c>
      <c r="I2521">
        <v>0</v>
      </c>
    </row>
    <row r="2522" spans="1:9" x14ac:dyDescent="0.25">
      <c r="A2522">
        <v>2110100246</v>
      </c>
      <c r="B2522" t="s">
        <v>1277</v>
      </c>
      <c r="C2522" t="s">
        <v>130</v>
      </c>
      <c r="D2522" t="s">
        <v>131</v>
      </c>
      <c r="E2522">
        <v>22</v>
      </c>
      <c r="F2522" t="s">
        <v>147</v>
      </c>
      <c r="G2522">
        <v>0</v>
      </c>
      <c r="H2522">
        <v>0</v>
      </c>
      <c r="I2522">
        <v>1.686364</v>
      </c>
    </row>
    <row r="2523" spans="1:9" x14ac:dyDescent="0.25">
      <c r="A2523">
        <v>2110100247</v>
      </c>
      <c r="B2523" t="s">
        <v>1278</v>
      </c>
      <c r="C2523" t="s">
        <v>167</v>
      </c>
      <c r="D2523" t="s">
        <v>168</v>
      </c>
      <c r="E2523">
        <v>400</v>
      </c>
      <c r="F2523" t="s">
        <v>36</v>
      </c>
      <c r="G2523" s="2">
        <v>0</v>
      </c>
      <c r="H2523">
        <v>0</v>
      </c>
      <c r="I2523">
        <v>1.3200750000000001</v>
      </c>
    </row>
    <row r="2524" spans="1:9" x14ac:dyDescent="0.25">
      <c r="A2524">
        <v>2110100251</v>
      </c>
      <c r="B2524" t="s">
        <v>1279</v>
      </c>
      <c r="C2524" t="s">
        <v>130</v>
      </c>
      <c r="D2524" t="s">
        <v>131</v>
      </c>
      <c r="E2524">
        <v>0</v>
      </c>
      <c r="F2524" t="s">
        <v>1231</v>
      </c>
      <c r="G2524">
        <v>63</v>
      </c>
      <c r="H2524" s="2">
        <v>0</v>
      </c>
      <c r="I2524">
        <v>11.953250000000001</v>
      </c>
    </row>
    <row r="2525" spans="1:9" x14ac:dyDescent="0.25">
      <c r="A2525">
        <v>2110110001</v>
      </c>
      <c r="B2525" t="s">
        <v>1280</v>
      </c>
      <c r="C2525" t="s">
        <v>130</v>
      </c>
      <c r="D2525" t="s">
        <v>131</v>
      </c>
      <c r="E2525" s="2">
        <v>57236</v>
      </c>
      <c r="F2525" t="s">
        <v>36</v>
      </c>
      <c r="G2525">
        <v>68</v>
      </c>
      <c r="H2525" s="2">
        <v>36960</v>
      </c>
      <c r="I2525">
        <v>0.565469</v>
      </c>
    </row>
    <row r="2526" spans="1:9" x14ac:dyDescent="0.25">
      <c r="A2526">
        <v>2110110001</v>
      </c>
      <c r="B2526" t="s">
        <v>1280</v>
      </c>
      <c r="C2526" t="s">
        <v>126</v>
      </c>
      <c r="D2526" t="s">
        <v>127</v>
      </c>
      <c r="E2526" s="2">
        <v>54</v>
      </c>
      <c r="F2526" t="s">
        <v>36</v>
      </c>
      <c r="G2526" s="2">
        <v>0</v>
      </c>
      <c r="H2526" s="2">
        <v>0</v>
      </c>
      <c r="I2526">
        <v>0.55851899999999999</v>
      </c>
    </row>
    <row r="2527" spans="1:9" x14ac:dyDescent="0.25">
      <c r="A2527">
        <v>2110110001</v>
      </c>
      <c r="B2527" t="s">
        <v>1280</v>
      </c>
      <c r="C2527" t="s">
        <v>137</v>
      </c>
      <c r="D2527" t="s">
        <v>138</v>
      </c>
      <c r="E2527">
        <v>30</v>
      </c>
      <c r="F2527" t="s">
        <v>36</v>
      </c>
      <c r="G2527">
        <v>0</v>
      </c>
      <c r="H2527">
        <v>7</v>
      </c>
      <c r="I2527">
        <v>0.57099999999999995</v>
      </c>
    </row>
    <row r="2528" spans="1:9" x14ac:dyDescent="0.25">
      <c r="A2528">
        <v>2110110001</v>
      </c>
      <c r="B2528" t="s">
        <v>1280</v>
      </c>
      <c r="C2528" t="s">
        <v>139</v>
      </c>
      <c r="D2528" t="s">
        <v>140</v>
      </c>
      <c r="E2528" s="2">
        <v>4032</v>
      </c>
      <c r="F2528" t="s">
        <v>36</v>
      </c>
      <c r="G2528" s="2">
        <v>36960</v>
      </c>
      <c r="H2528" s="2">
        <v>0</v>
      </c>
      <c r="I2528">
        <v>0.55845199999999995</v>
      </c>
    </row>
    <row r="2529" spans="1:9" x14ac:dyDescent="0.25">
      <c r="A2529">
        <v>2110110002</v>
      </c>
      <c r="B2529" t="s">
        <v>1281</v>
      </c>
      <c r="C2529" t="s">
        <v>130</v>
      </c>
      <c r="D2529" t="s">
        <v>131</v>
      </c>
      <c r="E2529" s="2">
        <v>128002</v>
      </c>
      <c r="F2529" t="s">
        <v>36</v>
      </c>
      <c r="G2529" s="2">
        <v>5510</v>
      </c>
      <c r="H2529" s="2">
        <v>50476</v>
      </c>
      <c r="I2529">
        <v>0.75934000000000001</v>
      </c>
    </row>
    <row r="2530" spans="1:9" x14ac:dyDescent="0.25">
      <c r="A2530">
        <v>2110110002</v>
      </c>
      <c r="B2530" t="s">
        <v>1281</v>
      </c>
      <c r="C2530" t="s">
        <v>126</v>
      </c>
      <c r="D2530" t="s">
        <v>127</v>
      </c>
      <c r="E2530" s="2">
        <v>273</v>
      </c>
      <c r="F2530" t="s">
        <v>36</v>
      </c>
      <c r="G2530">
        <v>0</v>
      </c>
      <c r="H2530">
        <v>0</v>
      </c>
      <c r="I2530">
        <v>0.84835199999999999</v>
      </c>
    </row>
    <row r="2531" spans="1:9" x14ac:dyDescent="0.25">
      <c r="A2531">
        <v>2110110002</v>
      </c>
      <c r="B2531" t="s">
        <v>1281</v>
      </c>
      <c r="C2531" t="s">
        <v>137</v>
      </c>
      <c r="D2531" t="s">
        <v>138</v>
      </c>
      <c r="E2531" s="2">
        <v>468</v>
      </c>
      <c r="F2531" t="s">
        <v>36</v>
      </c>
      <c r="G2531">
        <v>0</v>
      </c>
      <c r="H2531">
        <v>3</v>
      </c>
      <c r="I2531">
        <v>0.81515000000000004</v>
      </c>
    </row>
    <row r="2532" spans="1:9" x14ac:dyDescent="0.25">
      <c r="A2532">
        <v>2110110002</v>
      </c>
      <c r="B2532" t="s">
        <v>1281</v>
      </c>
      <c r="C2532" t="s">
        <v>151</v>
      </c>
      <c r="D2532" t="s">
        <v>152</v>
      </c>
      <c r="E2532" s="2">
        <v>0</v>
      </c>
      <c r="F2532" t="s">
        <v>36</v>
      </c>
      <c r="G2532">
        <v>556</v>
      </c>
      <c r="H2532">
        <v>0</v>
      </c>
      <c r="I2532">
        <v>0.77005999999999997</v>
      </c>
    </row>
    <row r="2533" spans="1:9" x14ac:dyDescent="0.25">
      <c r="A2533">
        <v>2110110002</v>
      </c>
      <c r="B2533" t="s">
        <v>1281</v>
      </c>
      <c r="C2533" t="s">
        <v>139</v>
      </c>
      <c r="D2533" t="s">
        <v>140</v>
      </c>
      <c r="E2533" s="2">
        <v>0</v>
      </c>
      <c r="F2533" t="s">
        <v>36</v>
      </c>
      <c r="G2533" s="2">
        <v>49920</v>
      </c>
      <c r="H2533" s="2">
        <v>4067</v>
      </c>
      <c r="I2533">
        <v>0.85499999999999998</v>
      </c>
    </row>
    <row r="2534" spans="1:9" x14ac:dyDescent="0.25">
      <c r="A2534">
        <v>2110110004</v>
      </c>
      <c r="B2534" t="s">
        <v>1282</v>
      </c>
      <c r="C2534" t="s">
        <v>199</v>
      </c>
      <c r="D2534" t="s">
        <v>200</v>
      </c>
      <c r="E2534" s="2">
        <v>1.512</v>
      </c>
      <c r="F2534" t="s">
        <v>36</v>
      </c>
      <c r="G2534">
        <v>0</v>
      </c>
      <c r="H2534">
        <v>0</v>
      </c>
      <c r="I2534">
        <v>0.70767199999999997</v>
      </c>
    </row>
    <row r="2535" spans="1:9" x14ac:dyDescent="0.25">
      <c r="A2535">
        <v>2110110004</v>
      </c>
      <c r="B2535" t="s">
        <v>1282</v>
      </c>
      <c r="C2535" t="s">
        <v>130</v>
      </c>
      <c r="D2535" t="s">
        <v>131</v>
      </c>
      <c r="E2535" s="2">
        <v>24154.488000000001</v>
      </c>
      <c r="F2535" t="s">
        <v>36</v>
      </c>
      <c r="G2535">
        <v>272</v>
      </c>
      <c r="H2535">
        <v>0</v>
      </c>
      <c r="I2535">
        <v>0.70856799999999998</v>
      </c>
    </row>
    <row r="2536" spans="1:9" x14ac:dyDescent="0.25">
      <c r="A2536">
        <v>2110110004</v>
      </c>
      <c r="B2536" t="s">
        <v>1282</v>
      </c>
      <c r="C2536" t="s">
        <v>137</v>
      </c>
      <c r="D2536" t="s">
        <v>138</v>
      </c>
      <c r="E2536" s="2">
        <v>90</v>
      </c>
      <c r="F2536" t="s">
        <v>36</v>
      </c>
      <c r="G2536">
        <v>0</v>
      </c>
      <c r="H2536">
        <v>2</v>
      </c>
      <c r="I2536">
        <v>0.72488900000000001</v>
      </c>
    </row>
    <row r="2537" spans="1:9" x14ac:dyDescent="0.25">
      <c r="A2537">
        <v>2110110022</v>
      </c>
      <c r="B2537" t="s">
        <v>1283</v>
      </c>
      <c r="C2537" t="s">
        <v>130</v>
      </c>
      <c r="D2537" t="s">
        <v>131</v>
      </c>
      <c r="E2537">
        <v>7.9200000000000007E-2</v>
      </c>
      <c r="F2537" t="s">
        <v>36</v>
      </c>
      <c r="G2537">
        <v>0</v>
      </c>
      <c r="H2537">
        <v>0</v>
      </c>
      <c r="I2537">
        <v>0.50505100000000003</v>
      </c>
    </row>
    <row r="2538" spans="1:9" x14ac:dyDescent="0.25">
      <c r="A2538">
        <v>2110110025</v>
      </c>
      <c r="B2538" t="s">
        <v>1284</v>
      </c>
      <c r="C2538" t="s">
        <v>130</v>
      </c>
      <c r="D2538" t="s">
        <v>131</v>
      </c>
      <c r="E2538" s="2">
        <v>35616</v>
      </c>
      <c r="F2538" t="s">
        <v>36</v>
      </c>
      <c r="G2538" s="2">
        <v>4661</v>
      </c>
      <c r="H2538" s="2">
        <v>56064</v>
      </c>
      <c r="I2538">
        <v>0.36642400000000003</v>
      </c>
    </row>
    <row r="2539" spans="1:9" x14ac:dyDescent="0.25">
      <c r="A2539">
        <v>2110110025</v>
      </c>
      <c r="B2539" t="s">
        <v>1284</v>
      </c>
      <c r="C2539" t="s">
        <v>137</v>
      </c>
      <c r="D2539" t="s">
        <v>138</v>
      </c>
      <c r="E2539">
        <v>0</v>
      </c>
      <c r="F2539" t="s">
        <v>36</v>
      </c>
      <c r="G2539">
        <v>0</v>
      </c>
      <c r="H2539">
        <v>2</v>
      </c>
      <c r="I2539">
        <v>0.35514699999999999</v>
      </c>
    </row>
    <row r="2540" spans="1:9" x14ac:dyDescent="0.25">
      <c r="A2540">
        <v>2110110025</v>
      </c>
      <c r="B2540" t="s">
        <v>1284</v>
      </c>
      <c r="C2540" t="s">
        <v>151</v>
      </c>
      <c r="D2540" t="s">
        <v>152</v>
      </c>
      <c r="E2540">
        <v>0</v>
      </c>
      <c r="F2540" t="s">
        <v>36</v>
      </c>
      <c r="G2540">
        <v>0</v>
      </c>
      <c r="H2540">
        <v>864</v>
      </c>
      <c r="I2540">
        <v>0.32394699999999998</v>
      </c>
    </row>
    <row r="2541" spans="1:9" x14ac:dyDescent="0.25">
      <c r="A2541">
        <v>2110110025</v>
      </c>
      <c r="B2541" t="s">
        <v>1284</v>
      </c>
      <c r="C2541" t="s">
        <v>139</v>
      </c>
      <c r="D2541" t="s">
        <v>140</v>
      </c>
      <c r="E2541">
        <v>0</v>
      </c>
      <c r="F2541" t="s">
        <v>36</v>
      </c>
      <c r="G2541" s="2">
        <v>58944</v>
      </c>
      <c r="H2541" s="2">
        <v>3744</v>
      </c>
      <c r="I2541">
        <v>0.32394299999999998</v>
      </c>
    </row>
    <row r="2542" spans="1:9" x14ac:dyDescent="0.25">
      <c r="A2542">
        <v>2110110027</v>
      </c>
      <c r="B2542" t="s">
        <v>1285</v>
      </c>
      <c r="C2542" t="s">
        <v>130</v>
      </c>
      <c r="D2542" t="s">
        <v>131</v>
      </c>
      <c r="E2542">
        <v>159</v>
      </c>
      <c r="F2542" t="s">
        <v>36</v>
      </c>
      <c r="G2542">
        <v>0</v>
      </c>
      <c r="H2542">
        <v>0</v>
      </c>
      <c r="I2542">
        <v>0.97194999999999998</v>
      </c>
    </row>
    <row r="2543" spans="1:9" x14ac:dyDescent="0.25">
      <c r="A2543">
        <v>2110110028</v>
      </c>
      <c r="B2543" t="s">
        <v>1286</v>
      </c>
      <c r="C2543" t="s">
        <v>130</v>
      </c>
      <c r="D2543" t="s">
        <v>131</v>
      </c>
      <c r="E2543">
        <v>48</v>
      </c>
      <c r="F2543" t="s">
        <v>36</v>
      </c>
      <c r="G2543">
        <v>0</v>
      </c>
      <c r="H2543">
        <v>0</v>
      </c>
      <c r="I2543">
        <v>0.73208300000000004</v>
      </c>
    </row>
    <row r="2544" spans="1:9" x14ac:dyDescent="0.25">
      <c r="A2544">
        <v>2110110029</v>
      </c>
      <c r="B2544" t="s">
        <v>1287</v>
      </c>
      <c r="C2544" t="s">
        <v>130</v>
      </c>
      <c r="D2544" t="s">
        <v>131</v>
      </c>
      <c r="E2544">
        <v>71</v>
      </c>
      <c r="F2544" t="s">
        <v>36</v>
      </c>
      <c r="G2544">
        <v>0</v>
      </c>
      <c r="H2544">
        <v>0</v>
      </c>
      <c r="I2544">
        <v>1.130563</v>
      </c>
    </row>
    <row r="2545" spans="1:9" x14ac:dyDescent="0.25">
      <c r="A2545">
        <v>2110110033</v>
      </c>
      <c r="B2545" t="s">
        <v>1288</v>
      </c>
      <c r="C2545" t="s">
        <v>130</v>
      </c>
      <c r="D2545" t="s">
        <v>131</v>
      </c>
      <c r="E2545" s="2">
        <v>6845</v>
      </c>
      <c r="F2545" t="s">
        <v>36</v>
      </c>
      <c r="G2545">
        <v>288</v>
      </c>
      <c r="H2545">
        <v>0</v>
      </c>
      <c r="I2545">
        <v>1.4973030000000001</v>
      </c>
    </row>
    <row r="2546" spans="1:9" x14ac:dyDescent="0.25">
      <c r="A2546">
        <v>2110110033</v>
      </c>
      <c r="B2546" t="s">
        <v>1288</v>
      </c>
      <c r="C2546" t="s">
        <v>137</v>
      </c>
      <c r="D2546" t="s">
        <v>138</v>
      </c>
      <c r="E2546">
        <v>108</v>
      </c>
      <c r="F2546" t="s">
        <v>36</v>
      </c>
      <c r="G2546">
        <v>0</v>
      </c>
      <c r="H2546">
        <v>0</v>
      </c>
      <c r="I2546">
        <v>1.613704</v>
      </c>
    </row>
    <row r="2547" spans="1:9" x14ac:dyDescent="0.25">
      <c r="A2547">
        <v>2110110033</v>
      </c>
      <c r="B2547" t="s">
        <v>1288</v>
      </c>
      <c r="C2547" t="s">
        <v>151</v>
      </c>
      <c r="D2547" t="s">
        <v>152</v>
      </c>
      <c r="E2547">
        <v>96</v>
      </c>
      <c r="F2547" t="s">
        <v>36</v>
      </c>
      <c r="G2547">
        <v>0</v>
      </c>
      <c r="H2547">
        <v>0</v>
      </c>
      <c r="I2547">
        <v>1.634063</v>
      </c>
    </row>
    <row r="2548" spans="1:9" x14ac:dyDescent="0.25">
      <c r="A2548">
        <v>2110110037</v>
      </c>
      <c r="B2548" t="s">
        <v>1289</v>
      </c>
      <c r="C2548" t="s">
        <v>130</v>
      </c>
      <c r="D2548" t="s">
        <v>131</v>
      </c>
      <c r="E2548" s="2">
        <v>9</v>
      </c>
      <c r="F2548" t="s">
        <v>36</v>
      </c>
      <c r="G2548">
        <v>50</v>
      </c>
      <c r="H2548">
        <v>0</v>
      </c>
      <c r="I2548">
        <v>1.586667</v>
      </c>
    </row>
    <row r="2549" spans="1:9" x14ac:dyDescent="0.25">
      <c r="A2549">
        <v>2110110037</v>
      </c>
      <c r="B2549" t="s">
        <v>1289</v>
      </c>
      <c r="C2549" t="s">
        <v>137</v>
      </c>
      <c r="D2549" t="s">
        <v>138</v>
      </c>
      <c r="E2549" s="2">
        <v>3</v>
      </c>
      <c r="F2549" t="s">
        <v>36</v>
      </c>
      <c r="G2549">
        <v>0</v>
      </c>
      <c r="H2549">
        <v>0</v>
      </c>
      <c r="I2549">
        <v>1.586667</v>
      </c>
    </row>
    <row r="2550" spans="1:9" x14ac:dyDescent="0.25">
      <c r="A2550">
        <v>2110110038</v>
      </c>
      <c r="B2550" t="s">
        <v>1290</v>
      </c>
      <c r="C2550" t="s">
        <v>130</v>
      </c>
      <c r="D2550" t="s">
        <v>131</v>
      </c>
      <c r="E2550" s="2">
        <v>1874</v>
      </c>
      <c r="F2550" t="s">
        <v>36</v>
      </c>
      <c r="G2550">
        <v>0</v>
      </c>
      <c r="H2550">
        <v>0</v>
      </c>
      <c r="I2550">
        <v>1.586179</v>
      </c>
    </row>
    <row r="2551" spans="1:9" x14ac:dyDescent="0.25">
      <c r="A2551">
        <v>2110110038</v>
      </c>
      <c r="B2551" t="s">
        <v>1290</v>
      </c>
      <c r="C2551" t="s">
        <v>137</v>
      </c>
      <c r="D2551" t="s">
        <v>138</v>
      </c>
      <c r="E2551">
        <v>6</v>
      </c>
      <c r="F2551" t="s">
        <v>36</v>
      </c>
      <c r="G2551">
        <v>0</v>
      </c>
      <c r="H2551">
        <v>0</v>
      </c>
      <c r="I2551">
        <v>1.588333</v>
      </c>
    </row>
    <row r="2552" spans="1:9" x14ac:dyDescent="0.25">
      <c r="A2552">
        <v>2110110039</v>
      </c>
      <c r="B2552" t="s">
        <v>1291</v>
      </c>
      <c r="C2552" t="s">
        <v>130</v>
      </c>
      <c r="D2552" t="s">
        <v>131</v>
      </c>
      <c r="E2552" s="2">
        <v>3578</v>
      </c>
      <c r="F2552" t="s">
        <v>36</v>
      </c>
      <c r="G2552" s="2">
        <v>1950</v>
      </c>
      <c r="H2552">
        <v>0</v>
      </c>
      <c r="I2552">
        <v>1.5861769999999999</v>
      </c>
    </row>
    <row r="2553" spans="1:9" x14ac:dyDescent="0.25">
      <c r="A2553">
        <v>2110110039</v>
      </c>
      <c r="B2553" t="s">
        <v>1291</v>
      </c>
      <c r="C2553" t="s">
        <v>258</v>
      </c>
      <c r="D2553" t="s">
        <v>259</v>
      </c>
      <c r="E2553">
        <v>120</v>
      </c>
      <c r="F2553" t="s">
        <v>36</v>
      </c>
      <c r="G2553">
        <v>0</v>
      </c>
      <c r="H2553">
        <v>348</v>
      </c>
      <c r="I2553">
        <v>1.5862499999999999</v>
      </c>
    </row>
    <row r="2554" spans="1:9" x14ac:dyDescent="0.25">
      <c r="A2554">
        <v>2110110039</v>
      </c>
      <c r="B2554" t="s">
        <v>1291</v>
      </c>
      <c r="C2554" t="s">
        <v>137</v>
      </c>
      <c r="D2554" t="s">
        <v>138</v>
      </c>
      <c r="E2554">
        <v>249</v>
      </c>
      <c r="F2554" t="s">
        <v>36</v>
      </c>
      <c r="G2554">
        <v>0</v>
      </c>
      <c r="H2554" s="2">
        <v>1950</v>
      </c>
      <c r="I2554">
        <v>1.586185</v>
      </c>
    </row>
    <row r="2555" spans="1:9" x14ac:dyDescent="0.25">
      <c r="A2555">
        <v>2110110040</v>
      </c>
      <c r="B2555" t="s">
        <v>1292</v>
      </c>
      <c r="C2555" t="s">
        <v>130</v>
      </c>
      <c r="D2555" t="s">
        <v>131</v>
      </c>
      <c r="E2555" s="2">
        <v>1760</v>
      </c>
      <c r="F2555" t="s">
        <v>36</v>
      </c>
      <c r="G2555">
        <v>0</v>
      </c>
      <c r="H2555">
        <v>0</v>
      </c>
      <c r="I2555">
        <v>1.8641650000000001</v>
      </c>
    </row>
    <row r="2556" spans="1:9" x14ac:dyDescent="0.25">
      <c r="A2556">
        <v>2110110040</v>
      </c>
      <c r="B2556" t="s">
        <v>1292</v>
      </c>
      <c r="C2556" t="s">
        <v>137</v>
      </c>
      <c r="D2556" t="s">
        <v>138</v>
      </c>
      <c r="E2556" s="2">
        <v>3</v>
      </c>
      <c r="F2556" t="s">
        <v>36</v>
      </c>
      <c r="G2556">
        <v>0</v>
      </c>
      <c r="H2556">
        <v>0</v>
      </c>
      <c r="I2556">
        <v>1.8633329999999999</v>
      </c>
    </row>
    <row r="2557" spans="1:9" x14ac:dyDescent="0.25">
      <c r="A2557">
        <v>2110110041</v>
      </c>
      <c r="B2557" t="s">
        <v>1293</v>
      </c>
      <c r="C2557" t="s">
        <v>130</v>
      </c>
      <c r="D2557" t="s">
        <v>131</v>
      </c>
      <c r="E2557" s="2">
        <v>1433</v>
      </c>
      <c r="F2557" t="s">
        <v>36</v>
      </c>
      <c r="G2557">
        <v>0</v>
      </c>
      <c r="H2557">
        <v>0</v>
      </c>
      <c r="I2557">
        <v>1.7906629999999999</v>
      </c>
    </row>
    <row r="2558" spans="1:9" x14ac:dyDescent="0.25">
      <c r="A2558">
        <v>2110110041</v>
      </c>
      <c r="B2558" t="s">
        <v>1293</v>
      </c>
      <c r="C2558" t="s">
        <v>137</v>
      </c>
      <c r="D2558" t="s">
        <v>138</v>
      </c>
      <c r="E2558">
        <v>6</v>
      </c>
      <c r="F2558" t="s">
        <v>36</v>
      </c>
      <c r="G2558">
        <v>0</v>
      </c>
      <c r="H2558">
        <v>0</v>
      </c>
      <c r="I2558">
        <v>1.79</v>
      </c>
    </row>
    <row r="2559" spans="1:9" x14ac:dyDescent="0.25">
      <c r="A2559">
        <v>2110110042</v>
      </c>
      <c r="B2559" t="s">
        <v>1294</v>
      </c>
      <c r="C2559" t="s">
        <v>130</v>
      </c>
      <c r="D2559" t="s">
        <v>131</v>
      </c>
      <c r="E2559">
        <v>441</v>
      </c>
      <c r="F2559" t="s">
        <v>36</v>
      </c>
      <c r="G2559">
        <v>0</v>
      </c>
      <c r="H2559">
        <v>0</v>
      </c>
      <c r="I2559">
        <v>1.814989</v>
      </c>
    </row>
    <row r="2560" spans="1:9" x14ac:dyDescent="0.25">
      <c r="A2560">
        <v>2110110042</v>
      </c>
      <c r="B2560" t="s">
        <v>1294</v>
      </c>
      <c r="C2560" t="s">
        <v>137</v>
      </c>
      <c r="D2560" t="s">
        <v>138</v>
      </c>
      <c r="E2560">
        <v>3</v>
      </c>
      <c r="F2560" t="s">
        <v>36</v>
      </c>
      <c r="G2560">
        <v>0</v>
      </c>
      <c r="H2560">
        <v>0</v>
      </c>
      <c r="I2560">
        <v>1.816667</v>
      </c>
    </row>
    <row r="2561" spans="1:9" x14ac:dyDescent="0.25">
      <c r="A2561">
        <v>2110110043</v>
      </c>
      <c r="B2561" t="s">
        <v>1295</v>
      </c>
      <c r="C2561" t="s">
        <v>130</v>
      </c>
      <c r="D2561" t="s">
        <v>131</v>
      </c>
      <c r="E2561">
        <v>5</v>
      </c>
      <c r="F2561" t="s">
        <v>36</v>
      </c>
      <c r="G2561">
        <v>149</v>
      </c>
      <c r="H2561">
        <v>2</v>
      </c>
      <c r="I2561">
        <v>1.1519999999999999</v>
      </c>
    </row>
    <row r="2562" spans="1:9" x14ac:dyDescent="0.25">
      <c r="A2562">
        <v>2110110043</v>
      </c>
      <c r="B2562" t="s">
        <v>1295</v>
      </c>
      <c r="C2562" t="s">
        <v>126</v>
      </c>
      <c r="D2562" t="s">
        <v>127</v>
      </c>
      <c r="E2562">
        <v>2</v>
      </c>
      <c r="F2562" t="s">
        <v>36</v>
      </c>
      <c r="G2562">
        <v>0</v>
      </c>
      <c r="H2562">
        <v>0</v>
      </c>
      <c r="I2562">
        <v>1.1499999999999999</v>
      </c>
    </row>
    <row r="2563" spans="1:9" x14ac:dyDescent="0.25">
      <c r="A2563">
        <v>2110110043</v>
      </c>
      <c r="B2563" t="s">
        <v>1295</v>
      </c>
      <c r="C2563" t="s">
        <v>137</v>
      </c>
      <c r="D2563" t="s">
        <v>138</v>
      </c>
      <c r="E2563">
        <v>2</v>
      </c>
      <c r="F2563" t="s">
        <v>36</v>
      </c>
      <c r="G2563">
        <v>0</v>
      </c>
      <c r="H2563">
        <v>0</v>
      </c>
      <c r="I2563">
        <v>1.1499999999999999</v>
      </c>
    </row>
    <row r="2564" spans="1:9" x14ac:dyDescent="0.25">
      <c r="A2564">
        <v>2110110043</v>
      </c>
      <c r="B2564" t="s">
        <v>1295</v>
      </c>
      <c r="C2564" t="s">
        <v>139</v>
      </c>
      <c r="D2564" t="s">
        <v>140</v>
      </c>
      <c r="E2564">
        <v>2</v>
      </c>
      <c r="F2564" t="s">
        <v>36</v>
      </c>
      <c r="G2564">
        <v>2</v>
      </c>
      <c r="H2564">
        <v>0</v>
      </c>
      <c r="I2564">
        <v>1.1499999999999999</v>
      </c>
    </row>
    <row r="2565" spans="1:9" x14ac:dyDescent="0.25">
      <c r="A2565">
        <v>2110110044</v>
      </c>
      <c r="B2565" t="s">
        <v>1296</v>
      </c>
      <c r="C2565" t="s">
        <v>130</v>
      </c>
      <c r="D2565" t="s">
        <v>131</v>
      </c>
      <c r="E2565" s="2">
        <v>3812</v>
      </c>
      <c r="F2565" t="s">
        <v>36</v>
      </c>
      <c r="G2565">
        <v>6</v>
      </c>
      <c r="H2565">
        <v>0</v>
      </c>
      <c r="I2565">
        <v>1.569903</v>
      </c>
    </row>
    <row r="2566" spans="1:9" x14ac:dyDescent="0.25">
      <c r="A2566">
        <v>2110110044</v>
      </c>
      <c r="B2566" t="s">
        <v>1296</v>
      </c>
      <c r="C2566" t="s">
        <v>137</v>
      </c>
      <c r="D2566" t="s">
        <v>138</v>
      </c>
      <c r="E2566">
        <v>2</v>
      </c>
      <c r="F2566" t="s">
        <v>36</v>
      </c>
      <c r="G2566">
        <v>0</v>
      </c>
      <c r="H2566">
        <v>0</v>
      </c>
      <c r="I2566">
        <v>1.57</v>
      </c>
    </row>
    <row r="2567" spans="1:9" x14ac:dyDescent="0.25">
      <c r="A2567">
        <v>2110110045</v>
      </c>
      <c r="B2567" t="s">
        <v>1297</v>
      </c>
      <c r="C2567" t="s">
        <v>130</v>
      </c>
      <c r="D2567" t="s">
        <v>131</v>
      </c>
      <c r="E2567">
        <v>550</v>
      </c>
      <c r="F2567" t="s">
        <v>36</v>
      </c>
      <c r="G2567">
        <v>6</v>
      </c>
      <c r="H2567">
        <v>0</v>
      </c>
      <c r="I2567">
        <v>1.003018</v>
      </c>
    </row>
    <row r="2568" spans="1:9" x14ac:dyDescent="0.25">
      <c r="A2568">
        <v>2110110045</v>
      </c>
      <c r="B2568" t="s">
        <v>1297</v>
      </c>
      <c r="C2568" t="s">
        <v>137</v>
      </c>
      <c r="D2568" t="s">
        <v>138</v>
      </c>
      <c r="E2568">
        <v>5</v>
      </c>
      <c r="F2568" t="s">
        <v>36</v>
      </c>
      <c r="G2568">
        <v>0</v>
      </c>
      <c r="H2568">
        <v>0</v>
      </c>
      <c r="I2568">
        <v>1.002</v>
      </c>
    </row>
    <row r="2569" spans="1:9" x14ac:dyDescent="0.25">
      <c r="A2569">
        <v>2110110046</v>
      </c>
      <c r="B2569" t="s">
        <v>1298</v>
      </c>
      <c r="C2569" t="s">
        <v>130</v>
      </c>
      <c r="D2569" t="s">
        <v>131</v>
      </c>
      <c r="E2569">
        <v>0</v>
      </c>
      <c r="F2569" t="s">
        <v>36</v>
      </c>
      <c r="G2569">
        <v>120</v>
      </c>
      <c r="H2569">
        <v>0</v>
      </c>
      <c r="I2569">
        <v>0.96</v>
      </c>
    </row>
    <row r="2570" spans="1:9" x14ac:dyDescent="0.25">
      <c r="A2570">
        <v>2110110046</v>
      </c>
      <c r="B2570" t="s">
        <v>1298</v>
      </c>
      <c r="C2570" t="s">
        <v>137</v>
      </c>
      <c r="D2570" t="s">
        <v>138</v>
      </c>
      <c r="E2570">
        <v>5</v>
      </c>
      <c r="F2570" t="s">
        <v>36</v>
      </c>
      <c r="G2570">
        <v>0</v>
      </c>
      <c r="H2570">
        <v>0</v>
      </c>
      <c r="I2570">
        <v>0.96399999999999997</v>
      </c>
    </row>
    <row r="2571" spans="1:9" x14ac:dyDescent="0.25">
      <c r="A2571">
        <v>2110110047</v>
      </c>
      <c r="B2571" t="s">
        <v>1299</v>
      </c>
      <c r="C2571" t="s">
        <v>130</v>
      </c>
      <c r="D2571" t="s">
        <v>131</v>
      </c>
      <c r="E2571">
        <v>191</v>
      </c>
      <c r="F2571" t="s">
        <v>36</v>
      </c>
      <c r="G2571">
        <v>4</v>
      </c>
      <c r="H2571" s="2">
        <v>0</v>
      </c>
      <c r="I2571">
        <v>1.0029840000000001</v>
      </c>
    </row>
    <row r="2572" spans="1:9" x14ac:dyDescent="0.25">
      <c r="A2572">
        <v>2110110047</v>
      </c>
      <c r="B2572" t="s">
        <v>1299</v>
      </c>
      <c r="C2572" t="s">
        <v>137</v>
      </c>
      <c r="D2572" t="s">
        <v>138</v>
      </c>
      <c r="E2572" s="2">
        <v>2</v>
      </c>
      <c r="F2572" t="s">
        <v>36</v>
      </c>
      <c r="G2572" s="2">
        <v>0</v>
      </c>
      <c r="H2572">
        <v>0</v>
      </c>
      <c r="I2572">
        <v>1.0049999999999999</v>
      </c>
    </row>
    <row r="2573" spans="1:9" x14ac:dyDescent="0.25">
      <c r="A2573">
        <v>2110110048</v>
      </c>
      <c r="B2573" t="s">
        <v>1300</v>
      </c>
      <c r="C2573" t="s">
        <v>130</v>
      </c>
      <c r="D2573" t="s">
        <v>131</v>
      </c>
      <c r="E2573" s="2">
        <v>1875</v>
      </c>
      <c r="F2573" t="s">
        <v>36</v>
      </c>
      <c r="G2573">
        <v>4</v>
      </c>
      <c r="H2573">
        <v>0</v>
      </c>
      <c r="I2573">
        <v>1.0030129999999999</v>
      </c>
    </row>
    <row r="2574" spans="1:9" x14ac:dyDescent="0.25">
      <c r="A2574">
        <v>2110110048</v>
      </c>
      <c r="B2574" t="s">
        <v>1300</v>
      </c>
      <c r="C2574" t="s">
        <v>137</v>
      </c>
      <c r="D2574" t="s">
        <v>138</v>
      </c>
      <c r="E2574">
        <v>2</v>
      </c>
      <c r="F2574" t="s">
        <v>36</v>
      </c>
      <c r="G2574">
        <v>0</v>
      </c>
      <c r="H2574">
        <v>0</v>
      </c>
      <c r="I2574">
        <v>1.0049999999999999</v>
      </c>
    </row>
    <row r="2575" spans="1:9" x14ac:dyDescent="0.25">
      <c r="A2575">
        <v>2110120058</v>
      </c>
      <c r="B2575" t="s">
        <v>1301</v>
      </c>
      <c r="C2575" t="s">
        <v>130</v>
      </c>
      <c r="D2575" t="s">
        <v>131</v>
      </c>
      <c r="E2575">
        <v>149</v>
      </c>
      <c r="F2575" t="s">
        <v>147</v>
      </c>
      <c r="G2575">
        <v>196</v>
      </c>
      <c r="H2575">
        <v>196</v>
      </c>
      <c r="I2575">
        <v>1.4474499999999999</v>
      </c>
    </row>
    <row r="2576" spans="1:9" x14ac:dyDescent="0.25">
      <c r="A2576">
        <v>2110120058</v>
      </c>
      <c r="B2576" t="s">
        <v>1301</v>
      </c>
      <c r="C2576" t="s">
        <v>151</v>
      </c>
      <c r="D2576" t="s">
        <v>152</v>
      </c>
      <c r="E2576">
        <v>0</v>
      </c>
      <c r="F2576" t="s">
        <v>147</v>
      </c>
      <c r="G2576">
        <v>196</v>
      </c>
      <c r="H2576">
        <v>196</v>
      </c>
      <c r="I2576">
        <v>0</v>
      </c>
    </row>
    <row r="2577" spans="1:9" x14ac:dyDescent="0.25">
      <c r="A2577">
        <v>2110120068</v>
      </c>
      <c r="B2577" t="s">
        <v>1302</v>
      </c>
      <c r="C2577" t="s">
        <v>130</v>
      </c>
      <c r="D2577" t="s">
        <v>131</v>
      </c>
      <c r="E2577">
        <v>75</v>
      </c>
      <c r="F2577" t="s">
        <v>147</v>
      </c>
      <c r="G2577">
        <v>0</v>
      </c>
      <c r="H2577">
        <v>0</v>
      </c>
      <c r="I2577">
        <v>1.0997330000000001</v>
      </c>
    </row>
    <row r="2578" spans="1:9" x14ac:dyDescent="0.25">
      <c r="A2578">
        <v>2110120070</v>
      </c>
      <c r="B2578" t="s">
        <v>1303</v>
      </c>
      <c r="C2578" t="s">
        <v>126</v>
      </c>
      <c r="D2578" t="s">
        <v>127</v>
      </c>
      <c r="E2578">
        <v>337</v>
      </c>
      <c r="F2578" t="s">
        <v>147</v>
      </c>
      <c r="G2578">
        <v>0</v>
      </c>
      <c r="H2578">
        <v>0</v>
      </c>
      <c r="I2578">
        <v>0.88273000000000001</v>
      </c>
    </row>
    <row r="2579" spans="1:9" x14ac:dyDescent="0.25">
      <c r="A2579">
        <v>2110120107</v>
      </c>
      <c r="B2579" t="s">
        <v>1304</v>
      </c>
      <c r="C2579" t="s">
        <v>157</v>
      </c>
      <c r="D2579" t="s">
        <v>158</v>
      </c>
      <c r="E2579">
        <v>126</v>
      </c>
      <c r="F2579" t="s">
        <v>147</v>
      </c>
      <c r="G2579">
        <v>0</v>
      </c>
      <c r="H2579">
        <v>0</v>
      </c>
      <c r="I2579">
        <v>0.92793700000000001</v>
      </c>
    </row>
    <row r="2580" spans="1:9" x14ac:dyDescent="0.25">
      <c r="A2580">
        <v>2110120110</v>
      </c>
      <c r="B2580" t="s">
        <v>1305</v>
      </c>
      <c r="C2580" t="s">
        <v>130</v>
      </c>
      <c r="D2580" t="s">
        <v>131</v>
      </c>
      <c r="E2580">
        <v>524</v>
      </c>
      <c r="F2580" t="s">
        <v>147</v>
      </c>
      <c r="G2580">
        <v>0</v>
      </c>
      <c r="H2580">
        <v>20</v>
      </c>
      <c r="I2580">
        <v>1.2364310000000001</v>
      </c>
    </row>
    <row r="2581" spans="1:9" x14ac:dyDescent="0.25">
      <c r="A2581">
        <v>2110120110</v>
      </c>
      <c r="B2581" t="s">
        <v>1305</v>
      </c>
      <c r="C2581" t="s">
        <v>142</v>
      </c>
      <c r="D2581" t="s">
        <v>143</v>
      </c>
      <c r="E2581">
        <v>0</v>
      </c>
      <c r="F2581" t="s">
        <v>147</v>
      </c>
      <c r="G2581">
        <v>20</v>
      </c>
      <c r="H2581">
        <v>0</v>
      </c>
      <c r="I2581">
        <v>1.090384</v>
      </c>
    </row>
    <row r="2582" spans="1:9" x14ac:dyDescent="0.25">
      <c r="A2582">
        <v>2110120112</v>
      </c>
      <c r="B2582" t="s">
        <v>1306</v>
      </c>
      <c r="C2582" t="s">
        <v>126</v>
      </c>
      <c r="D2582" t="s">
        <v>127</v>
      </c>
      <c r="E2582">
        <v>11</v>
      </c>
      <c r="F2582" t="s">
        <v>147</v>
      </c>
      <c r="G2582">
        <v>0</v>
      </c>
      <c r="H2582" s="2">
        <v>0</v>
      </c>
      <c r="I2582">
        <v>1.437273</v>
      </c>
    </row>
    <row r="2583" spans="1:9" x14ac:dyDescent="0.25">
      <c r="A2583">
        <v>2110120113</v>
      </c>
      <c r="B2583" t="s">
        <v>1307</v>
      </c>
      <c r="C2583" t="s">
        <v>126</v>
      </c>
      <c r="D2583" t="s">
        <v>127</v>
      </c>
      <c r="E2583">
        <v>687</v>
      </c>
      <c r="F2583" t="s">
        <v>147</v>
      </c>
      <c r="G2583">
        <v>0</v>
      </c>
      <c r="H2583">
        <v>0</v>
      </c>
      <c r="I2583">
        <v>2.0486170000000001</v>
      </c>
    </row>
    <row r="2584" spans="1:9" x14ac:dyDescent="0.25">
      <c r="A2584">
        <v>2110120120</v>
      </c>
      <c r="B2584" t="s">
        <v>1308</v>
      </c>
      <c r="C2584" t="s">
        <v>130</v>
      </c>
      <c r="D2584" t="s">
        <v>131</v>
      </c>
      <c r="E2584">
        <v>16</v>
      </c>
      <c r="F2584" t="s">
        <v>147</v>
      </c>
      <c r="G2584">
        <v>0</v>
      </c>
      <c r="H2584">
        <v>0</v>
      </c>
      <c r="I2584">
        <v>0.95750000000000002</v>
      </c>
    </row>
    <row r="2585" spans="1:9" x14ac:dyDescent="0.25">
      <c r="A2585">
        <v>2110120121</v>
      </c>
      <c r="B2585" t="s">
        <v>1309</v>
      </c>
      <c r="C2585" t="s">
        <v>130</v>
      </c>
      <c r="D2585" t="s">
        <v>131</v>
      </c>
      <c r="E2585">
        <v>256</v>
      </c>
      <c r="F2585" t="s">
        <v>147</v>
      </c>
      <c r="G2585">
        <v>0</v>
      </c>
      <c r="H2585">
        <v>0</v>
      </c>
      <c r="I2585">
        <v>0.97046900000000003</v>
      </c>
    </row>
    <row r="2586" spans="1:9" x14ac:dyDescent="0.25">
      <c r="A2586">
        <v>2110120122</v>
      </c>
      <c r="B2586" t="s">
        <v>1310</v>
      </c>
      <c r="C2586" t="s">
        <v>130</v>
      </c>
      <c r="D2586" t="s">
        <v>131</v>
      </c>
      <c r="E2586">
        <v>9</v>
      </c>
      <c r="F2586" t="s">
        <v>147</v>
      </c>
      <c r="G2586">
        <v>0</v>
      </c>
      <c r="H2586">
        <v>0</v>
      </c>
      <c r="I2586">
        <v>1.01</v>
      </c>
    </row>
    <row r="2587" spans="1:9" x14ac:dyDescent="0.25">
      <c r="A2587">
        <v>2110120123</v>
      </c>
      <c r="B2587" t="s">
        <v>1311</v>
      </c>
      <c r="C2587" t="s">
        <v>126</v>
      </c>
      <c r="D2587" t="s">
        <v>127</v>
      </c>
      <c r="E2587">
        <v>85</v>
      </c>
      <c r="F2587" t="s">
        <v>147</v>
      </c>
      <c r="G2587">
        <v>0</v>
      </c>
      <c r="H2587">
        <v>0</v>
      </c>
      <c r="I2587">
        <v>0.99105900000000002</v>
      </c>
    </row>
    <row r="2588" spans="1:9" x14ac:dyDescent="0.25">
      <c r="A2588">
        <v>2110120124</v>
      </c>
      <c r="B2588" t="s">
        <v>1312</v>
      </c>
      <c r="C2588" t="s">
        <v>126</v>
      </c>
      <c r="D2588" t="s">
        <v>127</v>
      </c>
      <c r="E2588">
        <v>121</v>
      </c>
      <c r="F2588" t="s">
        <v>147</v>
      </c>
      <c r="G2588">
        <v>0</v>
      </c>
      <c r="H2588">
        <v>0</v>
      </c>
      <c r="I2588">
        <v>2.0114049999999999</v>
      </c>
    </row>
    <row r="2589" spans="1:9" x14ac:dyDescent="0.25">
      <c r="A2589">
        <v>2110120125</v>
      </c>
      <c r="B2589" t="s">
        <v>1313</v>
      </c>
      <c r="C2589" t="s">
        <v>130</v>
      </c>
      <c r="D2589" t="s">
        <v>131</v>
      </c>
      <c r="E2589">
        <v>272</v>
      </c>
      <c r="F2589" t="s">
        <v>147</v>
      </c>
      <c r="G2589">
        <v>0</v>
      </c>
      <c r="H2589">
        <v>0</v>
      </c>
      <c r="I2589">
        <v>0.64319899999999997</v>
      </c>
    </row>
    <row r="2590" spans="1:9" x14ac:dyDescent="0.25">
      <c r="A2590">
        <v>2110120126</v>
      </c>
      <c r="B2590" t="s">
        <v>1314</v>
      </c>
      <c r="C2590" t="s">
        <v>130</v>
      </c>
      <c r="D2590" t="s">
        <v>131</v>
      </c>
      <c r="E2590">
        <v>29</v>
      </c>
      <c r="F2590" t="s">
        <v>147</v>
      </c>
      <c r="G2590">
        <v>0</v>
      </c>
      <c r="H2590">
        <v>0</v>
      </c>
      <c r="I2590">
        <v>0.62448300000000001</v>
      </c>
    </row>
    <row r="2591" spans="1:9" x14ac:dyDescent="0.25">
      <c r="A2591">
        <v>2110120127</v>
      </c>
      <c r="B2591" t="s">
        <v>1315</v>
      </c>
      <c r="C2591" t="s">
        <v>126</v>
      </c>
      <c r="D2591" t="s">
        <v>127</v>
      </c>
      <c r="E2591">
        <v>186</v>
      </c>
      <c r="F2591" t="s">
        <v>147</v>
      </c>
      <c r="G2591">
        <v>0</v>
      </c>
      <c r="H2591">
        <v>0</v>
      </c>
      <c r="I2591">
        <v>0.63102199999999997</v>
      </c>
    </row>
    <row r="2592" spans="1:9" x14ac:dyDescent="0.25">
      <c r="A2592">
        <v>2110120128</v>
      </c>
      <c r="B2592" t="s">
        <v>1316</v>
      </c>
      <c r="C2592" t="s">
        <v>130</v>
      </c>
      <c r="D2592" t="s">
        <v>131</v>
      </c>
      <c r="E2592">
        <v>680</v>
      </c>
      <c r="F2592" t="s">
        <v>147</v>
      </c>
      <c r="G2592">
        <v>0</v>
      </c>
      <c r="H2592">
        <v>0</v>
      </c>
      <c r="I2592">
        <v>0.85699999999999998</v>
      </c>
    </row>
    <row r="2593" spans="1:9" x14ac:dyDescent="0.25">
      <c r="A2593">
        <v>2110120129</v>
      </c>
      <c r="B2593" t="s">
        <v>1317</v>
      </c>
      <c r="C2593" t="s">
        <v>199</v>
      </c>
      <c r="D2593" t="s">
        <v>200</v>
      </c>
      <c r="E2593">
        <v>120</v>
      </c>
      <c r="F2593" t="s">
        <v>147</v>
      </c>
      <c r="G2593">
        <v>0</v>
      </c>
      <c r="H2593">
        <v>0</v>
      </c>
      <c r="I2593">
        <v>1.50075</v>
      </c>
    </row>
    <row r="2594" spans="1:9" x14ac:dyDescent="0.25">
      <c r="A2594">
        <v>2110120129</v>
      </c>
      <c r="B2594" t="s">
        <v>1317</v>
      </c>
      <c r="C2594" t="s">
        <v>130</v>
      </c>
      <c r="D2594" t="s">
        <v>131</v>
      </c>
      <c r="E2594" s="2">
        <v>1295</v>
      </c>
      <c r="F2594" t="s">
        <v>147</v>
      </c>
      <c r="G2594">
        <v>564</v>
      </c>
      <c r="H2594" s="2">
        <v>4862</v>
      </c>
      <c r="I2594">
        <v>1.50078</v>
      </c>
    </row>
    <row r="2595" spans="1:9" x14ac:dyDescent="0.25">
      <c r="A2595">
        <v>2110120129</v>
      </c>
      <c r="B2595" t="s">
        <v>1317</v>
      </c>
      <c r="C2595" t="s">
        <v>126</v>
      </c>
      <c r="D2595" t="s">
        <v>127</v>
      </c>
      <c r="E2595">
        <v>1</v>
      </c>
      <c r="F2595" t="s">
        <v>147</v>
      </c>
      <c r="G2595">
        <v>0</v>
      </c>
      <c r="H2595">
        <v>0</v>
      </c>
      <c r="I2595">
        <v>1.77</v>
      </c>
    </row>
    <row r="2596" spans="1:9" x14ac:dyDescent="0.25">
      <c r="A2596">
        <v>2110120129</v>
      </c>
      <c r="B2596" t="s">
        <v>1317</v>
      </c>
      <c r="C2596" t="s">
        <v>151</v>
      </c>
      <c r="D2596" t="s">
        <v>152</v>
      </c>
      <c r="E2596">
        <v>0</v>
      </c>
      <c r="F2596" t="s">
        <v>147</v>
      </c>
      <c r="G2596" s="2">
        <v>4862</v>
      </c>
      <c r="H2596">
        <v>0</v>
      </c>
      <c r="I2596">
        <v>1.50075</v>
      </c>
    </row>
    <row r="2597" spans="1:9" x14ac:dyDescent="0.25">
      <c r="A2597">
        <v>2110120130</v>
      </c>
      <c r="B2597" t="s">
        <v>1318</v>
      </c>
      <c r="C2597" t="s">
        <v>130</v>
      </c>
      <c r="D2597" t="s">
        <v>131</v>
      </c>
      <c r="E2597">
        <v>773</v>
      </c>
      <c r="F2597" t="s">
        <v>147</v>
      </c>
      <c r="G2597">
        <v>0</v>
      </c>
      <c r="H2597">
        <v>0</v>
      </c>
      <c r="I2597">
        <v>0.79446300000000003</v>
      </c>
    </row>
    <row r="2598" spans="1:9" x14ac:dyDescent="0.25">
      <c r="A2598">
        <v>2110120131</v>
      </c>
      <c r="B2598" t="s">
        <v>1319</v>
      </c>
      <c r="C2598" t="s">
        <v>130</v>
      </c>
      <c r="D2598" t="s">
        <v>131</v>
      </c>
      <c r="E2598">
        <v>876</v>
      </c>
      <c r="F2598" t="s">
        <v>147</v>
      </c>
      <c r="G2598">
        <v>0</v>
      </c>
      <c r="H2598">
        <v>0</v>
      </c>
      <c r="I2598">
        <v>0.69772800000000001</v>
      </c>
    </row>
    <row r="2599" spans="1:9" x14ac:dyDescent="0.25">
      <c r="A2599">
        <v>2110120132</v>
      </c>
      <c r="B2599" t="s">
        <v>1320</v>
      </c>
      <c r="C2599" t="s">
        <v>130</v>
      </c>
      <c r="D2599" t="s">
        <v>131</v>
      </c>
      <c r="E2599" s="2">
        <v>4606</v>
      </c>
      <c r="F2599" t="s">
        <v>147</v>
      </c>
      <c r="G2599">
        <v>0</v>
      </c>
      <c r="H2599">
        <v>0</v>
      </c>
      <c r="I2599">
        <v>0.86807400000000001</v>
      </c>
    </row>
    <row r="2600" spans="1:9" x14ac:dyDescent="0.25">
      <c r="A2600">
        <v>2110120133</v>
      </c>
      <c r="B2600" t="s">
        <v>1321</v>
      </c>
      <c r="C2600" t="s">
        <v>130</v>
      </c>
      <c r="D2600" t="s">
        <v>131</v>
      </c>
      <c r="E2600" s="2">
        <v>1282</v>
      </c>
      <c r="F2600" t="s">
        <v>147</v>
      </c>
      <c r="G2600">
        <v>0</v>
      </c>
      <c r="H2600">
        <v>0</v>
      </c>
      <c r="I2600">
        <v>1.175772</v>
      </c>
    </row>
    <row r="2601" spans="1:9" x14ac:dyDescent="0.25">
      <c r="A2601">
        <v>2110120134</v>
      </c>
      <c r="B2601" t="s">
        <v>1322</v>
      </c>
      <c r="C2601" t="s">
        <v>130</v>
      </c>
      <c r="D2601" t="s">
        <v>131</v>
      </c>
      <c r="E2601">
        <v>210</v>
      </c>
      <c r="F2601" t="s">
        <v>147</v>
      </c>
      <c r="G2601">
        <v>0</v>
      </c>
      <c r="H2601">
        <v>0</v>
      </c>
      <c r="I2601">
        <v>1.89981</v>
      </c>
    </row>
    <row r="2602" spans="1:9" x14ac:dyDescent="0.25">
      <c r="A2602">
        <v>2110120134</v>
      </c>
      <c r="B2602" t="s">
        <v>1322</v>
      </c>
      <c r="C2602" t="s">
        <v>137</v>
      </c>
      <c r="D2602" t="s">
        <v>138</v>
      </c>
      <c r="E2602">
        <v>4</v>
      </c>
      <c r="F2602" t="s">
        <v>147</v>
      </c>
      <c r="G2602">
        <v>0</v>
      </c>
      <c r="H2602">
        <v>0</v>
      </c>
      <c r="I2602">
        <v>1.9</v>
      </c>
    </row>
    <row r="2603" spans="1:9" x14ac:dyDescent="0.25">
      <c r="A2603">
        <v>2110120137</v>
      </c>
      <c r="B2603" t="s">
        <v>1323</v>
      </c>
      <c r="C2603" t="s">
        <v>130</v>
      </c>
      <c r="D2603" t="s">
        <v>131</v>
      </c>
      <c r="E2603">
        <v>689</v>
      </c>
      <c r="F2603" t="s">
        <v>147</v>
      </c>
      <c r="G2603">
        <v>0</v>
      </c>
      <c r="H2603">
        <v>735</v>
      </c>
      <c r="I2603">
        <v>1.300972</v>
      </c>
    </row>
    <row r="2604" spans="1:9" x14ac:dyDescent="0.25">
      <c r="A2604">
        <v>2110120137</v>
      </c>
      <c r="B2604" t="s">
        <v>1323</v>
      </c>
      <c r="C2604" t="s">
        <v>151</v>
      </c>
      <c r="D2604" t="s">
        <v>152</v>
      </c>
      <c r="E2604">
        <v>0</v>
      </c>
      <c r="F2604" t="s">
        <v>147</v>
      </c>
      <c r="G2604">
        <v>735</v>
      </c>
      <c r="H2604">
        <v>0</v>
      </c>
      <c r="I2604">
        <v>1.3009599999999999</v>
      </c>
    </row>
    <row r="2605" spans="1:9" x14ac:dyDescent="0.25">
      <c r="A2605">
        <v>2110120139</v>
      </c>
      <c r="B2605" t="s">
        <v>1324</v>
      </c>
      <c r="C2605" t="s">
        <v>130</v>
      </c>
      <c r="D2605" t="s">
        <v>131</v>
      </c>
      <c r="E2605">
        <v>11</v>
      </c>
      <c r="F2605" t="s">
        <v>147</v>
      </c>
      <c r="G2605">
        <v>0</v>
      </c>
      <c r="H2605">
        <v>0</v>
      </c>
      <c r="I2605">
        <v>2.0245449999999998</v>
      </c>
    </row>
    <row r="2606" spans="1:9" x14ac:dyDescent="0.25">
      <c r="A2606">
        <v>2110120140</v>
      </c>
      <c r="B2606" t="s">
        <v>1325</v>
      </c>
      <c r="C2606" t="s">
        <v>130</v>
      </c>
      <c r="D2606" t="s">
        <v>131</v>
      </c>
      <c r="E2606" s="2">
        <v>2557</v>
      </c>
      <c r="F2606" t="s">
        <v>147</v>
      </c>
      <c r="G2606">
        <v>12</v>
      </c>
      <c r="H2606" s="2">
        <v>7870</v>
      </c>
      <c r="I2606">
        <v>1.077059</v>
      </c>
    </row>
    <row r="2607" spans="1:9" x14ac:dyDescent="0.25">
      <c r="A2607">
        <v>2110120140</v>
      </c>
      <c r="B2607" t="s">
        <v>1325</v>
      </c>
      <c r="C2607" t="s">
        <v>151</v>
      </c>
      <c r="D2607" t="s">
        <v>152</v>
      </c>
      <c r="E2607">
        <v>0</v>
      </c>
      <c r="F2607" t="s">
        <v>147</v>
      </c>
      <c r="G2607" s="2">
        <v>7870</v>
      </c>
      <c r="H2607">
        <v>0</v>
      </c>
      <c r="I2607">
        <v>1.077083</v>
      </c>
    </row>
    <row r="2608" spans="1:9" x14ac:dyDescent="0.25">
      <c r="A2608">
        <v>2110120150</v>
      </c>
      <c r="B2608" t="s">
        <v>1326</v>
      </c>
      <c r="C2608" t="s">
        <v>130</v>
      </c>
      <c r="D2608" t="s">
        <v>131</v>
      </c>
      <c r="E2608" s="2">
        <v>9419</v>
      </c>
      <c r="F2608" t="s">
        <v>147</v>
      </c>
      <c r="G2608">
        <v>180</v>
      </c>
      <c r="H2608" s="2">
        <v>4207</v>
      </c>
      <c r="I2608">
        <v>0.87874200000000002</v>
      </c>
    </row>
    <row r="2609" spans="1:9" x14ac:dyDescent="0.25">
      <c r="A2609">
        <v>2110120150</v>
      </c>
      <c r="B2609" t="s">
        <v>1326</v>
      </c>
      <c r="C2609" t="s">
        <v>137</v>
      </c>
      <c r="D2609" t="s">
        <v>138</v>
      </c>
      <c r="E2609">
        <v>6</v>
      </c>
      <c r="F2609" t="s">
        <v>147</v>
      </c>
      <c r="G2609">
        <v>0</v>
      </c>
      <c r="H2609">
        <v>0</v>
      </c>
      <c r="I2609">
        <v>0.88</v>
      </c>
    </row>
    <row r="2610" spans="1:9" x14ac:dyDescent="0.25">
      <c r="A2610">
        <v>2110120150</v>
      </c>
      <c r="B2610" t="s">
        <v>1326</v>
      </c>
      <c r="C2610" t="s">
        <v>151</v>
      </c>
      <c r="D2610" t="s">
        <v>152</v>
      </c>
      <c r="E2610" s="2">
        <v>0</v>
      </c>
      <c r="F2610" t="s">
        <v>147</v>
      </c>
      <c r="G2610" s="2">
        <v>4207</v>
      </c>
      <c r="H2610">
        <v>0</v>
      </c>
      <c r="I2610">
        <v>0.79077699999999995</v>
      </c>
    </row>
    <row r="2611" spans="1:9" x14ac:dyDescent="0.25">
      <c r="A2611">
        <v>2110120202</v>
      </c>
      <c r="B2611" t="s">
        <v>1327</v>
      </c>
      <c r="C2611" t="s">
        <v>130</v>
      </c>
      <c r="D2611" t="s">
        <v>131</v>
      </c>
      <c r="E2611">
        <v>158</v>
      </c>
      <c r="F2611" t="s">
        <v>36</v>
      </c>
      <c r="G2611">
        <v>0</v>
      </c>
      <c r="H2611">
        <v>0</v>
      </c>
      <c r="I2611">
        <v>1.032152</v>
      </c>
    </row>
    <row r="2612" spans="1:9" x14ac:dyDescent="0.25">
      <c r="A2612">
        <v>2110120203</v>
      </c>
      <c r="B2612" t="s">
        <v>1328</v>
      </c>
      <c r="C2612" t="s">
        <v>130</v>
      </c>
      <c r="D2612" t="s">
        <v>131</v>
      </c>
      <c r="E2612" s="2">
        <v>47</v>
      </c>
      <c r="F2612" t="s">
        <v>36</v>
      </c>
      <c r="G2612">
        <v>0</v>
      </c>
      <c r="H2612">
        <v>0</v>
      </c>
      <c r="I2612">
        <v>0.76255300000000004</v>
      </c>
    </row>
    <row r="2613" spans="1:9" x14ac:dyDescent="0.25">
      <c r="A2613">
        <v>2110120225</v>
      </c>
      <c r="B2613" t="s">
        <v>1329</v>
      </c>
      <c r="C2613" t="s">
        <v>130</v>
      </c>
      <c r="D2613" t="s">
        <v>131</v>
      </c>
      <c r="E2613">
        <v>17</v>
      </c>
      <c r="F2613" t="s">
        <v>36</v>
      </c>
      <c r="G2613">
        <v>0</v>
      </c>
      <c r="H2613">
        <v>0</v>
      </c>
      <c r="I2613">
        <v>1.257647</v>
      </c>
    </row>
    <row r="2614" spans="1:9" x14ac:dyDescent="0.25">
      <c r="A2614">
        <v>2110120276</v>
      </c>
      <c r="B2614" t="s">
        <v>1330</v>
      </c>
      <c r="C2614" t="s">
        <v>130</v>
      </c>
      <c r="D2614" t="s">
        <v>131</v>
      </c>
      <c r="E2614" s="2">
        <v>968</v>
      </c>
      <c r="F2614" t="s">
        <v>147</v>
      </c>
      <c r="G2614">
        <v>24</v>
      </c>
      <c r="H2614">
        <v>0</v>
      </c>
      <c r="I2614">
        <v>1.2674479999999999</v>
      </c>
    </row>
    <row r="2615" spans="1:9" x14ac:dyDescent="0.25">
      <c r="A2615">
        <v>2110120276</v>
      </c>
      <c r="B2615" t="s">
        <v>1330</v>
      </c>
      <c r="C2615" t="s">
        <v>151</v>
      </c>
      <c r="D2615" t="s">
        <v>152</v>
      </c>
      <c r="E2615" s="2">
        <v>786</v>
      </c>
      <c r="F2615" t="s">
        <v>147</v>
      </c>
      <c r="G2615">
        <v>0</v>
      </c>
      <c r="H2615">
        <v>0</v>
      </c>
      <c r="I2615">
        <v>1.268842</v>
      </c>
    </row>
    <row r="2616" spans="1:9" x14ac:dyDescent="0.25">
      <c r="A2616">
        <v>2110120289</v>
      </c>
      <c r="B2616" t="s">
        <v>1331</v>
      </c>
      <c r="C2616" t="s">
        <v>130</v>
      </c>
      <c r="D2616" t="s">
        <v>131</v>
      </c>
      <c r="E2616">
        <v>3</v>
      </c>
      <c r="F2616" t="s">
        <v>147</v>
      </c>
      <c r="G2616">
        <v>0</v>
      </c>
      <c r="H2616">
        <v>0</v>
      </c>
      <c r="I2616">
        <v>1.516667</v>
      </c>
    </row>
    <row r="2617" spans="1:9" x14ac:dyDescent="0.25">
      <c r="A2617">
        <v>2110120289</v>
      </c>
      <c r="B2617" t="s">
        <v>1331</v>
      </c>
      <c r="C2617" t="s">
        <v>126</v>
      </c>
      <c r="D2617" t="s">
        <v>127</v>
      </c>
      <c r="E2617">
        <v>2</v>
      </c>
      <c r="F2617" t="s">
        <v>147</v>
      </c>
      <c r="G2617">
        <v>0</v>
      </c>
      <c r="H2617">
        <v>0</v>
      </c>
      <c r="I2617">
        <v>1.52</v>
      </c>
    </row>
    <row r="2618" spans="1:9" x14ac:dyDescent="0.25">
      <c r="A2618">
        <v>2110120291</v>
      </c>
      <c r="B2618" t="s">
        <v>1332</v>
      </c>
      <c r="C2618" t="s">
        <v>130</v>
      </c>
      <c r="D2618" t="s">
        <v>131</v>
      </c>
      <c r="E2618">
        <v>376</v>
      </c>
      <c r="F2618" t="s">
        <v>147</v>
      </c>
      <c r="G2618">
        <v>0</v>
      </c>
      <c r="H2618">
        <v>0</v>
      </c>
      <c r="I2618">
        <v>0.46444099999999999</v>
      </c>
    </row>
    <row r="2619" spans="1:9" x14ac:dyDescent="0.25">
      <c r="A2619" s="1">
        <v>2110120306</v>
      </c>
      <c r="B2619" s="1" t="s">
        <v>1333</v>
      </c>
      <c r="C2619" s="1" t="s">
        <v>130</v>
      </c>
      <c r="D2619" s="1" t="s">
        <v>131</v>
      </c>
      <c r="E2619" s="1">
        <v>443</v>
      </c>
      <c r="F2619" s="1" t="s">
        <v>147</v>
      </c>
      <c r="G2619" s="1">
        <v>0</v>
      </c>
      <c r="H2619" s="1">
        <v>0</v>
      </c>
      <c r="I2619" s="1">
        <v>1.051693</v>
      </c>
    </row>
    <row r="2620" spans="1:9" x14ac:dyDescent="0.25">
      <c r="A2620" s="1">
        <v>2110120307</v>
      </c>
      <c r="B2620" s="1" t="s">
        <v>1334</v>
      </c>
      <c r="C2620" s="1" t="s">
        <v>130</v>
      </c>
      <c r="D2620" s="1" t="s">
        <v>131</v>
      </c>
      <c r="E2620" s="1">
        <v>40</v>
      </c>
      <c r="F2620" s="1" t="s">
        <v>147</v>
      </c>
      <c r="G2620" s="1">
        <v>0</v>
      </c>
      <c r="H2620" s="1">
        <v>0</v>
      </c>
      <c r="I2620" s="1">
        <v>1.8467499999999999</v>
      </c>
    </row>
    <row r="2621" spans="1:9" x14ac:dyDescent="0.25">
      <c r="A2621">
        <v>2110120309</v>
      </c>
      <c r="B2621" t="s">
        <v>1335</v>
      </c>
      <c r="C2621" t="s">
        <v>130</v>
      </c>
      <c r="D2621" t="s">
        <v>131</v>
      </c>
      <c r="E2621" s="2">
        <v>40</v>
      </c>
      <c r="F2621" t="s">
        <v>1231</v>
      </c>
      <c r="G2621">
        <v>0</v>
      </c>
      <c r="H2621">
        <v>223</v>
      </c>
      <c r="I2621">
        <v>4.9619999999999997</v>
      </c>
    </row>
    <row r="2622" spans="1:9" x14ac:dyDescent="0.25">
      <c r="A2622" s="1">
        <v>2110120309</v>
      </c>
      <c r="B2622" s="1" t="s">
        <v>1335</v>
      </c>
      <c r="C2622" s="1" t="s">
        <v>139</v>
      </c>
      <c r="D2622" s="1" t="s">
        <v>140</v>
      </c>
      <c r="E2622" s="1">
        <v>223</v>
      </c>
      <c r="F2622" s="1" t="s">
        <v>1231</v>
      </c>
      <c r="G2622" s="1">
        <v>223</v>
      </c>
      <c r="H2622" s="1">
        <v>0</v>
      </c>
      <c r="I2622" s="1">
        <v>4.9619280000000003</v>
      </c>
    </row>
    <row r="2623" spans="1:9" x14ac:dyDescent="0.25">
      <c r="A2623" s="1">
        <v>2110120337</v>
      </c>
      <c r="B2623" s="1" t="s">
        <v>1336</v>
      </c>
      <c r="C2623" s="1" t="s">
        <v>126</v>
      </c>
      <c r="D2623" s="1" t="s">
        <v>127</v>
      </c>
      <c r="E2623" s="1">
        <v>795</v>
      </c>
      <c r="F2623" s="1" t="s">
        <v>147</v>
      </c>
      <c r="G2623" s="1">
        <v>0</v>
      </c>
      <c r="H2623" s="1">
        <v>0</v>
      </c>
      <c r="I2623" s="1">
        <v>1.426453</v>
      </c>
    </row>
    <row r="2624" spans="1:9" x14ac:dyDescent="0.25">
      <c r="A2624" s="1">
        <v>2110120339</v>
      </c>
      <c r="B2624" s="1" t="s">
        <v>1337</v>
      </c>
      <c r="C2624" s="1" t="s">
        <v>130</v>
      </c>
      <c r="D2624" s="1" t="s">
        <v>131</v>
      </c>
      <c r="E2624" s="1">
        <v>145</v>
      </c>
      <c r="F2624" s="1" t="s">
        <v>147</v>
      </c>
      <c r="G2624" s="1">
        <v>276</v>
      </c>
      <c r="H2624" s="3">
        <v>276</v>
      </c>
      <c r="I2624" s="1">
        <v>1.5411029999999999</v>
      </c>
    </row>
    <row r="2625" spans="1:9" x14ac:dyDescent="0.25">
      <c r="A2625" s="1">
        <v>2110120339</v>
      </c>
      <c r="B2625" s="1" t="s">
        <v>1337</v>
      </c>
      <c r="C2625" s="1" t="s">
        <v>151</v>
      </c>
      <c r="D2625" s="1" t="s">
        <v>152</v>
      </c>
      <c r="E2625" s="1">
        <v>0</v>
      </c>
      <c r="F2625" s="1" t="s">
        <v>147</v>
      </c>
      <c r="G2625" s="1">
        <v>276</v>
      </c>
      <c r="H2625" s="1">
        <v>276</v>
      </c>
      <c r="I2625" s="1">
        <v>1.5408329999999999</v>
      </c>
    </row>
    <row r="2626" spans="1:9" x14ac:dyDescent="0.25">
      <c r="A2626" s="1">
        <v>2110120340</v>
      </c>
      <c r="B2626" s="1" t="s">
        <v>1338</v>
      </c>
      <c r="C2626" s="1" t="s">
        <v>130</v>
      </c>
      <c r="D2626" s="1" t="s">
        <v>131</v>
      </c>
      <c r="E2626" s="1">
        <v>432</v>
      </c>
      <c r="F2626" s="1" t="s">
        <v>147</v>
      </c>
      <c r="G2626" s="3">
        <v>540</v>
      </c>
      <c r="H2626" s="1">
        <v>0</v>
      </c>
      <c r="I2626" s="1">
        <v>1.42581</v>
      </c>
    </row>
    <row r="2627" spans="1:9" x14ac:dyDescent="0.25">
      <c r="A2627" s="1">
        <v>2110120340</v>
      </c>
      <c r="B2627" s="1" t="s">
        <v>1338</v>
      </c>
      <c r="C2627" s="1" t="s">
        <v>126</v>
      </c>
      <c r="D2627" s="1" t="s">
        <v>127</v>
      </c>
      <c r="E2627" s="3">
        <v>122</v>
      </c>
      <c r="F2627" s="1" t="s">
        <v>147</v>
      </c>
      <c r="G2627" s="1">
        <v>0</v>
      </c>
      <c r="H2627" s="1">
        <v>0</v>
      </c>
      <c r="I2627" s="1">
        <v>1.4258200000000001</v>
      </c>
    </row>
    <row r="2628" spans="1:9" x14ac:dyDescent="0.25">
      <c r="A2628" s="1">
        <v>2110120341</v>
      </c>
      <c r="B2628" s="1" t="s">
        <v>1339</v>
      </c>
      <c r="C2628" s="1" t="s">
        <v>126</v>
      </c>
      <c r="D2628" s="1" t="s">
        <v>127</v>
      </c>
      <c r="E2628" s="1">
        <v>307</v>
      </c>
      <c r="F2628" s="1" t="s">
        <v>147</v>
      </c>
      <c r="G2628" s="1">
        <v>0</v>
      </c>
      <c r="H2628" s="1">
        <v>0</v>
      </c>
      <c r="I2628" s="1">
        <v>1.2082079999999999</v>
      </c>
    </row>
    <row r="2629" spans="1:9" x14ac:dyDescent="0.25">
      <c r="A2629" s="1">
        <v>2110120342</v>
      </c>
      <c r="B2629" s="1" t="s">
        <v>1340</v>
      </c>
      <c r="C2629" s="1" t="s">
        <v>126</v>
      </c>
      <c r="D2629" s="1" t="s">
        <v>127</v>
      </c>
      <c r="E2629" s="1">
        <v>98</v>
      </c>
      <c r="F2629" s="1" t="s">
        <v>147</v>
      </c>
      <c r="G2629" s="1">
        <v>0</v>
      </c>
      <c r="H2629" s="1">
        <v>0</v>
      </c>
      <c r="I2629" s="1">
        <v>1.2312240000000001</v>
      </c>
    </row>
    <row r="2630" spans="1:9" x14ac:dyDescent="0.25">
      <c r="A2630" s="1">
        <v>2110120345</v>
      </c>
      <c r="B2630" s="1" t="s">
        <v>1341</v>
      </c>
      <c r="C2630" s="1" t="s">
        <v>130</v>
      </c>
      <c r="D2630" s="1" t="s">
        <v>131</v>
      </c>
      <c r="E2630" s="1">
        <v>14</v>
      </c>
      <c r="F2630" s="1" t="s">
        <v>36</v>
      </c>
      <c r="G2630" s="1">
        <v>0</v>
      </c>
      <c r="H2630" s="1">
        <v>0</v>
      </c>
      <c r="I2630" s="1">
        <v>5.0307139999999997</v>
      </c>
    </row>
    <row r="2631" spans="1:9" x14ac:dyDescent="0.25">
      <c r="A2631">
        <v>2110120346</v>
      </c>
      <c r="B2631" t="s">
        <v>1342</v>
      </c>
      <c r="C2631" t="s">
        <v>130</v>
      </c>
      <c r="D2631" t="s">
        <v>131</v>
      </c>
      <c r="E2631" s="2">
        <v>194</v>
      </c>
      <c r="F2631" t="s">
        <v>36</v>
      </c>
      <c r="G2631">
        <v>0</v>
      </c>
      <c r="H2631">
        <v>0</v>
      </c>
      <c r="I2631">
        <v>3.4691749999999999</v>
      </c>
    </row>
    <row r="2632" spans="1:9" x14ac:dyDescent="0.25">
      <c r="A2632" s="1">
        <v>2110120347</v>
      </c>
      <c r="B2632" s="1" t="s">
        <v>1343</v>
      </c>
      <c r="C2632" s="1" t="s">
        <v>130</v>
      </c>
      <c r="D2632" s="1" t="s">
        <v>131</v>
      </c>
      <c r="E2632" s="1">
        <v>208</v>
      </c>
      <c r="F2632" s="1" t="s">
        <v>36</v>
      </c>
      <c r="G2632" s="1">
        <v>0</v>
      </c>
      <c r="H2632" s="1">
        <v>0</v>
      </c>
      <c r="I2632" s="1">
        <v>3.4684620000000002</v>
      </c>
    </row>
    <row r="2633" spans="1:9" x14ac:dyDescent="0.25">
      <c r="A2633">
        <v>2110120348</v>
      </c>
      <c r="B2633" t="s">
        <v>1344</v>
      </c>
      <c r="C2633" t="s">
        <v>130</v>
      </c>
      <c r="D2633" t="s">
        <v>131</v>
      </c>
      <c r="E2633" s="2">
        <v>68</v>
      </c>
      <c r="F2633" t="s">
        <v>36</v>
      </c>
      <c r="G2633" s="2">
        <v>232</v>
      </c>
      <c r="H2633">
        <v>196</v>
      </c>
      <c r="I2633">
        <v>1.3848529999999999</v>
      </c>
    </row>
    <row r="2634" spans="1:9" x14ac:dyDescent="0.25">
      <c r="A2634">
        <v>2110120348</v>
      </c>
      <c r="B2634" t="s">
        <v>1344</v>
      </c>
      <c r="C2634" t="s">
        <v>151</v>
      </c>
      <c r="D2634" t="s">
        <v>152</v>
      </c>
      <c r="E2634" s="2">
        <v>0</v>
      </c>
      <c r="F2634" t="s">
        <v>36</v>
      </c>
      <c r="G2634">
        <v>196</v>
      </c>
      <c r="H2634">
        <v>196</v>
      </c>
      <c r="I2634">
        <v>1.385</v>
      </c>
    </row>
    <row r="2635" spans="1:9" x14ac:dyDescent="0.25">
      <c r="A2635">
        <v>2110120359</v>
      </c>
      <c r="B2635" t="s">
        <v>1345</v>
      </c>
      <c r="C2635" t="s">
        <v>126</v>
      </c>
      <c r="D2635" t="s">
        <v>127</v>
      </c>
      <c r="E2635" s="2">
        <v>316</v>
      </c>
      <c r="F2635" t="s">
        <v>147</v>
      </c>
      <c r="G2635">
        <v>0</v>
      </c>
      <c r="H2635">
        <v>0</v>
      </c>
      <c r="I2635">
        <v>9.7725000000000009</v>
      </c>
    </row>
    <row r="2636" spans="1:9" x14ac:dyDescent="0.25">
      <c r="A2636">
        <v>2110120360</v>
      </c>
      <c r="B2636" t="s">
        <v>1346</v>
      </c>
      <c r="C2636" t="s">
        <v>126</v>
      </c>
      <c r="D2636" t="s">
        <v>127</v>
      </c>
      <c r="E2636" s="2">
        <v>108</v>
      </c>
      <c r="F2636" t="s">
        <v>147</v>
      </c>
      <c r="G2636">
        <v>0</v>
      </c>
      <c r="H2636">
        <v>0</v>
      </c>
      <c r="I2636">
        <v>9.7713889999999992</v>
      </c>
    </row>
    <row r="2637" spans="1:9" x14ac:dyDescent="0.25">
      <c r="A2637">
        <v>2110120361</v>
      </c>
      <c r="B2637" t="s">
        <v>1347</v>
      </c>
      <c r="C2637" t="s">
        <v>126</v>
      </c>
      <c r="D2637" t="s">
        <v>127</v>
      </c>
      <c r="E2637" s="2">
        <v>129</v>
      </c>
      <c r="F2637" t="s">
        <v>147</v>
      </c>
      <c r="G2637">
        <v>0</v>
      </c>
      <c r="H2637">
        <v>0</v>
      </c>
      <c r="I2637">
        <v>9.7724810000000009</v>
      </c>
    </row>
    <row r="2638" spans="1:9" x14ac:dyDescent="0.25">
      <c r="A2638" s="1">
        <v>2110120362</v>
      </c>
      <c r="B2638" s="1" t="s">
        <v>1348</v>
      </c>
      <c r="C2638" s="1" t="s">
        <v>126</v>
      </c>
      <c r="D2638" s="1" t="s">
        <v>127</v>
      </c>
      <c r="E2638" s="1">
        <v>476</v>
      </c>
      <c r="F2638" s="1" t="s">
        <v>147</v>
      </c>
      <c r="G2638" s="1">
        <v>0</v>
      </c>
      <c r="H2638" s="1">
        <v>0</v>
      </c>
      <c r="I2638" s="1">
        <v>2.6151680000000002</v>
      </c>
    </row>
    <row r="2639" spans="1:9" x14ac:dyDescent="0.25">
      <c r="A2639" s="1">
        <v>2110120366</v>
      </c>
      <c r="B2639" s="1" t="s">
        <v>1349</v>
      </c>
      <c r="C2639" s="1" t="s">
        <v>126</v>
      </c>
      <c r="D2639" s="1" t="s">
        <v>127</v>
      </c>
      <c r="E2639" s="1">
        <v>839</v>
      </c>
      <c r="F2639" s="1" t="s">
        <v>147</v>
      </c>
      <c r="G2639" s="1">
        <v>0</v>
      </c>
      <c r="H2639" s="1">
        <v>0</v>
      </c>
      <c r="I2639" s="1">
        <v>1.695757</v>
      </c>
    </row>
    <row r="2640" spans="1:9" x14ac:dyDescent="0.25">
      <c r="A2640" s="1">
        <v>2110120367</v>
      </c>
      <c r="B2640" s="1" t="s">
        <v>1350</v>
      </c>
      <c r="C2640" s="1" t="s">
        <v>126</v>
      </c>
      <c r="D2640" s="1" t="s">
        <v>127</v>
      </c>
      <c r="E2640" s="3">
        <v>1044</v>
      </c>
      <c r="F2640" s="1" t="s">
        <v>147</v>
      </c>
      <c r="G2640" s="1">
        <v>0</v>
      </c>
      <c r="H2640" s="1">
        <v>0</v>
      </c>
      <c r="I2640" s="1">
        <v>1.7353639999999999</v>
      </c>
    </row>
    <row r="2641" spans="1:9" x14ac:dyDescent="0.25">
      <c r="A2641">
        <v>2110120371</v>
      </c>
      <c r="B2641" t="s">
        <v>1351</v>
      </c>
      <c r="C2641" t="s">
        <v>130</v>
      </c>
      <c r="D2641" t="s">
        <v>131</v>
      </c>
      <c r="E2641" s="2">
        <v>15</v>
      </c>
      <c r="F2641" t="s">
        <v>147</v>
      </c>
      <c r="G2641" s="2">
        <v>0</v>
      </c>
      <c r="H2641" s="2">
        <v>0</v>
      </c>
      <c r="I2641">
        <v>1.006667</v>
      </c>
    </row>
    <row r="2642" spans="1:9" x14ac:dyDescent="0.25">
      <c r="A2642">
        <v>2110120373</v>
      </c>
      <c r="B2642" t="s">
        <v>1352</v>
      </c>
      <c r="C2642" t="s">
        <v>130</v>
      </c>
      <c r="D2642" t="s">
        <v>131</v>
      </c>
      <c r="E2642" s="2">
        <v>1</v>
      </c>
      <c r="F2642" t="s">
        <v>147</v>
      </c>
      <c r="G2642">
        <v>0</v>
      </c>
      <c r="H2642">
        <v>0</v>
      </c>
      <c r="I2642">
        <v>1.04</v>
      </c>
    </row>
    <row r="2643" spans="1:9" x14ac:dyDescent="0.25">
      <c r="A2643">
        <v>2110120374</v>
      </c>
      <c r="B2643" t="s">
        <v>1353</v>
      </c>
      <c r="C2643" t="s">
        <v>130</v>
      </c>
      <c r="D2643" t="s">
        <v>131</v>
      </c>
      <c r="E2643" s="2">
        <v>25</v>
      </c>
      <c r="F2643" t="s">
        <v>147</v>
      </c>
      <c r="G2643">
        <v>0</v>
      </c>
      <c r="H2643">
        <v>0</v>
      </c>
      <c r="I2643">
        <v>1.7911999999999999</v>
      </c>
    </row>
    <row r="2644" spans="1:9" x14ac:dyDescent="0.25">
      <c r="A2644" s="1">
        <v>2110120376</v>
      </c>
      <c r="B2644" s="1" t="s">
        <v>1354</v>
      </c>
      <c r="C2644" s="1" t="s">
        <v>130</v>
      </c>
      <c r="D2644" s="1" t="s">
        <v>131</v>
      </c>
      <c r="E2644" s="3">
        <v>2502</v>
      </c>
      <c r="F2644" s="1" t="s">
        <v>147</v>
      </c>
      <c r="G2644" s="1">
        <v>288</v>
      </c>
      <c r="H2644" s="3">
        <v>2452</v>
      </c>
      <c r="I2644" s="1">
        <v>0.78029599999999999</v>
      </c>
    </row>
    <row r="2645" spans="1:9" x14ac:dyDescent="0.25">
      <c r="A2645" s="1">
        <v>2110120376</v>
      </c>
      <c r="B2645" s="1" t="s">
        <v>1354</v>
      </c>
      <c r="C2645" s="1" t="s">
        <v>126</v>
      </c>
      <c r="D2645" s="1" t="s">
        <v>127</v>
      </c>
      <c r="E2645" s="1">
        <v>620</v>
      </c>
      <c r="F2645" s="1" t="s">
        <v>147</v>
      </c>
      <c r="G2645" s="1">
        <v>0</v>
      </c>
      <c r="H2645" s="1">
        <v>0</v>
      </c>
      <c r="I2645" s="1">
        <v>1.146984</v>
      </c>
    </row>
    <row r="2646" spans="1:9" x14ac:dyDescent="0.25">
      <c r="A2646" s="1">
        <v>2110120376</v>
      </c>
      <c r="B2646" s="1" t="s">
        <v>1354</v>
      </c>
      <c r="C2646" s="1" t="s">
        <v>151</v>
      </c>
      <c r="D2646" s="1" t="s">
        <v>152</v>
      </c>
      <c r="E2646" s="1">
        <v>0</v>
      </c>
      <c r="F2646" s="1" t="s">
        <v>147</v>
      </c>
      <c r="G2646" s="3">
        <v>2260</v>
      </c>
      <c r="H2646" s="1">
        <v>0</v>
      </c>
      <c r="I2646" s="1">
        <v>1.146979</v>
      </c>
    </row>
    <row r="2647" spans="1:9" x14ac:dyDescent="0.25">
      <c r="A2647">
        <v>2110120376</v>
      </c>
      <c r="B2647" t="s">
        <v>1354</v>
      </c>
      <c r="C2647" t="s">
        <v>139</v>
      </c>
      <c r="D2647" t="s">
        <v>140</v>
      </c>
      <c r="E2647" s="2">
        <v>0</v>
      </c>
      <c r="F2647" t="s">
        <v>147</v>
      </c>
      <c r="G2647">
        <v>192</v>
      </c>
      <c r="H2647">
        <v>0</v>
      </c>
      <c r="I2647">
        <v>0</v>
      </c>
    </row>
    <row r="2648" spans="1:9" x14ac:dyDescent="0.25">
      <c r="A2648">
        <v>2110120377</v>
      </c>
      <c r="B2648" t="s">
        <v>1355</v>
      </c>
      <c r="C2648" t="s">
        <v>130</v>
      </c>
      <c r="D2648" t="s">
        <v>131</v>
      </c>
      <c r="E2648" s="2">
        <v>732</v>
      </c>
      <c r="F2648" t="s">
        <v>147</v>
      </c>
      <c r="G2648" s="2">
        <v>0</v>
      </c>
      <c r="H2648" s="2">
        <v>0</v>
      </c>
      <c r="I2648">
        <v>1.216885</v>
      </c>
    </row>
    <row r="2649" spans="1:9" x14ac:dyDescent="0.25">
      <c r="A2649">
        <v>2110120378</v>
      </c>
      <c r="B2649" t="s">
        <v>1356</v>
      </c>
      <c r="C2649" t="s">
        <v>130</v>
      </c>
      <c r="D2649" t="s">
        <v>131</v>
      </c>
      <c r="E2649" s="2">
        <v>324</v>
      </c>
      <c r="F2649" t="s">
        <v>147</v>
      </c>
      <c r="G2649" s="2">
        <v>0</v>
      </c>
      <c r="H2649">
        <v>0</v>
      </c>
      <c r="I2649">
        <v>1.3411109999999999</v>
      </c>
    </row>
    <row r="2650" spans="1:9" x14ac:dyDescent="0.25">
      <c r="A2650" s="1">
        <v>2110120379</v>
      </c>
      <c r="B2650" s="1" t="s">
        <v>1357</v>
      </c>
      <c r="C2650" s="1" t="s">
        <v>130</v>
      </c>
      <c r="D2650" s="1" t="s">
        <v>131</v>
      </c>
      <c r="E2650" s="1">
        <v>423</v>
      </c>
      <c r="F2650" s="1" t="s">
        <v>147</v>
      </c>
      <c r="G2650" s="1">
        <v>0</v>
      </c>
      <c r="H2650" s="1">
        <v>0</v>
      </c>
      <c r="I2650" s="1">
        <v>1.2965009999999999</v>
      </c>
    </row>
    <row r="2651" spans="1:9" x14ac:dyDescent="0.25">
      <c r="A2651" s="1">
        <v>2110120383</v>
      </c>
      <c r="B2651" s="1" t="s">
        <v>1358</v>
      </c>
      <c r="C2651" s="1" t="s">
        <v>130</v>
      </c>
      <c r="D2651" s="1" t="s">
        <v>131</v>
      </c>
      <c r="E2651" s="1">
        <v>35</v>
      </c>
      <c r="F2651" s="1" t="s">
        <v>147</v>
      </c>
      <c r="G2651" s="1">
        <v>0</v>
      </c>
      <c r="H2651" s="1">
        <v>0</v>
      </c>
      <c r="I2651" s="1">
        <v>1.4217139999999999</v>
      </c>
    </row>
    <row r="2652" spans="1:9" x14ac:dyDescent="0.25">
      <c r="A2652" s="1">
        <v>2110120384</v>
      </c>
      <c r="B2652" s="1" t="s">
        <v>1359</v>
      </c>
      <c r="C2652" s="1" t="s">
        <v>130</v>
      </c>
      <c r="D2652" s="1" t="s">
        <v>131</v>
      </c>
      <c r="E2652" s="1">
        <v>0</v>
      </c>
      <c r="F2652" s="1" t="s">
        <v>1231</v>
      </c>
      <c r="G2652" s="1">
        <v>0</v>
      </c>
      <c r="H2652" s="3">
        <v>1208</v>
      </c>
      <c r="I2652" s="1">
        <v>0</v>
      </c>
    </row>
    <row r="2653" spans="1:9" x14ac:dyDescent="0.25">
      <c r="A2653" s="1">
        <v>2110120384</v>
      </c>
      <c r="B2653" s="1" t="s">
        <v>1359</v>
      </c>
      <c r="C2653" s="1" t="s">
        <v>139</v>
      </c>
      <c r="D2653" s="1" t="s">
        <v>140</v>
      </c>
      <c r="E2653" s="3">
        <v>1208</v>
      </c>
      <c r="F2653" s="1" t="s">
        <v>1231</v>
      </c>
      <c r="G2653" s="3">
        <v>1208</v>
      </c>
      <c r="H2653" s="1">
        <v>0</v>
      </c>
      <c r="I2653" s="1">
        <v>4.3277479999999997</v>
      </c>
    </row>
    <row r="2654" spans="1:9" x14ac:dyDescent="0.25">
      <c r="A2654" s="1">
        <v>2110120395</v>
      </c>
      <c r="B2654" s="1" t="s">
        <v>1360</v>
      </c>
      <c r="C2654" s="1" t="s">
        <v>126</v>
      </c>
      <c r="D2654" s="1" t="s">
        <v>127</v>
      </c>
      <c r="E2654" s="1">
        <v>30</v>
      </c>
      <c r="F2654" s="1" t="s">
        <v>36</v>
      </c>
      <c r="G2654" s="1">
        <v>0</v>
      </c>
      <c r="H2654" s="1">
        <v>0</v>
      </c>
      <c r="I2654" s="1">
        <v>2.8913329999999999</v>
      </c>
    </row>
    <row r="2655" spans="1:9" x14ac:dyDescent="0.25">
      <c r="A2655" s="1">
        <v>2110120396</v>
      </c>
      <c r="B2655" s="1" t="s">
        <v>1361</v>
      </c>
      <c r="C2655" s="1" t="s">
        <v>130</v>
      </c>
      <c r="D2655" s="1" t="s">
        <v>131</v>
      </c>
      <c r="E2655" s="1">
        <v>0</v>
      </c>
      <c r="F2655" s="1" t="s">
        <v>1231</v>
      </c>
      <c r="G2655" s="1">
        <v>0</v>
      </c>
      <c r="H2655" s="1">
        <v>178</v>
      </c>
      <c r="I2655" s="1">
        <v>0</v>
      </c>
    </row>
    <row r="2656" spans="1:9" x14ac:dyDescent="0.25">
      <c r="A2656" s="1">
        <v>2110120396</v>
      </c>
      <c r="B2656" s="1" t="s">
        <v>1361</v>
      </c>
      <c r="C2656" s="1" t="s">
        <v>139</v>
      </c>
      <c r="D2656" s="1" t="s">
        <v>140</v>
      </c>
      <c r="E2656" s="1">
        <v>178</v>
      </c>
      <c r="F2656" s="1" t="s">
        <v>1231</v>
      </c>
      <c r="G2656" s="1">
        <v>178</v>
      </c>
      <c r="H2656" s="1">
        <v>0</v>
      </c>
      <c r="I2656" s="1">
        <v>4.9641570000000002</v>
      </c>
    </row>
    <row r="2657" spans="1:9" x14ac:dyDescent="0.25">
      <c r="A2657" s="1">
        <v>2110120397</v>
      </c>
      <c r="B2657" s="1" t="s">
        <v>1362</v>
      </c>
      <c r="C2657" s="1" t="s">
        <v>126</v>
      </c>
      <c r="D2657" s="1" t="s">
        <v>127</v>
      </c>
      <c r="E2657" s="1">
        <v>99</v>
      </c>
      <c r="F2657" s="1" t="s">
        <v>1231</v>
      </c>
      <c r="G2657" s="1">
        <v>0</v>
      </c>
      <c r="H2657" s="1">
        <v>0</v>
      </c>
      <c r="I2657" s="1">
        <v>4.4644440000000003</v>
      </c>
    </row>
    <row r="2658" spans="1:9" x14ac:dyDescent="0.25">
      <c r="A2658" s="1">
        <v>2110120404</v>
      </c>
      <c r="B2658" s="1" t="s">
        <v>1363</v>
      </c>
      <c r="C2658" s="1" t="s">
        <v>130</v>
      </c>
      <c r="D2658" s="1" t="s">
        <v>131</v>
      </c>
      <c r="E2658" s="1">
        <v>0</v>
      </c>
      <c r="F2658" s="1" t="s">
        <v>1231</v>
      </c>
      <c r="G2658" s="1">
        <v>0</v>
      </c>
      <c r="H2658" s="1">
        <v>718</v>
      </c>
      <c r="I2658" s="1">
        <v>0</v>
      </c>
    </row>
    <row r="2659" spans="1:9" x14ac:dyDescent="0.25">
      <c r="A2659" s="1">
        <v>2110120404</v>
      </c>
      <c r="B2659" s="1" t="s">
        <v>1363</v>
      </c>
      <c r="C2659" s="1" t="s">
        <v>139</v>
      </c>
      <c r="D2659" s="1" t="s">
        <v>140</v>
      </c>
      <c r="E2659" s="1">
        <v>718</v>
      </c>
      <c r="F2659" s="1" t="s">
        <v>1231</v>
      </c>
      <c r="G2659" s="1">
        <v>718</v>
      </c>
      <c r="H2659" s="1">
        <v>0</v>
      </c>
      <c r="I2659" s="1">
        <v>1.9519359999999999</v>
      </c>
    </row>
    <row r="2660" spans="1:9" x14ac:dyDescent="0.25">
      <c r="A2660" s="1">
        <v>2110120408</v>
      </c>
      <c r="B2660" s="1" t="s">
        <v>1364</v>
      </c>
      <c r="C2660" s="1" t="s">
        <v>130</v>
      </c>
      <c r="D2660" s="1" t="s">
        <v>131</v>
      </c>
      <c r="E2660" s="1">
        <v>0</v>
      </c>
      <c r="F2660" s="1" t="s">
        <v>1231</v>
      </c>
      <c r="G2660" s="1">
        <v>0</v>
      </c>
      <c r="H2660" s="1">
        <v>12</v>
      </c>
      <c r="I2660" s="1">
        <v>0</v>
      </c>
    </row>
    <row r="2661" spans="1:9" x14ac:dyDescent="0.25">
      <c r="A2661" s="1">
        <v>2110120408</v>
      </c>
      <c r="B2661" s="1" t="s">
        <v>1364</v>
      </c>
      <c r="C2661" s="1" t="s">
        <v>139</v>
      </c>
      <c r="D2661" s="1" t="s">
        <v>140</v>
      </c>
      <c r="E2661" s="1">
        <v>12</v>
      </c>
      <c r="F2661" s="1" t="s">
        <v>1231</v>
      </c>
      <c r="G2661" s="1">
        <v>12</v>
      </c>
      <c r="H2661" s="1">
        <v>0</v>
      </c>
      <c r="I2661" s="1">
        <v>3.6949999999999998</v>
      </c>
    </row>
    <row r="2662" spans="1:9" x14ac:dyDescent="0.25">
      <c r="A2662" s="1">
        <v>2110120409</v>
      </c>
      <c r="B2662" s="1" t="s">
        <v>1365</v>
      </c>
      <c r="C2662" s="1" t="s">
        <v>130</v>
      </c>
      <c r="D2662" s="1" t="s">
        <v>131</v>
      </c>
      <c r="E2662" s="1">
        <v>0</v>
      </c>
      <c r="F2662" s="1" t="s">
        <v>1231</v>
      </c>
      <c r="G2662" s="1">
        <v>0</v>
      </c>
      <c r="H2662" s="1">
        <v>22</v>
      </c>
      <c r="I2662" s="1">
        <v>0</v>
      </c>
    </row>
    <row r="2663" spans="1:9" x14ac:dyDescent="0.25">
      <c r="A2663" s="1">
        <v>2110120409</v>
      </c>
      <c r="B2663" s="1" t="s">
        <v>1365</v>
      </c>
      <c r="C2663" s="1" t="s">
        <v>139</v>
      </c>
      <c r="D2663" s="1" t="s">
        <v>140</v>
      </c>
      <c r="E2663" s="1">
        <v>22</v>
      </c>
      <c r="F2663" s="1" t="s">
        <v>1231</v>
      </c>
      <c r="G2663" s="1">
        <v>22</v>
      </c>
      <c r="H2663" s="1">
        <v>0</v>
      </c>
      <c r="I2663" s="1">
        <v>4.9263640000000004</v>
      </c>
    </row>
    <row r="2664" spans="1:9" x14ac:dyDescent="0.25">
      <c r="A2664" s="1">
        <v>2110120424</v>
      </c>
      <c r="B2664" s="1" t="s">
        <v>1366</v>
      </c>
      <c r="C2664" s="1" t="s">
        <v>199</v>
      </c>
      <c r="D2664" s="1" t="s">
        <v>200</v>
      </c>
      <c r="E2664" s="1">
        <v>196</v>
      </c>
      <c r="F2664" s="1" t="s">
        <v>147</v>
      </c>
      <c r="G2664" s="1">
        <v>0</v>
      </c>
      <c r="H2664" s="3">
        <v>0</v>
      </c>
      <c r="I2664" s="1">
        <v>1.7555099999999999</v>
      </c>
    </row>
    <row r="2665" spans="1:9" x14ac:dyDescent="0.25">
      <c r="A2665" s="1">
        <v>2110120424</v>
      </c>
      <c r="B2665" s="1" t="s">
        <v>1366</v>
      </c>
      <c r="C2665" s="1" t="s">
        <v>130</v>
      </c>
      <c r="D2665" s="1" t="s">
        <v>131</v>
      </c>
      <c r="E2665" s="3">
        <v>2237</v>
      </c>
      <c r="F2665" s="1" t="s">
        <v>147</v>
      </c>
      <c r="G2665" s="3">
        <v>0</v>
      </c>
      <c r="H2665" s="1">
        <v>0</v>
      </c>
      <c r="I2665" s="1">
        <v>1.755485</v>
      </c>
    </row>
    <row r="2666" spans="1:9" x14ac:dyDescent="0.25">
      <c r="A2666" s="1">
        <v>2110120425</v>
      </c>
      <c r="B2666" s="1" t="s">
        <v>1367</v>
      </c>
      <c r="C2666" s="1" t="s">
        <v>130</v>
      </c>
      <c r="D2666" s="1" t="s">
        <v>131</v>
      </c>
      <c r="E2666" s="3">
        <v>2209</v>
      </c>
      <c r="F2666" s="1" t="s">
        <v>147</v>
      </c>
      <c r="G2666" s="1">
        <v>48</v>
      </c>
      <c r="H2666" s="1">
        <v>151</v>
      </c>
      <c r="I2666" s="1">
        <v>1.4168540000000001</v>
      </c>
    </row>
    <row r="2667" spans="1:9" x14ac:dyDescent="0.25">
      <c r="A2667" s="1">
        <v>2110120425</v>
      </c>
      <c r="B2667" s="1" t="s">
        <v>1367</v>
      </c>
      <c r="C2667" s="1" t="s">
        <v>151</v>
      </c>
      <c r="D2667" s="1" t="s">
        <v>152</v>
      </c>
      <c r="E2667" s="1">
        <v>0</v>
      </c>
      <c r="F2667" s="1" t="s">
        <v>147</v>
      </c>
      <c r="G2667" s="1">
        <v>151</v>
      </c>
      <c r="H2667" s="1">
        <v>0</v>
      </c>
      <c r="I2667" s="1">
        <v>1.4168750000000001</v>
      </c>
    </row>
    <row r="2668" spans="1:9" x14ac:dyDescent="0.25">
      <c r="A2668" s="1">
        <v>2110120427</v>
      </c>
      <c r="B2668" s="1" t="s">
        <v>1368</v>
      </c>
      <c r="C2668" s="1" t="s">
        <v>130</v>
      </c>
      <c r="D2668" s="1" t="s">
        <v>131</v>
      </c>
      <c r="E2668" s="3">
        <v>598</v>
      </c>
      <c r="F2668" s="1" t="s">
        <v>147</v>
      </c>
      <c r="G2668" s="1">
        <v>0</v>
      </c>
      <c r="H2668" s="1">
        <v>0</v>
      </c>
      <c r="I2668" s="1">
        <v>1.4121570000000001</v>
      </c>
    </row>
    <row r="2669" spans="1:9" x14ac:dyDescent="0.25">
      <c r="A2669" s="1">
        <v>2110120427</v>
      </c>
      <c r="B2669" s="1" t="s">
        <v>1368</v>
      </c>
      <c r="C2669" s="1" t="s">
        <v>126</v>
      </c>
      <c r="D2669" s="1" t="s">
        <v>127</v>
      </c>
      <c r="E2669" s="3">
        <v>1083</v>
      </c>
      <c r="F2669" s="1" t="s">
        <v>147</v>
      </c>
      <c r="G2669" s="1">
        <v>0</v>
      </c>
      <c r="H2669" s="1">
        <v>0</v>
      </c>
      <c r="I2669" s="1">
        <v>1.4121330000000001</v>
      </c>
    </row>
    <row r="2670" spans="1:9" x14ac:dyDescent="0.25">
      <c r="A2670" s="1">
        <v>2110120428</v>
      </c>
      <c r="B2670" s="1" t="s">
        <v>1369</v>
      </c>
      <c r="C2670" s="1" t="s">
        <v>130</v>
      </c>
      <c r="D2670" s="1" t="s">
        <v>131</v>
      </c>
      <c r="E2670" s="3">
        <v>5181</v>
      </c>
      <c r="F2670" s="1" t="s">
        <v>147</v>
      </c>
      <c r="G2670" s="1">
        <v>0</v>
      </c>
      <c r="H2670" s="3">
        <v>0</v>
      </c>
      <c r="I2670" s="1">
        <v>2.6063420000000002</v>
      </c>
    </row>
    <row r="2671" spans="1:9" x14ac:dyDescent="0.25">
      <c r="A2671" s="1">
        <v>2110120429</v>
      </c>
      <c r="B2671" s="1" t="s">
        <v>1370</v>
      </c>
      <c r="C2671" s="1" t="s">
        <v>130</v>
      </c>
      <c r="D2671" s="1" t="s">
        <v>131</v>
      </c>
      <c r="E2671" s="1">
        <v>536</v>
      </c>
      <c r="F2671" s="1" t="s">
        <v>147</v>
      </c>
      <c r="G2671" s="1">
        <v>0</v>
      </c>
      <c r="H2671" s="1">
        <v>534</v>
      </c>
      <c r="I2671" s="1">
        <v>0.97707100000000002</v>
      </c>
    </row>
    <row r="2672" spans="1:9" x14ac:dyDescent="0.25">
      <c r="A2672" s="1">
        <v>2110120429</v>
      </c>
      <c r="B2672" s="1" t="s">
        <v>1370</v>
      </c>
      <c r="C2672" s="1" t="s">
        <v>151</v>
      </c>
      <c r="D2672" s="1" t="s">
        <v>152</v>
      </c>
      <c r="E2672" s="1">
        <v>0</v>
      </c>
      <c r="F2672" s="1" t="s">
        <v>147</v>
      </c>
      <c r="G2672" s="1">
        <v>534</v>
      </c>
      <c r="H2672" s="1">
        <v>0</v>
      </c>
      <c r="I2672" s="1">
        <v>0.97704999999999997</v>
      </c>
    </row>
    <row r="2673" spans="1:9" x14ac:dyDescent="0.25">
      <c r="A2673" s="1">
        <v>2110120430</v>
      </c>
      <c r="B2673" s="1" t="s">
        <v>1371</v>
      </c>
      <c r="C2673" s="1" t="s">
        <v>130</v>
      </c>
      <c r="D2673" s="1" t="s">
        <v>131</v>
      </c>
      <c r="E2673" s="3">
        <v>972</v>
      </c>
      <c r="F2673" s="1" t="s">
        <v>147</v>
      </c>
      <c r="G2673" s="3">
        <v>0</v>
      </c>
      <c r="H2673" s="1">
        <v>0</v>
      </c>
      <c r="I2673" s="1">
        <v>2.3187760000000002</v>
      </c>
    </row>
    <row r="2674" spans="1:9" x14ac:dyDescent="0.25">
      <c r="A2674" s="1">
        <v>2110120433</v>
      </c>
      <c r="B2674" s="1" t="s">
        <v>1372</v>
      </c>
      <c r="C2674" s="1" t="s">
        <v>130</v>
      </c>
      <c r="D2674" s="1" t="s">
        <v>131</v>
      </c>
      <c r="E2674" s="3">
        <v>744</v>
      </c>
      <c r="F2674" s="1" t="s">
        <v>1373</v>
      </c>
      <c r="G2674" s="3">
        <v>552</v>
      </c>
      <c r="H2674" s="3">
        <v>552</v>
      </c>
      <c r="I2674" s="1">
        <v>1.81168</v>
      </c>
    </row>
    <row r="2675" spans="1:9" x14ac:dyDescent="0.25">
      <c r="A2675" s="1">
        <v>2110120433</v>
      </c>
      <c r="B2675" s="1" t="s">
        <v>1372</v>
      </c>
      <c r="C2675" s="1" t="s">
        <v>151</v>
      </c>
      <c r="D2675" s="1" t="s">
        <v>152</v>
      </c>
      <c r="E2675" s="1">
        <v>0</v>
      </c>
      <c r="F2675" s="1" t="s">
        <v>1373</v>
      </c>
      <c r="G2675" s="1">
        <v>552</v>
      </c>
      <c r="H2675" s="1">
        <v>0</v>
      </c>
      <c r="I2675" s="1">
        <v>1.8116669999999999</v>
      </c>
    </row>
    <row r="2676" spans="1:9" x14ac:dyDescent="0.25">
      <c r="A2676" s="1">
        <v>2110120434</v>
      </c>
      <c r="B2676" s="1" t="s">
        <v>1374</v>
      </c>
      <c r="C2676" s="1" t="s">
        <v>130</v>
      </c>
      <c r="D2676" s="1" t="s">
        <v>131</v>
      </c>
      <c r="E2676" s="3">
        <v>701</v>
      </c>
      <c r="F2676" s="1" t="s">
        <v>147</v>
      </c>
      <c r="G2676" s="1">
        <v>0</v>
      </c>
      <c r="H2676" s="1">
        <v>0</v>
      </c>
      <c r="I2676" s="1">
        <v>1.185478</v>
      </c>
    </row>
    <row r="2677" spans="1:9" x14ac:dyDescent="0.25">
      <c r="A2677" s="1">
        <v>2110120435</v>
      </c>
      <c r="B2677" s="1" t="s">
        <v>1375</v>
      </c>
      <c r="C2677" s="1" t="s">
        <v>130</v>
      </c>
      <c r="D2677" s="1" t="s">
        <v>131</v>
      </c>
      <c r="E2677" s="3">
        <v>1324</v>
      </c>
      <c r="F2677" s="1" t="s">
        <v>147</v>
      </c>
      <c r="G2677" s="1">
        <v>0</v>
      </c>
      <c r="H2677" s="1">
        <v>0</v>
      </c>
      <c r="I2677" s="1">
        <v>2.093467</v>
      </c>
    </row>
    <row r="2678" spans="1:9" x14ac:dyDescent="0.25">
      <c r="A2678" s="1">
        <v>2110120435</v>
      </c>
      <c r="B2678" s="1" t="s">
        <v>1375</v>
      </c>
      <c r="C2678" s="1" t="s">
        <v>151</v>
      </c>
      <c r="D2678" s="1" t="s">
        <v>152</v>
      </c>
      <c r="E2678" s="3">
        <v>1320</v>
      </c>
      <c r="F2678" s="1" t="s">
        <v>147</v>
      </c>
      <c r="G2678" s="3">
        <v>0</v>
      </c>
      <c r="H2678" s="3">
        <v>0</v>
      </c>
      <c r="I2678" s="1">
        <v>2.0934620000000002</v>
      </c>
    </row>
    <row r="2679" spans="1:9" x14ac:dyDescent="0.25">
      <c r="A2679" s="1">
        <v>2110120436</v>
      </c>
      <c r="B2679" s="1" t="s">
        <v>1376</v>
      </c>
      <c r="C2679" s="1" t="s">
        <v>130</v>
      </c>
      <c r="D2679" s="1" t="s">
        <v>131</v>
      </c>
      <c r="E2679" s="1">
        <v>0</v>
      </c>
      <c r="F2679" s="1" t="s">
        <v>1231</v>
      </c>
      <c r="G2679" s="1">
        <v>108</v>
      </c>
      <c r="H2679" s="1">
        <v>0</v>
      </c>
      <c r="I2679" s="1">
        <v>5.2471040000000002</v>
      </c>
    </row>
    <row r="2680" spans="1:9" x14ac:dyDescent="0.25">
      <c r="A2680" s="1">
        <v>2110120436</v>
      </c>
      <c r="B2680" s="1" t="s">
        <v>1376</v>
      </c>
      <c r="C2680" s="1" t="s">
        <v>151</v>
      </c>
      <c r="D2680" s="1" t="s">
        <v>152</v>
      </c>
      <c r="E2680" s="1">
        <v>99</v>
      </c>
      <c r="F2680" s="1" t="s">
        <v>1231</v>
      </c>
      <c r="G2680" s="1">
        <v>0</v>
      </c>
      <c r="H2680" s="3">
        <v>0</v>
      </c>
      <c r="I2680" s="1">
        <v>5.247071</v>
      </c>
    </row>
    <row r="2681" spans="1:9" x14ac:dyDescent="0.25">
      <c r="A2681" s="1">
        <v>2110120437</v>
      </c>
      <c r="B2681" s="1" t="s">
        <v>1377</v>
      </c>
      <c r="C2681" s="1" t="s">
        <v>167</v>
      </c>
      <c r="D2681" s="1" t="s">
        <v>168</v>
      </c>
      <c r="E2681" s="3">
        <v>4943</v>
      </c>
      <c r="F2681" s="1" t="s">
        <v>147</v>
      </c>
      <c r="G2681" s="1">
        <v>0</v>
      </c>
      <c r="H2681" s="1">
        <v>0</v>
      </c>
      <c r="I2681" s="1">
        <v>1.214337</v>
      </c>
    </row>
    <row r="2682" spans="1:9" x14ac:dyDescent="0.25">
      <c r="A2682" s="1">
        <v>2110120437</v>
      </c>
      <c r="B2682" s="1" t="s">
        <v>1377</v>
      </c>
      <c r="C2682" s="1" t="s">
        <v>137</v>
      </c>
      <c r="D2682" s="1" t="s">
        <v>138</v>
      </c>
      <c r="E2682" s="3">
        <v>1048</v>
      </c>
      <c r="F2682" s="1" t="s">
        <v>147</v>
      </c>
      <c r="G2682" s="1">
        <v>0</v>
      </c>
      <c r="H2682" s="1">
        <v>0</v>
      </c>
      <c r="I2682" s="1">
        <v>1.214332</v>
      </c>
    </row>
    <row r="2683" spans="1:9" x14ac:dyDescent="0.25">
      <c r="A2683" s="1">
        <v>2110120439</v>
      </c>
      <c r="B2683" s="1" t="s">
        <v>1378</v>
      </c>
      <c r="C2683" s="1" t="s">
        <v>130</v>
      </c>
      <c r="D2683" s="1" t="s">
        <v>131</v>
      </c>
      <c r="E2683" s="3">
        <v>4642</v>
      </c>
      <c r="F2683" s="1" t="s">
        <v>147</v>
      </c>
      <c r="G2683" s="1">
        <v>408</v>
      </c>
      <c r="H2683" s="3">
        <v>5268</v>
      </c>
      <c r="I2683" s="1">
        <v>1.3529</v>
      </c>
    </row>
    <row r="2684" spans="1:9" x14ac:dyDescent="0.25">
      <c r="A2684" s="1">
        <v>2110120439</v>
      </c>
      <c r="B2684" s="1" t="s">
        <v>1378</v>
      </c>
      <c r="C2684" s="1" t="s">
        <v>151</v>
      </c>
      <c r="D2684" s="1" t="s">
        <v>152</v>
      </c>
      <c r="E2684" s="1">
        <v>0</v>
      </c>
      <c r="F2684" s="1" t="s">
        <v>147</v>
      </c>
      <c r="G2684" s="3">
        <v>5268</v>
      </c>
      <c r="H2684" s="1">
        <v>0</v>
      </c>
      <c r="I2684" s="1">
        <v>1.352905</v>
      </c>
    </row>
    <row r="2685" spans="1:9" x14ac:dyDescent="0.25">
      <c r="A2685" s="1">
        <v>2110120440</v>
      </c>
      <c r="B2685" s="1" t="s">
        <v>1379</v>
      </c>
      <c r="C2685" s="1" t="s">
        <v>130</v>
      </c>
      <c r="D2685" s="1" t="s">
        <v>131</v>
      </c>
      <c r="E2685" s="3">
        <v>3349</v>
      </c>
      <c r="F2685" s="1" t="s">
        <v>147</v>
      </c>
      <c r="G2685" s="1">
        <v>0</v>
      </c>
      <c r="H2685" s="3">
        <v>1404</v>
      </c>
      <c r="I2685" s="1">
        <v>0.81455100000000003</v>
      </c>
    </row>
    <row r="2686" spans="1:9" x14ac:dyDescent="0.25">
      <c r="A2686" s="1">
        <v>2110120440</v>
      </c>
      <c r="B2686" s="1" t="s">
        <v>1379</v>
      </c>
      <c r="C2686" s="1" t="s">
        <v>137</v>
      </c>
      <c r="D2686" s="1" t="s">
        <v>138</v>
      </c>
      <c r="E2686" s="1">
        <v>5</v>
      </c>
      <c r="F2686" s="1" t="s">
        <v>147</v>
      </c>
      <c r="G2686" s="1">
        <v>0</v>
      </c>
      <c r="H2686" s="1">
        <v>0</v>
      </c>
      <c r="I2686" s="1">
        <v>0.81200000000000006</v>
      </c>
    </row>
    <row r="2687" spans="1:9" x14ac:dyDescent="0.25">
      <c r="A2687" s="1">
        <v>2110120440</v>
      </c>
      <c r="B2687" s="1" t="s">
        <v>1379</v>
      </c>
      <c r="C2687" s="1" t="s">
        <v>151</v>
      </c>
      <c r="D2687" s="1" t="s">
        <v>152</v>
      </c>
      <c r="E2687" s="1">
        <v>0</v>
      </c>
      <c r="F2687" s="1" t="s">
        <v>147</v>
      </c>
      <c r="G2687" s="3">
        <v>1404</v>
      </c>
      <c r="H2687" s="3">
        <v>0</v>
      </c>
      <c r="I2687" s="1">
        <v>0.8145</v>
      </c>
    </row>
    <row r="2688" spans="1:9" x14ac:dyDescent="0.25">
      <c r="A2688" s="1">
        <v>2110120443</v>
      </c>
      <c r="B2688" s="1" t="s">
        <v>1380</v>
      </c>
      <c r="C2688" s="1" t="s">
        <v>130</v>
      </c>
      <c r="D2688" s="1" t="s">
        <v>131</v>
      </c>
      <c r="E2688" s="3">
        <v>1446</v>
      </c>
      <c r="F2688" s="1" t="s">
        <v>147</v>
      </c>
      <c r="G2688" s="1">
        <v>13</v>
      </c>
      <c r="H2688" s="3">
        <v>2568</v>
      </c>
      <c r="I2688" s="1">
        <v>0.86315399999999998</v>
      </c>
    </row>
    <row r="2689" spans="1:9" x14ac:dyDescent="0.25">
      <c r="A2689" s="1">
        <v>2110120443</v>
      </c>
      <c r="B2689" s="1" t="s">
        <v>1380</v>
      </c>
      <c r="C2689" s="1" t="s">
        <v>137</v>
      </c>
      <c r="D2689" s="1" t="s">
        <v>138</v>
      </c>
      <c r="E2689" s="1">
        <v>4</v>
      </c>
      <c r="F2689" s="1" t="s">
        <v>147</v>
      </c>
      <c r="G2689" s="1">
        <v>0</v>
      </c>
      <c r="H2689" s="1">
        <v>1</v>
      </c>
      <c r="I2689" s="1">
        <v>0.86250000000000004</v>
      </c>
    </row>
    <row r="2690" spans="1:9" x14ac:dyDescent="0.25">
      <c r="A2690" s="1">
        <v>2110120443</v>
      </c>
      <c r="B2690" s="1" t="s">
        <v>1380</v>
      </c>
      <c r="C2690" s="1" t="s">
        <v>151</v>
      </c>
      <c r="D2690" s="1" t="s">
        <v>152</v>
      </c>
      <c r="E2690" s="3">
        <v>0</v>
      </c>
      <c r="F2690" s="1" t="s">
        <v>147</v>
      </c>
      <c r="G2690" s="3">
        <v>2568</v>
      </c>
      <c r="H2690" s="1">
        <v>0</v>
      </c>
      <c r="I2690" s="1">
        <v>0</v>
      </c>
    </row>
    <row r="2691" spans="1:9" x14ac:dyDescent="0.25">
      <c r="A2691" s="1">
        <v>2110120445</v>
      </c>
      <c r="B2691" s="1" t="s">
        <v>1381</v>
      </c>
      <c r="C2691" s="1" t="s">
        <v>130</v>
      </c>
      <c r="D2691" s="1" t="s">
        <v>131</v>
      </c>
      <c r="E2691" s="3">
        <v>2692</v>
      </c>
      <c r="F2691" s="1" t="s">
        <v>147</v>
      </c>
      <c r="G2691" s="1">
        <v>0</v>
      </c>
      <c r="H2691" s="3">
        <v>240</v>
      </c>
      <c r="I2691" s="1">
        <v>0.66418600000000005</v>
      </c>
    </row>
    <row r="2692" spans="1:9" x14ac:dyDescent="0.25">
      <c r="A2692" s="1">
        <v>2110120445</v>
      </c>
      <c r="B2692" s="1" t="s">
        <v>1381</v>
      </c>
      <c r="C2692" s="1" t="s">
        <v>151</v>
      </c>
      <c r="D2692" s="1" t="s">
        <v>152</v>
      </c>
      <c r="E2692" s="1">
        <v>0</v>
      </c>
      <c r="F2692" s="1" t="s">
        <v>147</v>
      </c>
      <c r="G2692" s="1">
        <v>240</v>
      </c>
      <c r="H2692" s="1">
        <v>0</v>
      </c>
      <c r="I2692" s="1">
        <v>0.66416699999999995</v>
      </c>
    </row>
    <row r="2693" spans="1:9" x14ac:dyDescent="0.25">
      <c r="A2693" s="1">
        <v>2110120446</v>
      </c>
      <c r="B2693" s="1" t="s">
        <v>1382</v>
      </c>
      <c r="C2693" s="1" t="s">
        <v>130</v>
      </c>
      <c r="D2693" s="1" t="s">
        <v>131</v>
      </c>
      <c r="E2693" s="3">
        <v>2692</v>
      </c>
      <c r="F2693" s="1" t="s">
        <v>147</v>
      </c>
      <c r="G2693" s="1">
        <v>0</v>
      </c>
      <c r="H2693" s="1">
        <v>240</v>
      </c>
      <c r="I2693" s="1">
        <v>0.64847299999999997</v>
      </c>
    </row>
    <row r="2694" spans="1:9" x14ac:dyDescent="0.25">
      <c r="A2694" s="1">
        <v>2110120446</v>
      </c>
      <c r="B2694" s="1" t="s">
        <v>1382</v>
      </c>
      <c r="C2694" s="1" t="s">
        <v>151</v>
      </c>
      <c r="D2694" s="1" t="s">
        <v>152</v>
      </c>
      <c r="E2694" s="3">
        <v>0</v>
      </c>
      <c r="F2694" s="1" t="s">
        <v>147</v>
      </c>
      <c r="G2694" s="1">
        <v>240</v>
      </c>
      <c r="H2694" s="1">
        <v>0</v>
      </c>
      <c r="I2694" s="1">
        <v>0.64847200000000005</v>
      </c>
    </row>
    <row r="2695" spans="1:9" x14ac:dyDescent="0.25">
      <c r="A2695" s="1">
        <v>2110120447</v>
      </c>
      <c r="B2695" s="1" t="s">
        <v>1383</v>
      </c>
      <c r="C2695" s="1" t="s">
        <v>130</v>
      </c>
      <c r="D2695" s="1" t="s">
        <v>131</v>
      </c>
      <c r="E2695" s="3">
        <v>2768</v>
      </c>
      <c r="F2695" s="1" t="s">
        <v>147</v>
      </c>
      <c r="G2695" s="1">
        <v>0</v>
      </c>
      <c r="H2695" s="1">
        <v>168</v>
      </c>
      <c r="I2695" s="1">
        <v>0.727966</v>
      </c>
    </row>
    <row r="2696" spans="1:9" x14ac:dyDescent="0.25">
      <c r="A2696" s="1">
        <v>2110120447</v>
      </c>
      <c r="B2696" s="1" t="s">
        <v>1383</v>
      </c>
      <c r="C2696" s="1" t="s">
        <v>151</v>
      </c>
      <c r="D2696" s="1" t="s">
        <v>152</v>
      </c>
      <c r="E2696" s="3">
        <v>0</v>
      </c>
      <c r="F2696" s="1" t="s">
        <v>147</v>
      </c>
      <c r="G2696" s="1">
        <v>168</v>
      </c>
      <c r="H2696" s="1">
        <v>0</v>
      </c>
      <c r="I2696" s="1">
        <v>0.72791700000000004</v>
      </c>
    </row>
    <row r="2697" spans="1:9" x14ac:dyDescent="0.25">
      <c r="A2697" s="1">
        <v>2110120448</v>
      </c>
      <c r="B2697" s="1" t="s">
        <v>1384</v>
      </c>
      <c r="C2697" s="1" t="s">
        <v>130</v>
      </c>
      <c r="D2697" s="1" t="s">
        <v>131</v>
      </c>
      <c r="E2697" s="3">
        <v>2268</v>
      </c>
      <c r="F2697" s="1" t="s">
        <v>147</v>
      </c>
      <c r="G2697" s="1">
        <v>0</v>
      </c>
      <c r="H2697" s="1">
        <v>168</v>
      </c>
      <c r="I2697" s="1">
        <v>0.68533999999999995</v>
      </c>
    </row>
    <row r="2698" spans="1:9" x14ac:dyDescent="0.25">
      <c r="A2698" s="1">
        <v>2110120448</v>
      </c>
      <c r="B2698" s="1" t="s">
        <v>1384</v>
      </c>
      <c r="C2698" s="1" t="s">
        <v>151</v>
      </c>
      <c r="D2698" s="1" t="s">
        <v>152</v>
      </c>
      <c r="E2698" s="3">
        <v>0</v>
      </c>
      <c r="F2698" s="1" t="s">
        <v>147</v>
      </c>
      <c r="G2698" s="1">
        <v>168</v>
      </c>
      <c r="H2698" s="1">
        <v>0</v>
      </c>
      <c r="I2698" s="1">
        <v>0.68527800000000005</v>
      </c>
    </row>
    <row r="2699" spans="1:9" x14ac:dyDescent="0.25">
      <c r="A2699" s="1">
        <v>2110120449</v>
      </c>
      <c r="B2699" s="1" t="s">
        <v>1385</v>
      </c>
      <c r="C2699" s="1" t="s">
        <v>130</v>
      </c>
      <c r="D2699" s="1" t="s">
        <v>131</v>
      </c>
      <c r="E2699" s="3">
        <v>1253</v>
      </c>
      <c r="F2699" s="1" t="s">
        <v>147</v>
      </c>
      <c r="G2699" s="1">
        <v>0</v>
      </c>
      <c r="H2699" s="1">
        <v>180</v>
      </c>
      <c r="I2699" s="1">
        <v>0.79407000000000005</v>
      </c>
    </row>
    <row r="2700" spans="1:9" x14ac:dyDescent="0.25">
      <c r="A2700" s="1">
        <v>2110120449</v>
      </c>
      <c r="B2700" s="1" t="s">
        <v>1385</v>
      </c>
      <c r="C2700" s="1" t="s">
        <v>137</v>
      </c>
      <c r="D2700" s="1" t="s">
        <v>138</v>
      </c>
      <c r="E2700" s="1">
        <v>3</v>
      </c>
      <c r="F2700" s="1" t="s">
        <v>147</v>
      </c>
      <c r="G2700" s="1">
        <v>0</v>
      </c>
      <c r="H2700" s="1">
        <v>0</v>
      </c>
      <c r="I2700" s="1">
        <v>0.79</v>
      </c>
    </row>
    <row r="2701" spans="1:9" x14ac:dyDescent="0.25">
      <c r="A2701" s="1">
        <v>2110120449</v>
      </c>
      <c r="B2701" s="1" t="s">
        <v>1385</v>
      </c>
      <c r="C2701" s="1" t="s">
        <v>151</v>
      </c>
      <c r="D2701" s="1" t="s">
        <v>152</v>
      </c>
      <c r="E2701" s="3">
        <v>0</v>
      </c>
      <c r="F2701" s="1" t="s">
        <v>147</v>
      </c>
      <c r="G2701" s="1">
        <v>180</v>
      </c>
      <c r="H2701" s="1">
        <v>0</v>
      </c>
      <c r="I2701" s="1">
        <v>0.79402799999999996</v>
      </c>
    </row>
    <row r="2702" spans="1:9" x14ac:dyDescent="0.25">
      <c r="A2702" s="1">
        <v>2110120450</v>
      </c>
      <c r="B2702" s="1" t="s">
        <v>1386</v>
      </c>
      <c r="C2702" s="1" t="s">
        <v>130</v>
      </c>
      <c r="D2702" s="1" t="s">
        <v>131</v>
      </c>
      <c r="E2702" s="3">
        <v>828</v>
      </c>
      <c r="F2702" s="1" t="s">
        <v>147</v>
      </c>
      <c r="G2702" s="1">
        <v>0</v>
      </c>
      <c r="H2702" s="1">
        <v>180</v>
      </c>
      <c r="I2702" s="1">
        <v>0.74297100000000005</v>
      </c>
    </row>
    <row r="2703" spans="1:9" x14ac:dyDescent="0.25">
      <c r="A2703" s="1">
        <v>2110120450</v>
      </c>
      <c r="B2703" s="1" t="s">
        <v>1386</v>
      </c>
      <c r="C2703" s="1" t="s">
        <v>151</v>
      </c>
      <c r="D2703" s="1" t="s">
        <v>152</v>
      </c>
      <c r="E2703" s="1">
        <v>0</v>
      </c>
      <c r="F2703" s="1" t="s">
        <v>147</v>
      </c>
      <c r="G2703" s="1">
        <v>180</v>
      </c>
      <c r="H2703" s="1">
        <v>0</v>
      </c>
      <c r="I2703" s="1">
        <v>0</v>
      </c>
    </row>
    <row r="2704" spans="1:9" x14ac:dyDescent="0.25">
      <c r="A2704" s="1">
        <v>2110210003</v>
      </c>
      <c r="B2704" s="1" t="s">
        <v>1387</v>
      </c>
      <c r="C2704" s="1" t="s">
        <v>130</v>
      </c>
      <c r="D2704" s="1" t="s">
        <v>131</v>
      </c>
      <c r="E2704" s="1">
        <v>14</v>
      </c>
      <c r="F2704" s="1" t="s">
        <v>36</v>
      </c>
      <c r="G2704" s="3">
        <v>1119</v>
      </c>
      <c r="H2704" s="1">
        <v>0</v>
      </c>
      <c r="I2704" s="1">
        <v>1.601429</v>
      </c>
    </row>
    <row r="2705" spans="1:9" x14ac:dyDescent="0.25">
      <c r="A2705" s="1">
        <v>2110210003</v>
      </c>
      <c r="B2705" s="1" t="s">
        <v>1387</v>
      </c>
      <c r="C2705" s="1" t="s">
        <v>137</v>
      </c>
      <c r="D2705" s="1" t="s">
        <v>138</v>
      </c>
      <c r="E2705" s="1">
        <v>4</v>
      </c>
      <c r="F2705" s="1" t="s">
        <v>36</v>
      </c>
      <c r="G2705" s="1">
        <v>0</v>
      </c>
      <c r="H2705" s="1">
        <v>0</v>
      </c>
      <c r="I2705" s="1">
        <v>1.645</v>
      </c>
    </row>
    <row r="2706" spans="1:9" x14ac:dyDescent="0.25">
      <c r="A2706" s="1">
        <v>2110210003</v>
      </c>
      <c r="B2706" s="1" t="s">
        <v>1387</v>
      </c>
      <c r="C2706" s="1" t="s">
        <v>151</v>
      </c>
      <c r="D2706" s="1" t="s">
        <v>152</v>
      </c>
      <c r="E2706" s="3">
        <v>0</v>
      </c>
      <c r="F2706" s="1" t="s">
        <v>36</v>
      </c>
      <c r="G2706" s="1">
        <v>0</v>
      </c>
      <c r="H2706" s="1">
        <v>200</v>
      </c>
      <c r="I2706" s="1">
        <v>0</v>
      </c>
    </row>
    <row r="2707" spans="1:9" x14ac:dyDescent="0.25">
      <c r="A2707" s="1">
        <v>2110210003</v>
      </c>
      <c r="B2707" s="1" t="s">
        <v>1387</v>
      </c>
      <c r="C2707" s="1" t="s">
        <v>139</v>
      </c>
      <c r="D2707" s="1" t="s">
        <v>140</v>
      </c>
      <c r="E2707" s="1">
        <v>0</v>
      </c>
      <c r="F2707" s="1" t="s">
        <v>36</v>
      </c>
      <c r="G2707" s="1">
        <v>100</v>
      </c>
      <c r="H2707" s="1">
        <v>0</v>
      </c>
      <c r="I2707" s="1">
        <v>0</v>
      </c>
    </row>
    <row r="2708" spans="1:9" x14ac:dyDescent="0.25">
      <c r="A2708" s="1">
        <v>2110210004</v>
      </c>
      <c r="B2708" s="1" t="s">
        <v>1388</v>
      </c>
      <c r="C2708" s="1" t="s">
        <v>130</v>
      </c>
      <c r="D2708" s="1" t="s">
        <v>131</v>
      </c>
      <c r="E2708" s="3">
        <v>0</v>
      </c>
      <c r="F2708" s="1" t="s">
        <v>36</v>
      </c>
      <c r="G2708" s="1">
        <v>913</v>
      </c>
      <c r="H2708" s="1">
        <v>0</v>
      </c>
      <c r="I2708" s="1">
        <v>1.6870000000000001</v>
      </c>
    </row>
    <row r="2709" spans="1:9" x14ac:dyDescent="0.25">
      <c r="A2709" s="1">
        <v>2110210004</v>
      </c>
      <c r="B2709" s="1" t="s">
        <v>1388</v>
      </c>
      <c r="C2709" s="1" t="s">
        <v>167</v>
      </c>
      <c r="D2709" s="1" t="s">
        <v>168</v>
      </c>
      <c r="E2709" s="1">
        <v>0</v>
      </c>
      <c r="F2709" s="1" t="s">
        <v>36</v>
      </c>
      <c r="G2709" s="1">
        <v>0</v>
      </c>
      <c r="H2709" s="1">
        <v>1</v>
      </c>
      <c r="I2709" s="1">
        <v>0</v>
      </c>
    </row>
    <row r="2710" spans="1:9" x14ac:dyDescent="0.25">
      <c r="A2710" s="1">
        <v>2110210004</v>
      </c>
      <c r="B2710" s="1" t="s">
        <v>1388</v>
      </c>
      <c r="C2710" s="1" t="s">
        <v>137</v>
      </c>
      <c r="D2710" s="1" t="s">
        <v>138</v>
      </c>
      <c r="E2710" s="3">
        <v>4</v>
      </c>
      <c r="F2710" s="1" t="s">
        <v>36</v>
      </c>
      <c r="G2710" s="1">
        <v>0</v>
      </c>
      <c r="H2710" s="1">
        <v>5</v>
      </c>
      <c r="I2710" s="1">
        <v>1.7975000000000001</v>
      </c>
    </row>
    <row r="2711" spans="1:9" x14ac:dyDescent="0.25">
      <c r="A2711" s="1">
        <v>2110210005</v>
      </c>
      <c r="B2711" s="1" t="s">
        <v>1389</v>
      </c>
      <c r="C2711" s="1" t="s">
        <v>130</v>
      </c>
      <c r="D2711" s="1" t="s">
        <v>131</v>
      </c>
      <c r="E2711" s="3">
        <v>2</v>
      </c>
      <c r="F2711" s="1" t="s">
        <v>36</v>
      </c>
      <c r="G2711" s="1">
        <v>787</v>
      </c>
      <c r="H2711" s="3">
        <v>0</v>
      </c>
      <c r="I2711" s="1">
        <v>1.595</v>
      </c>
    </row>
    <row r="2712" spans="1:9" x14ac:dyDescent="0.25">
      <c r="A2712" s="1">
        <v>2110210005</v>
      </c>
      <c r="B2712" s="1" t="s">
        <v>1389</v>
      </c>
      <c r="C2712" s="1" t="s">
        <v>137</v>
      </c>
      <c r="D2712" s="1" t="s">
        <v>138</v>
      </c>
      <c r="E2712" s="1">
        <v>7</v>
      </c>
      <c r="F2712" s="1" t="s">
        <v>36</v>
      </c>
      <c r="G2712" s="1">
        <v>0</v>
      </c>
      <c r="H2712" s="1">
        <v>0</v>
      </c>
      <c r="I2712" s="1">
        <v>1.658571</v>
      </c>
    </row>
    <row r="2713" spans="1:9" x14ac:dyDescent="0.25">
      <c r="A2713" s="1">
        <v>2110210006</v>
      </c>
      <c r="B2713" s="1" t="s">
        <v>1390</v>
      </c>
      <c r="C2713" s="1" t="s">
        <v>130</v>
      </c>
      <c r="D2713" s="1" t="s">
        <v>131</v>
      </c>
      <c r="E2713" s="1">
        <v>30</v>
      </c>
      <c r="F2713" s="1" t="s">
        <v>36</v>
      </c>
      <c r="G2713" s="1">
        <v>329</v>
      </c>
      <c r="H2713" s="1">
        <v>0</v>
      </c>
      <c r="I2713" s="1">
        <v>1.5609999999999999</v>
      </c>
    </row>
    <row r="2714" spans="1:9" x14ac:dyDescent="0.25">
      <c r="A2714" s="1">
        <v>2110210006</v>
      </c>
      <c r="B2714" s="1" t="s">
        <v>1390</v>
      </c>
      <c r="C2714" s="1" t="s">
        <v>137</v>
      </c>
      <c r="D2714" s="1" t="s">
        <v>138</v>
      </c>
      <c r="E2714" s="1">
        <v>4</v>
      </c>
      <c r="F2714" s="1" t="s">
        <v>36</v>
      </c>
      <c r="G2714" s="3">
        <v>0</v>
      </c>
      <c r="H2714" s="1">
        <v>0</v>
      </c>
      <c r="I2714" s="1">
        <v>1.6825000000000001</v>
      </c>
    </row>
    <row r="2715" spans="1:9" x14ac:dyDescent="0.25">
      <c r="A2715" s="1">
        <v>2110210007</v>
      </c>
      <c r="B2715" s="1" t="s">
        <v>1391</v>
      </c>
      <c r="C2715" s="1" t="s">
        <v>130</v>
      </c>
      <c r="D2715" s="1" t="s">
        <v>131</v>
      </c>
      <c r="E2715" s="1">
        <v>100</v>
      </c>
      <c r="F2715" s="1" t="s">
        <v>36</v>
      </c>
      <c r="G2715" s="3">
        <v>1990</v>
      </c>
      <c r="H2715" s="1">
        <v>0</v>
      </c>
      <c r="I2715" s="1">
        <v>1.5349999999999999</v>
      </c>
    </row>
    <row r="2716" spans="1:9" x14ac:dyDescent="0.25">
      <c r="A2716" s="1">
        <v>2110210007</v>
      </c>
      <c r="B2716" s="1" t="s">
        <v>1391</v>
      </c>
      <c r="C2716" s="1" t="s">
        <v>142</v>
      </c>
      <c r="D2716" s="1" t="s">
        <v>143</v>
      </c>
      <c r="E2716" s="1">
        <v>0</v>
      </c>
      <c r="F2716" s="1" t="s">
        <v>36</v>
      </c>
      <c r="G2716" s="1">
        <v>0</v>
      </c>
      <c r="H2716" s="3">
        <v>1134</v>
      </c>
      <c r="I2716" s="1">
        <v>1.441991</v>
      </c>
    </row>
    <row r="2717" spans="1:9" x14ac:dyDescent="0.25">
      <c r="A2717" s="1">
        <v>2110210007</v>
      </c>
      <c r="B2717" s="1" t="s">
        <v>1391</v>
      </c>
      <c r="C2717" s="1" t="s">
        <v>137</v>
      </c>
      <c r="D2717" s="1" t="s">
        <v>138</v>
      </c>
      <c r="E2717" s="1">
        <v>6</v>
      </c>
      <c r="F2717" s="1" t="s">
        <v>36</v>
      </c>
      <c r="G2717" s="1">
        <v>0</v>
      </c>
      <c r="H2717" s="1">
        <v>2</v>
      </c>
      <c r="I2717" s="1">
        <v>1.615</v>
      </c>
    </row>
    <row r="2718" spans="1:9" x14ac:dyDescent="0.25">
      <c r="A2718" s="1">
        <v>2110210008</v>
      </c>
      <c r="B2718" s="1" t="s">
        <v>1392</v>
      </c>
      <c r="C2718" s="1" t="s">
        <v>130</v>
      </c>
      <c r="D2718" s="1" t="s">
        <v>131</v>
      </c>
      <c r="E2718" s="1">
        <v>69</v>
      </c>
      <c r="F2718" s="1" t="s">
        <v>36</v>
      </c>
      <c r="G2718" s="3">
        <v>3138</v>
      </c>
      <c r="H2718" s="1">
        <v>0</v>
      </c>
      <c r="I2718" s="1">
        <v>1.5971010000000001</v>
      </c>
    </row>
    <row r="2719" spans="1:9" x14ac:dyDescent="0.25">
      <c r="A2719" s="1">
        <v>2110210008</v>
      </c>
      <c r="B2719" s="1" t="s">
        <v>1392</v>
      </c>
      <c r="C2719" s="1" t="s">
        <v>142</v>
      </c>
      <c r="D2719" s="1" t="s">
        <v>143</v>
      </c>
      <c r="E2719" s="3">
        <v>0</v>
      </c>
      <c r="F2719" s="1" t="s">
        <v>36</v>
      </c>
      <c r="G2719" s="1">
        <v>0</v>
      </c>
      <c r="H2719" s="3">
        <v>2953</v>
      </c>
      <c r="I2719" s="1">
        <v>1.508345</v>
      </c>
    </row>
    <row r="2720" spans="1:9" x14ac:dyDescent="0.25">
      <c r="A2720" s="1">
        <v>2110210008</v>
      </c>
      <c r="B2720" s="1" t="s">
        <v>1392</v>
      </c>
      <c r="C2720" s="1" t="s">
        <v>137</v>
      </c>
      <c r="D2720" s="1" t="s">
        <v>138</v>
      </c>
      <c r="E2720" s="1">
        <v>4</v>
      </c>
      <c r="F2720" s="1" t="s">
        <v>36</v>
      </c>
      <c r="G2720" s="3">
        <v>0</v>
      </c>
      <c r="H2720" s="1">
        <v>0</v>
      </c>
      <c r="I2720" s="1">
        <v>1.6225000000000001</v>
      </c>
    </row>
    <row r="2721" spans="1:9" x14ac:dyDescent="0.25">
      <c r="A2721" s="1">
        <v>2110210009</v>
      </c>
      <c r="B2721" s="1" t="s">
        <v>1393</v>
      </c>
      <c r="C2721" s="1" t="s">
        <v>130</v>
      </c>
      <c r="D2721" s="1" t="s">
        <v>131</v>
      </c>
      <c r="E2721" s="1">
        <v>0</v>
      </c>
      <c r="F2721" s="1" t="s">
        <v>36</v>
      </c>
      <c r="G2721" s="3">
        <v>1039</v>
      </c>
      <c r="H2721" s="3">
        <v>6</v>
      </c>
      <c r="I2721" s="1">
        <v>1.59</v>
      </c>
    </row>
    <row r="2722" spans="1:9" x14ac:dyDescent="0.25">
      <c r="A2722" s="1">
        <v>2110210009</v>
      </c>
      <c r="B2722" s="1" t="s">
        <v>1393</v>
      </c>
      <c r="C2722" s="1" t="s">
        <v>137</v>
      </c>
      <c r="D2722" s="1" t="s">
        <v>138</v>
      </c>
      <c r="E2722" s="1">
        <v>6</v>
      </c>
      <c r="F2722" s="1" t="s">
        <v>36</v>
      </c>
      <c r="G2722" s="1">
        <v>0</v>
      </c>
      <c r="H2722" s="1">
        <v>6</v>
      </c>
      <c r="I2722" s="1">
        <v>1.64</v>
      </c>
    </row>
    <row r="2723" spans="1:9" x14ac:dyDescent="0.25">
      <c r="A2723" s="1">
        <v>2110210009</v>
      </c>
      <c r="B2723" s="1" t="s">
        <v>1393</v>
      </c>
      <c r="C2723" s="1" t="s">
        <v>139</v>
      </c>
      <c r="D2723" s="1" t="s">
        <v>140</v>
      </c>
      <c r="E2723" s="1">
        <v>0</v>
      </c>
      <c r="F2723" s="1" t="s">
        <v>36</v>
      </c>
      <c r="G2723" s="1">
        <v>6</v>
      </c>
      <c r="H2723" s="1">
        <v>0</v>
      </c>
      <c r="I2723" s="1">
        <v>0</v>
      </c>
    </row>
    <row r="2724" spans="1:9" x14ac:dyDescent="0.25">
      <c r="A2724" s="1">
        <v>2110210010</v>
      </c>
      <c r="B2724" s="1" t="s">
        <v>1394</v>
      </c>
      <c r="C2724" s="1" t="s">
        <v>130</v>
      </c>
      <c r="D2724" s="1" t="s">
        <v>131</v>
      </c>
      <c r="E2724" s="3">
        <v>1962</v>
      </c>
      <c r="F2724" s="1" t="s">
        <v>36</v>
      </c>
      <c r="G2724" s="3">
        <v>5501</v>
      </c>
      <c r="H2724" s="1">
        <v>0</v>
      </c>
      <c r="I2724" s="1">
        <v>1.5952139999999999</v>
      </c>
    </row>
    <row r="2725" spans="1:9" x14ac:dyDescent="0.25">
      <c r="A2725" s="1">
        <v>2110210010</v>
      </c>
      <c r="B2725" s="1" t="s">
        <v>1394</v>
      </c>
      <c r="C2725" s="1" t="s">
        <v>137</v>
      </c>
      <c r="D2725" s="1" t="s">
        <v>138</v>
      </c>
      <c r="E2725" s="1">
        <v>3</v>
      </c>
      <c r="F2725" s="1" t="s">
        <v>36</v>
      </c>
      <c r="G2725" s="1">
        <v>0</v>
      </c>
      <c r="H2725" s="1">
        <v>0</v>
      </c>
      <c r="I2725" s="1">
        <v>1.6266670000000001</v>
      </c>
    </row>
    <row r="2726" spans="1:9" x14ac:dyDescent="0.25">
      <c r="A2726" s="1">
        <v>2110210010</v>
      </c>
      <c r="B2726" s="1" t="s">
        <v>1394</v>
      </c>
      <c r="C2726" s="1" t="s">
        <v>151</v>
      </c>
      <c r="D2726" s="1" t="s">
        <v>152</v>
      </c>
      <c r="E2726" s="1">
        <v>0</v>
      </c>
      <c r="F2726" s="1" t="s">
        <v>36</v>
      </c>
      <c r="G2726" s="1">
        <v>0</v>
      </c>
      <c r="H2726" s="3">
        <v>3000</v>
      </c>
      <c r="I2726" s="1">
        <v>0</v>
      </c>
    </row>
    <row r="2727" spans="1:9" x14ac:dyDescent="0.25">
      <c r="A2727" s="1">
        <v>2110210011</v>
      </c>
      <c r="B2727" s="1" t="s">
        <v>1395</v>
      </c>
      <c r="C2727" s="1" t="s">
        <v>130</v>
      </c>
      <c r="D2727" s="1" t="s">
        <v>131</v>
      </c>
      <c r="E2727" s="1">
        <v>101</v>
      </c>
      <c r="F2727" s="1" t="s">
        <v>36</v>
      </c>
      <c r="G2727" s="1">
        <v>615</v>
      </c>
      <c r="H2727" s="1">
        <v>0</v>
      </c>
      <c r="I2727" s="1">
        <v>1.76</v>
      </c>
    </row>
    <row r="2728" spans="1:9" x14ac:dyDescent="0.25">
      <c r="A2728" s="1">
        <v>2110210011</v>
      </c>
      <c r="B2728" s="1" t="s">
        <v>1395</v>
      </c>
      <c r="C2728" s="1" t="s">
        <v>137</v>
      </c>
      <c r="D2728" s="1" t="s">
        <v>138</v>
      </c>
      <c r="E2728" s="1">
        <v>6</v>
      </c>
      <c r="F2728" s="1" t="s">
        <v>36</v>
      </c>
      <c r="G2728" s="3">
        <v>0</v>
      </c>
      <c r="H2728" s="1">
        <v>0</v>
      </c>
      <c r="I2728" s="1">
        <v>1.6866669999999999</v>
      </c>
    </row>
    <row r="2729" spans="1:9" x14ac:dyDescent="0.25">
      <c r="A2729" s="1">
        <v>2110210012</v>
      </c>
      <c r="B2729" s="1" t="s">
        <v>1396</v>
      </c>
      <c r="C2729" s="1" t="s">
        <v>130</v>
      </c>
      <c r="D2729" s="1" t="s">
        <v>131</v>
      </c>
      <c r="E2729" s="1">
        <v>983</v>
      </c>
      <c r="F2729" s="1" t="s">
        <v>36</v>
      </c>
      <c r="G2729" s="3">
        <v>4485</v>
      </c>
      <c r="H2729" s="1">
        <v>0</v>
      </c>
      <c r="I2729" s="1">
        <v>1.5882099999999999</v>
      </c>
    </row>
    <row r="2730" spans="1:9" x14ac:dyDescent="0.25">
      <c r="A2730" s="1">
        <v>2110210012</v>
      </c>
      <c r="B2730" s="1" t="s">
        <v>1396</v>
      </c>
      <c r="C2730" s="1" t="s">
        <v>137</v>
      </c>
      <c r="D2730" s="1" t="s">
        <v>138</v>
      </c>
      <c r="E2730" s="3">
        <v>6</v>
      </c>
      <c r="F2730" s="1" t="s">
        <v>36</v>
      </c>
      <c r="G2730" s="1">
        <v>0</v>
      </c>
      <c r="H2730" s="3">
        <v>0</v>
      </c>
      <c r="I2730" s="1">
        <v>1.5833330000000001</v>
      </c>
    </row>
    <row r="2731" spans="1:9" x14ac:dyDescent="0.25">
      <c r="A2731" s="1">
        <v>2110210012</v>
      </c>
      <c r="B2731" s="1" t="s">
        <v>1396</v>
      </c>
      <c r="C2731" s="1" t="s">
        <v>151</v>
      </c>
      <c r="D2731" s="1" t="s">
        <v>152</v>
      </c>
      <c r="E2731" s="3">
        <v>0</v>
      </c>
      <c r="F2731" s="1" t="s">
        <v>36</v>
      </c>
      <c r="G2731" s="3">
        <v>0</v>
      </c>
      <c r="H2731" s="1">
        <v>500</v>
      </c>
      <c r="I2731" s="1">
        <v>1.5869</v>
      </c>
    </row>
    <row r="2732" spans="1:9" x14ac:dyDescent="0.25">
      <c r="A2732" s="1">
        <v>2110210013</v>
      </c>
      <c r="B2732" s="1" t="s">
        <v>1397</v>
      </c>
      <c r="C2732" s="1" t="s">
        <v>130</v>
      </c>
      <c r="D2732" s="1" t="s">
        <v>131</v>
      </c>
      <c r="E2732" s="1">
        <v>19</v>
      </c>
      <c r="F2732" s="1" t="s">
        <v>36</v>
      </c>
      <c r="G2732" s="3">
        <v>1250</v>
      </c>
      <c r="H2732" s="1">
        <v>0</v>
      </c>
      <c r="I2732" s="1">
        <v>1.5878950000000001</v>
      </c>
    </row>
    <row r="2733" spans="1:9" x14ac:dyDescent="0.25">
      <c r="A2733" s="1">
        <v>2110210013</v>
      </c>
      <c r="B2733" s="1" t="s">
        <v>1397</v>
      </c>
      <c r="C2733" s="1" t="s">
        <v>137</v>
      </c>
      <c r="D2733" s="1" t="s">
        <v>138</v>
      </c>
      <c r="E2733" s="1">
        <v>4</v>
      </c>
      <c r="F2733" s="1" t="s">
        <v>36</v>
      </c>
      <c r="G2733" s="1">
        <v>0</v>
      </c>
      <c r="H2733" s="1">
        <v>0</v>
      </c>
      <c r="I2733" s="1">
        <v>1.7424999999999999</v>
      </c>
    </row>
    <row r="2734" spans="1:9" x14ac:dyDescent="0.25">
      <c r="A2734" s="1">
        <v>2110210014</v>
      </c>
      <c r="B2734" s="1" t="s">
        <v>1398</v>
      </c>
      <c r="C2734" s="1" t="s">
        <v>130</v>
      </c>
      <c r="D2734" s="1" t="s">
        <v>131</v>
      </c>
      <c r="E2734" s="1">
        <v>37</v>
      </c>
      <c r="F2734" s="1" t="s">
        <v>36</v>
      </c>
      <c r="G2734" s="3">
        <v>6287</v>
      </c>
      <c r="H2734" s="1">
        <v>0</v>
      </c>
      <c r="I2734" s="1">
        <v>1.5245949999999999</v>
      </c>
    </row>
    <row r="2735" spans="1:9" x14ac:dyDescent="0.25">
      <c r="A2735" s="1">
        <v>2110210014</v>
      </c>
      <c r="B2735" s="1" t="s">
        <v>1398</v>
      </c>
      <c r="C2735" s="1" t="s">
        <v>137</v>
      </c>
      <c r="D2735" s="1" t="s">
        <v>138</v>
      </c>
      <c r="E2735" s="1">
        <v>4</v>
      </c>
      <c r="F2735" s="1" t="s">
        <v>36</v>
      </c>
      <c r="G2735" s="1">
        <v>0</v>
      </c>
      <c r="H2735" s="1">
        <v>0</v>
      </c>
      <c r="I2735" s="1">
        <v>1.5575000000000001</v>
      </c>
    </row>
    <row r="2736" spans="1:9" x14ac:dyDescent="0.25">
      <c r="A2736" s="1">
        <v>2110210014</v>
      </c>
      <c r="B2736" s="1" t="s">
        <v>1398</v>
      </c>
      <c r="C2736" s="1" t="s">
        <v>151</v>
      </c>
      <c r="D2736" s="1" t="s">
        <v>152</v>
      </c>
      <c r="E2736" s="1">
        <v>0</v>
      </c>
      <c r="F2736" s="1" t="s">
        <v>36</v>
      </c>
      <c r="G2736" s="1">
        <v>0</v>
      </c>
      <c r="H2736" s="3">
        <v>3700</v>
      </c>
      <c r="I2736" s="1">
        <v>0</v>
      </c>
    </row>
    <row r="2737" spans="1:9" x14ac:dyDescent="0.25">
      <c r="A2737" s="1">
        <v>2110210015</v>
      </c>
      <c r="B2737" s="1" t="s">
        <v>1399</v>
      </c>
      <c r="C2737" s="1" t="s">
        <v>130</v>
      </c>
      <c r="D2737" s="1" t="s">
        <v>131</v>
      </c>
      <c r="E2737" s="1">
        <v>43</v>
      </c>
      <c r="F2737" s="1" t="s">
        <v>36</v>
      </c>
      <c r="G2737" s="3">
        <v>2549</v>
      </c>
      <c r="H2737" s="1">
        <v>50</v>
      </c>
      <c r="I2737" s="1">
        <v>1.58</v>
      </c>
    </row>
    <row r="2738" spans="1:9" x14ac:dyDescent="0.25">
      <c r="A2738" s="1">
        <v>2110210015</v>
      </c>
      <c r="B2738" s="1" t="s">
        <v>1399</v>
      </c>
      <c r="C2738" s="1" t="s">
        <v>137</v>
      </c>
      <c r="D2738" s="1" t="s">
        <v>138</v>
      </c>
      <c r="E2738" s="1">
        <v>4</v>
      </c>
      <c r="F2738" s="1" t="s">
        <v>36</v>
      </c>
      <c r="G2738" s="1">
        <v>0</v>
      </c>
      <c r="H2738" s="1">
        <v>0</v>
      </c>
      <c r="I2738" s="1">
        <v>1.5774999999999999</v>
      </c>
    </row>
    <row r="2739" spans="1:9" x14ac:dyDescent="0.25">
      <c r="A2739" s="1">
        <v>2110210015</v>
      </c>
      <c r="B2739" s="1" t="s">
        <v>1399</v>
      </c>
      <c r="C2739" s="1" t="s">
        <v>151</v>
      </c>
      <c r="D2739" s="1" t="s">
        <v>152</v>
      </c>
      <c r="E2739" s="1">
        <v>0</v>
      </c>
      <c r="F2739" s="1" t="s">
        <v>36</v>
      </c>
      <c r="G2739" s="1">
        <v>0</v>
      </c>
      <c r="H2739" s="1">
        <v>300</v>
      </c>
      <c r="I2739" s="1">
        <v>1.4528669999999999</v>
      </c>
    </row>
    <row r="2740" spans="1:9" x14ac:dyDescent="0.25">
      <c r="A2740" s="1">
        <v>2110210015</v>
      </c>
      <c r="B2740" s="1" t="s">
        <v>1399</v>
      </c>
      <c r="C2740" s="1" t="s">
        <v>139</v>
      </c>
      <c r="D2740" s="1" t="s">
        <v>140</v>
      </c>
      <c r="E2740" s="1">
        <v>0</v>
      </c>
      <c r="F2740" s="1" t="s">
        <v>36</v>
      </c>
      <c r="G2740" s="1">
        <v>50</v>
      </c>
      <c r="H2740" s="1">
        <v>500</v>
      </c>
      <c r="I2740" s="1">
        <v>0</v>
      </c>
    </row>
    <row r="2741" spans="1:9" x14ac:dyDescent="0.25">
      <c r="A2741" s="1">
        <v>2110210016</v>
      </c>
      <c r="B2741" s="1" t="s">
        <v>1400</v>
      </c>
      <c r="C2741" s="1" t="s">
        <v>130</v>
      </c>
      <c r="D2741" s="1" t="s">
        <v>131</v>
      </c>
      <c r="E2741" s="3">
        <v>2081</v>
      </c>
      <c r="F2741" s="1" t="s">
        <v>36</v>
      </c>
      <c r="G2741" s="3">
        <v>2150</v>
      </c>
      <c r="H2741" s="1">
        <v>0</v>
      </c>
      <c r="I2741" s="1">
        <v>1.6079049999999999</v>
      </c>
    </row>
    <row r="2742" spans="1:9" x14ac:dyDescent="0.25">
      <c r="A2742" s="1">
        <v>2110210016</v>
      </c>
      <c r="B2742" s="1" t="s">
        <v>1400</v>
      </c>
      <c r="C2742" s="1" t="s">
        <v>137</v>
      </c>
      <c r="D2742" s="1" t="s">
        <v>138</v>
      </c>
      <c r="E2742" s="1">
        <v>4</v>
      </c>
      <c r="F2742" s="1" t="s">
        <v>36</v>
      </c>
      <c r="G2742" s="1">
        <v>0</v>
      </c>
      <c r="H2742" s="1">
        <v>0</v>
      </c>
      <c r="I2742" s="1">
        <v>1.665</v>
      </c>
    </row>
    <row r="2743" spans="1:9" x14ac:dyDescent="0.25">
      <c r="A2743" s="1">
        <v>2110210017</v>
      </c>
      <c r="B2743" s="1" t="s">
        <v>1401</v>
      </c>
      <c r="C2743" s="1" t="s">
        <v>130</v>
      </c>
      <c r="D2743" s="1" t="s">
        <v>131</v>
      </c>
      <c r="E2743" s="3">
        <v>2838</v>
      </c>
      <c r="F2743" s="1" t="s">
        <v>36</v>
      </c>
      <c r="G2743" s="3">
        <v>25</v>
      </c>
      <c r="H2743" s="1">
        <v>0</v>
      </c>
      <c r="I2743" s="1">
        <v>1.6721140000000001</v>
      </c>
    </row>
    <row r="2744" spans="1:9" x14ac:dyDescent="0.25">
      <c r="A2744" s="1">
        <v>2110210017</v>
      </c>
      <c r="B2744" s="1" t="s">
        <v>1401</v>
      </c>
      <c r="C2744" s="1" t="s">
        <v>137</v>
      </c>
      <c r="D2744" s="1" t="s">
        <v>138</v>
      </c>
      <c r="E2744" s="1">
        <v>7</v>
      </c>
      <c r="F2744" s="1" t="s">
        <v>36</v>
      </c>
      <c r="G2744" s="1">
        <v>0</v>
      </c>
      <c r="H2744" s="1">
        <v>0</v>
      </c>
      <c r="I2744" s="1">
        <v>1.7628569999999999</v>
      </c>
    </row>
    <row r="2745" spans="1:9" x14ac:dyDescent="0.25">
      <c r="A2745" s="1">
        <v>2110210018</v>
      </c>
      <c r="B2745" s="1" t="s">
        <v>1402</v>
      </c>
      <c r="C2745" s="1" t="s">
        <v>130</v>
      </c>
      <c r="D2745" s="1" t="s">
        <v>131</v>
      </c>
      <c r="E2745" s="3">
        <v>2608</v>
      </c>
      <c r="F2745" s="1" t="s">
        <v>36</v>
      </c>
      <c r="G2745" s="1">
        <v>260</v>
      </c>
      <c r="H2745" s="1">
        <v>0</v>
      </c>
      <c r="I2745" s="1">
        <v>1.6810080000000001</v>
      </c>
    </row>
    <row r="2746" spans="1:9" x14ac:dyDescent="0.25">
      <c r="A2746" s="1">
        <v>2110210018</v>
      </c>
      <c r="B2746" s="1" t="s">
        <v>1402</v>
      </c>
      <c r="C2746" s="1" t="s">
        <v>137</v>
      </c>
      <c r="D2746" s="1" t="s">
        <v>138</v>
      </c>
      <c r="E2746" s="1">
        <v>4</v>
      </c>
      <c r="F2746" s="1" t="s">
        <v>36</v>
      </c>
      <c r="G2746" s="1">
        <v>0</v>
      </c>
      <c r="H2746" s="1">
        <v>0</v>
      </c>
      <c r="I2746" s="1">
        <v>1.7275</v>
      </c>
    </row>
    <row r="2747" spans="1:9" x14ac:dyDescent="0.25">
      <c r="A2747" s="1">
        <v>2110210019</v>
      </c>
      <c r="B2747" s="1" t="s">
        <v>1403</v>
      </c>
      <c r="C2747" s="1" t="s">
        <v>130</v>
      </c>
      <c r="D2747" s="1" t="s">
        <v>131</v>
      </c>
      <c r="E2747" s="3">
        <v>2912</v>
      </c>
      <c r="F2747" s="1" t="s">
        <v>36</v>
      </c>
      <c r="G2747" s="1">
        <v>191</v>
      </c>
      <c r="H2747" s="1">
        <v>0</v>
      </c>
      <c r="I2747" s="1">
        <v>1.7291829999999999</v>
      </c>
    </row>
    <row r="2748" spans="1:9" x14ac:dyDescent="0.25">
      <c r="A2748" s="1">
        <v>2110210019</v>
      </c>
      <c r="B2748" s="1" t="s">
        <v>1403</v>
      </c>
      <c r="C2748" s="1" t="s">
        <v>137</v>
      </c>
      <c r="D2748" s="1" t="s">
        <v>138</v>
      </c>
      <c r="E2748" s="1">
        <v>4</v>
      </c>
      <c r="F2748" s="1" t="s">
        <v>36</v>
      </c>
      <c r="G2748" s="1">
        <v>0</v>
      </c>
      <c r="H2748" s="1">
        <v>0</v>
      </c>
      <c r="I2748" s="1">
        <v>1.8025</v>
      </c>
    </row>
    <row r="2749" spans="1:9" x14ac:dyDescent="0.25">
      <c r="A2749" s="1">
        <v>2110210020</v>
      </c>
      <c r="B2749" s="1" t="s">
        <v>1404</v>
      </c>
      <c r="C2749" s="1" t="s">
        <v>130</v>
      </c>
      <c r="D2749" s="1" t="s">
        <v>131</v>
      </c>
      <c r="E2749" s="3">
        <v>3396</v>
      </c>
      <c r="F2749" s="1" t="s">
        <v>36</v>
      </c>
      <c r="G2749" s="3">
        <v>1047</v>
      </c>
      <c r="H2749" s="1">
        <v>0</v>
      </c>
      <c r="I2749" s="1">
        <v>1.748769</v>
      </c>
    </row>
    <row r="2750" spans="1:9" x14ac:dyDescent="0.25">
      <c r="A2750" s="1">
        <v>2110210020</v>
      </c>
      <c r="B2750" s="1" t="s">
        <v>1404</v>
      </c>
      <c r="C2750" s="1" t="s">
        <v>137</v>
      </c>
      <c r="D2750" s="1" t="s">
        <v>138</v>
      </c>
      <c r="E2750" s="1">
        <v>5</v>
      </c>
      <c r="F2750" s="1" t="s">
        <v>36</v>
      </c>
      <c r="G2750" s="1">
        <v>0</v>
      </c>
      <c r="H2750" s="1">
        <v>0</v>
      </c>
      <c r="I2750" s="1">
        <v>1.84</v>
      </c>
    </row>
    <row r="2751" spans="1:9" x14ac:dyDescent="0.25">
      <c r="A2751" s="1">
        <v>2110210021</v>
      </c>
      <c r="B2751" s="1" t="s">
        <v>1405</v>
      </c>
      <c r="C2751" s="1" t="s">
        <v>130</v>
      </c>
      <c r="D2751" s="1" t="s">
        <v>131</v>
      </c>
      <c r="E2751" s="1">
        <v>0</v>
      </c>
      <c r="F2751" s="1" t="s">
        <v>36</v>
      </c>
      <c r="G2751" s="3">
        <v>5587</v>
      </c>
      <c r="H2751" s="1">
        <v>0</v>
      </c>
      <c r="I2751" s="1">
        <v>1.7650999999999999</v>
      </c>
    </row>
    <row r="2752" spans="1:9" x14ac:dyDescent="0.25">
      <c r="A2752" s="1">
        <v>2110210021</v>
      </c>
      <c r="B2752" s="1" t="s">
        <v>1405</v>
      </c>
      <c r="C2752" s="1" t="s">
        <v>137</v>
      </c>
      <c r="D2752" s="1" t="s">
        <v>138</v>
      </c>
      <c r="E2752" s="1">
        <v>4</v>
      </c>
      <c r="F2752" s="1" t="s">
        <v>36</v>
      </c>
      <c r="G2752" s="1">
        <v>0</v>
      </c>
      <c r="H2752" s="1">
        <v>2</v>
      </c>
      <c r="I2752" s="1">
        <v>1.7675000000000001</v>
      </c>
    </row>
    <row r="2753" spans="1:9" x14ac:dyDescent="0.25">
      <c r="A2753" s="1">
        <v>2110210021</v>
      </c>
      <c r="B2753" s="1" t="s">
        <v>1405</v>
      </c>
      <c r="C2753" s="1" t="s">
        <v>151</v>
      </c>
      <c r="D2753" s="1" t="s">
        <v>152</v>
      </c>
      <c r="E2753" s="1">
        <v>0</v>
      </c>
      <c r="F2753" s="1" t="s">
        <v>36</v>
      </c>
      <c r="G2753" s="1">
        <v>0</v>
      </c>
      <c r="H2753" s="3">
        <v>6400</v>
      </c>
      <c r="I2753" s="1">
        <v>1.7366619999999999</v>
      </c>
    </row>
    <row r="2754" spans="1:9" x14ac:dyDescent="0.25">
      <c r="A2754" s="1">
        <v>2110210021</v>
      </c>
      <c r="B2754" s="1" t="s">
        <v>1405</v>
      </c>
      <c r="C2754" s="1" t="s">
        <v>139</v>
      </c>
      <c r="D2754" s="1" t="s">
        <v>140</v>
      </c>
      <c r="E2754" s="1">
        <v>0</v>
      </c>
      <c r="F2754" s="1" t="s">
        <v>36</v>
      </c>
      <c r="G2754" s="3">
        <v>3200</v>
      </c>
      <c r="H2754" s="1">
        <v>0</v>
      </c>
      <c r="I2754" s="1">
        <v>0</v>
      </c>
    </row>
    <row r="2755" spans="1:9" x14ac:dyDescent="0.25">
      <c r="A2755" s="1">
        <v>2110210022</v>
      </c>
      <c r="B2755" s="1" t="s">
        <v>1406</v>
      </c>
      <c r="C2755" s="1" t="s">
        <v>130</v>
      </c>
      <c r="D2755" s="1" t="s">
        <v>131</v>
      </c>
      <c r="E2755" s="1">
        <v>14</v>
      </c>
      <c r="F2755" s="1" t="s">
        <v>36</v>
      </c>
      <c r="G2755" s="3">
        <v>3004</v>
      </c>
      <c r="H2755" s="1">
        <v>0</v>
      </c>
      <c r="I2755" s="1">
        <v>1.7849999999999999</v>
      </c>
    </row>
    <row r="2756" spans="1:9" x14ac:dyDescent="0.25">
      <c r="A2756" s="1">
        <v>2110210022</v>
      </c>
      <c r="B2756" s="1" t="s">
        <v>1406</v>
      </c>
      <c r="C2756" s="1" t="s">
        <v>137</v>
      </c>
      <c r="D2756" s="1" t="s">
        <v>138</v>
      </c>
      <c r="E2756" s="1">
        <v>0</v>
      </c>
      <c r="F2756" s="1" t="s">
        <v>36</v>
      </c>
      <c r="G2756" s="3">
        <v>0</v>
      </c>
      <c r="H2756" s="1">
        <v>4</v>
      </c>
      <c r="I2756" s="1">
        <v>0</v>
      </c>
    </row>
    <row r="2757" spans="1:9" x14ac:dyDescent="0.25">
      <c r="A2757" s="1">
        <v>2110210022</v>
      </c>
      <c r="B2757" s="1" t="s">
        <v>1406</v>
      </c>
      <c r="C2757" s="1" t="s">
        <v>151</v>
      </c>
      <c r="D2757" s="1" t="s">
        <v>152</v>
      </c>
      <c r="E2757" s="1">
        <v>0</v>
      </c>
      <c r="F2757" s="1" t="s">
        <v>36</v>
      </c>
      <c r="G2757" s="1">
        <v>0</v>
      </c>
      <c r="H2757" s="3">
        <v>300</v>
      </c>
      <c r="I2757" s="1">
        <v>1.8541190000000001</v>
      </c>
    </row>
    <row r="2758" spans="1:9" x14ac:dyDescent="0.25">
      <c r="A2758" s="1">
        <v>2110210023</v>
      </c>
      <c r="B2758" s="1" t="s">
        <v>1407</v>
      </c>
      <c r="C2758" s="1" t="s">
        <v>130</v>
      </c>
      <c r="D2758" s="1" t="s">
        <v>131</v>
      </c>
      <c r="E2758" s="3">
        <v>3</v>
      </c>
      <c r="F2758" s="1" t="s">
        <v>36</v>
      </c>
      <c r="G2758" s="3">
        <v>1180</v>
      </c>
      <c r="H2758" s="1">
        <v>0</v>
      </c>
      <c r="I2758" s="1">
        <v>1.82</v>
      </c>
    </row>
    <row r="2759" spans="1:9" x14ac:dyDescent="0.25">
      <c r="A2759" s="1">
        <v>2110210023</v>
      </c>
      <c r="B2759" s="1" t="s">
        <v>1407</v>
      </c>
      <c r="C2759" s="1" t="s">
        <v>137</v>
      </c>
      <c r="D2759" s="1" t="s">
        <v>138</v>
      </c>
      <c r="E2759" s="1">
        <v>4</v>
      </c>
      <c r="F2759" s="1" t="s">
        <v>36</v>
      </c>
      <c r="G2759" s="1">
        <v>0</v>
      </c>
      <c r="H2759" s="1">
        <v>0</v>
      </c>
      <c r="I2759" s="1">
        <v>1.83</v>
      </c>
    </row>
    <row r="2760" spans="1:9" x14ac:dyDescent="0.25">
      <c r="A2760" s="1">
        <v>2110210023</v>
      </c>
      <c r="B2760" s="1" t="s">
        <v>1407</v>
      </c>
      <c r="C2760" s="1" t="s">
        <v>151</v>
      </c>
      <c r="D2760" s="1" t="s">
        <v>152</v>
      </c>
      <c r="E2760" s="1">
        <v>0</v>
      </c>
      <c r="F2760" s="1" t="s">
        <v>36</v>
      </c>
      <c r="G2760" s="1">
        <v>0</v>
      </c>
      <c r="H2760" s="1">
        <v>100</v>
      </c>
      <c r="I2760" s="1">
        <v>1.8302499999999999</v>
      </c>
    </row>
    <row r="2761" spans="1:9" x14ac:dyDescent="0.25">
      <c r="A2761" s="1">
        <v>2110210024</v>
      </c>
      <c r="B2761" s="1" t="s">
        <v>1408</v>
      </c>
      <c r="C2761" s="1" t="s">
        <v>130</v>
      </c>
      <c r="D2761" s="1" t="s">
        <v>131</v>
      </c>
      <c r="E2761" s="1">
        <v>47</v>
      </c>
      <c r="F2761" s="1" t="s">
        <v>36</v>
      </c>
      <c r="G2761" s="3">
        <v>650</v>
      </c>
      <c r="H2761" s="1">
        <v>0</v>
      </c>
      <c r="I2761" s="1">
        <v>1.755957</v>
      </c>
    </row>
    <row r="2762" spans="1:9" x14ac:dyDescent="0.25">
      <c r="A2762" s="1">
        <v>2110210024</v>
      </c>
      <c r="B2762" s="1" t="s">
        <v>1408</v>
      </c>
      <c r="C2762" s="1" t="s">
        <v>137</v>
      </c>
      <c r="D2762" s="1" t="s">
        <v>138</v>
      </c>
      <c r="E2762" s="3">
        <v>4</v>
      </c>
      <c r="F2762" s="1" t="s">
        <v>36</v>
      </c>
      <c r="G2762" s="1">
        <v>0</v>
      </c>
      <c r="H2762" s="3">
        <v>0</v>
      </c>
      <c r="I2762" s="1">
        <v>1.7675000000000001</v>
      </c>
    </row>
    <row r="2763" spans="1:9" x14ac:dyDescent="0.25">
      <c r="A2763" s="1">
        <v>2110210025</v>
      </c>
      <c r="B2763" s="1" t="s">
        <v>1409</v>
      </c>
      <c r="C2763" s="1" t="s">
        <v>130</v>
      </c>
      <c r="D2763" s="1" t="s">
        <v>131</v>
      </c>
      <c r="E2763" s="1">
        <v>9</v>
      </c>
      <c r="F2763" s="1" t="s">
        <v>36</v>
      </c>
      <c r="G2763" s="3">
        <v>11092</v>
      </c>
      <c r="H2763" s="1">
        <v>400</v>
      </c>
      <c r="I2763" s="1">
        <v>1.6266670000000001</v>
      </c>
    </row>
    <row r="2764" spans="1:9" x14ac:dyDescent="0.25">
      <c r="A2764" s="1">
        <v>2110210025</v>
      </c>
      <c r="B2764" s="1" t="s">
        <v>1409</v>
      </c>
      <c r="C2764" s="1" t="s">
        <v>151</v>
      </c>
      <c r="D2764" s="1" t="s">
        <v>152</v>
      </c>
      <c r="E2764" s="1">
        <v>613</v>
      </c>
      <c r="F2764" s="1" t="s">
        <v>36</v>
      </c>
      <c r="G2764" s="3">
        <v>0</v>
      </c>
      <c r="H2764" s="3">
        <v>1392</v>
      </c>
      <c r="I2764" s="1">
        <v>1.56186</v>
      </c>
    </row>
    <row r="2765" spans="1:9" x14ac:dyDescent="0.25">
      <c r="A2765" s="1">
        <v>2110210026</v>
      </c>
      <c r="B2765" s="1" t="s">
        <v>1410</v>
      </c>
      <c r="C2765" s="1" t="s">
        <v>130</v>
      </c>
      <c r="D2765" s="1" t="s">
        <v>131</v>
      </c>
      <c r="E2765" s="1">
        <v>199</v>
      </c>
      <c r="F2765" s="1" t="s">
        <v>36</v>
      </c>
      <c r="G2765" s="1">
        <v>112</v>
      </c>
      <c r="H2765" s="1">
        <v>0</v>
      </c>
      <c r="I2765" s="1">
        <v>1.769698</v>
      </c>
    </row>
    <row r="2766" spans="1:9" x14ac:dyDescent="0.25">
      <c r="A2766" s="1">
        <v>2110210026</v>
      </c>
      <c r="B2766" s="1" t="s">
        <v>1410</v>
      </c>
      <c r="C2766" s="1" t="s">
        <v>151</v>
      </c>
      <c r="D2766" s="1" t="s">
        <v>152</v>
      </c>
      <c r="E2766" s="1">
        <v>931</v>
      </c>
      <c r="F2766" s="1" t="s">
        <v>36</v>
      </c>
      <c r="G2766" s="1">
        <v>0</v>
      </c>
      <c r="H2766" s="1">
        <v>0</v>
      </c>
      <c r="I2766" s="1">
        <v>1.752707</v>
      </c>
    </row>
    <row r="2767" spans="1:9" x14ac:dyDescent="0.25">
      <c r="A2767" s="1">
        <v>2110210027</v>
      </c>
      <c r="B2767" s="1" t="s">
        <v>1411</v>
      </c>
      <c r="C2767" s="1" t="s">
        <v>130</v>
      </c>
      <c r="D2767" s="1" t="s">
        <v>131</v>
      </c>
      <c r="E2767" s="1">
        <v>28</v>
      </c>
      <c r="F2767" s="1" t="s">
        <v>36</v>
      </c>
      <c r="G2767" s="3">
        <v>1400</v>
      </c>
      <c r="H2767" s="1">
        <v>0</v>
      </c>
      <c r="I2767" s="1">
        <v>1.688571</v>
      </c>
    </row>
    <row r="2768" spans="1:9" x14ac:dyDescent="0.25">
      <c r="A2768" s="1">
        <v>2110210028</v>
      </c>
      <c r="B2768" s="1" t="s">
        <v>1412</v>
      </c>
      <c r="C2768" s="1" t="s">
        <v>130</v>
      </c>
      <c r="D2768" s="1" t="s">
        <v>131</v>
      </c>
      <c r="E2768" s="3">
        <v>3523</v>
      </c>
      <c r="F2768" s="1" t="s">
        <v>36</v>
      </c>
      <c r="G2768" s="1">
        <v>218</v>
      </c>
      <c r="H2768" s="1">
        <v>0</v>
      </c>
      <c r="I2768" s="1">
        <v>1.75545</v>
      </c>
    </row>
    <row r="2769" spans="1:9" x14ac:dyDescent="0.25">
      <c r="A2769" s="1">
        <v>2110210028</v>
      </c>
      <c r="B2769" s="1" t="s">
        <v>1412</v>
      </c>
      <c r="C2769" s="1" t="s">
        <v>137</v>
      </c>
      <c r="D2769" s="1" t="s">
        <v>138</v>
      </c>
      <c r="E2769" s="1">
        <v>0</v>
      </c>
      <c r="F2769" s="1" t="s">
        <v>36</v>
      </c>
      <c r="G2769" s="1">
        <v>0</v>
      </c>
      <c r="H2769" s="1">
        <v>18</v>
      </c>
      <c r="I2769" s="1">
        <v>1.9027940000000001</v>
      </c>
    </row>
    <row r="2770" spans="1:9" x14ac:dyDescent="0.25">
      <c r="A2770" s="1">
        <v>2110210029</v>
      </c>
      <c r="B2770" s="1" t="s">
        <v>1413</v>
      </c>
      <c r="C2770" s="1" t="s">
        <v>130</v>
      </c>
      <c r="D2770" s="1" t="s">
        <v>131</v>
      </c>
      <c r="E2770" s="3">
        <v>3082</v>
      </c>
      <c r="F2770" s="1" t="s">
        <v>36</v>
      </c>
      <c r="G2770" s="1">
        <v>242</v>
      </c>
      <c r="H2770" s="1">
        <v>0</v>
      </c>
      <c r="I2770" s="1">
        <v>1.833102</v>
      </c>
    </row>
    <row r="2771" spans="1:9" x14ac:dyDescent="0.25">
      <c r="A2771" s="1">
        <v>2110210029</v>
      </c>
      <c r="B2771" s="1" t="s">
        <v>1413</v>
      </c>
      <c r="C2771" s="1" t="s">
        <v>137</v>
      </c>
      <c r="D2771" s="1" t="s">
        <v>138</v>
      </c>
      <c r="E2771" s="1">
        <v>4</v>
      </c>
      <c r="F2771" s="1" t="s">
        <v>36</v>
      </c>
      <c r="G2771" s="1">
        <v>0</v>
      </c>
      <c r="H2771" s="3">
        <v>1</v>
      </c>
      <c r="I2771" s="1">
        <v>1.8625</v>
      </c>
    </row>
    <row r="2772" spans="1:9" x14ac:dyDescent="0.25">
      <c r="A2772" s="1">
        <v>2110210030</v>
      </c>
      <c r="B2772" s="1" t="s">
        <v>1414</v>
      </c>
      <c r="C2772" s="1" t="s">
        <v>130</v>
      </c>
      <c r="D2772" s="1" t="s">
        <v>131</v>
      </c>
      <c r="E2772" s="3">
        <v>4093</v>
      </c>
      <c r="F2772" s="1" t="s">
        <v>36</v>
      </c>
      <c r="G2772" s="3">
        <v>3874</v>
      </c>
      <c r="H2772" s="1">
        <v>0</v>
      </c>
      <c r="I2772" s="1">
        <v>1.8368530000000001</v>
      </c>
    </row>
    <row r="2773" spans="1:9" x14ac:dyDescent="0.25">
      <c r="A2773" s="1">
        <v>2110210030</v>
      </c>
      <c r="B2773" s="1" t="s">
        <v>1414</v>
      </c>
      <c r="C2773" s="1" t="s">
        <v>137</v>
      </c>
      <c r="D2773" s="1" t="s">
        <v>138</v>
      </c>
      <c r="E2773" s="1">
        <v>4</v>
      </c>
      <c r="F2773" s="1" t="s">
        <v>36</v>
      </c>
      <c r="G2773" s="1">
        <v>0</v>
      </c>
      <c r="H2773" s="1">
        <v>0</v>
      </c>
      <c r="I2773" s="1">
        <v>1.79</v>
      </c>
    </row>
    <row r="2774" spans="1:9" x14ac:dyDescent="0.25">
      <c r="A2774" s="1">
        <v>2110210030</v>
      </c>
      <c r="B2774" s="1" t="s">
        <v>1414</v>
      </c>
      <c r="C2774" s="1" t="s">
        <v>151</v>
      </c>
      <c r="D2774" s="1" t="s">
        <v>152</v>
      </c>
      <c r="E2774" s="1">
        <v>0</v>
      </c>
      <c r="F2774" s="1" t="s">
        <v>36</v>
      </c>
      <c r="G2774" s="1">
        <v>0</v>
      </c>
      <c r="H2774" s="3">
        <v>6500</v>
      </c>
      <c r="I2774" s="1">
        <v>1.78945</v>
      </c>
    </row>
    <row r="2775" spans="1:9" x14ac:dyDescent="0.25">
      <c r="A2775" s="1">
        <v>2110210030</v>
      </c>
      <c r="B2775" s="1" t="s">
        <v>1414</v>
      </c>
      <c r="C2775" s="1" t="s">
        <v>139</v>
      </c>
      <c r="D2775" s="1" t="s">
        <v>140</v>
      </c>
      <c r="E2775" s="1">
        <v>0</v>
      </c>
      <c r="F2775" s="1" t="s">
        <v>36</v>
      </c>
      <c r="G2775" s="3">
        <v>3000</v>
      </c>
      <c r="H2775" s="1">
        <v>0</v>
      </c>
      <c r="I2775" s="1">
        <v>0</v>
      </c>
    </row>
    <row r="2776" spans="1:9" x14ac:dyDescent="0.25">
      <c r="A2776">
        <v>2110220047</v>
      </c>
      <c r="B2776" t="s">
        <v>1415</v>
      </c>
      <c r="C2776" t="s">
        <v>130</v>
      </c>
      <c r="D2776" t="s">
        <v>131</v>
      </c>
      <c r="E2776" s="2">
        <v>1</v>
      </c>
      <c r="F2776" t="s">
        <v>36</v>
      </c>
      <c r="G2776">
        <v>0</v>
      </c>
      <c r="H2776">
        <v>0</v>
      </c>
      <c r="I2776">
        <v>6.43</v>
      </c>
    </row>
    <row r="2777" spans="1:9" x14ac:dyDescent="0.25">
      <c r="A2777">
        <v>2110220057</v>
      </c>
      <c r="B2777" t="s">
        <v>1416</v>
      </c>
      <c r="C2777" t="s">
        <v>130</v>
      </c>
      <c r="D2777" t="s">
        <v>131</v>
      </c>
      <c r="E2777" s="2">
        <v>1</v>
      </c>
      <c r="F2777" t="s">
        <v>36</v>
      </c>
      <c r="G2777">
        <v>0</v>
      </c>
      <c r="H2777" s="2">
        <v>0</v>
      </c>
      <c r="I2777">
        <v>6.43</v>
      </c>
    </row>
    <row r="2778" spans="1:9" x14ac:dyDescent="0.25">
      <c r="A2778">
        <v>2110220059</v>
      </c>
      <c r="B2778" t="s">
        <v>1417</v>
      </c>
      <c r="C2778" t="s">
        <v>130</v>
      </c>
      <c r="D2778" t="s">
        <v>131</v>
      </c>
      <c r="E2778" s="2">
        <v>20</v>
      </c>
      <c r="F2778" t="s">
        <v>36</v>
      </c>
      <c r="G2778" s="2">
        <v>0</v>
      </c>
      <c r="H2778" s="2">
        <v>0</v>
      </c>
      <c r="I2778">
        <v>6.3045</v>
      </c>
    </row>
    <row r="2779" spans="1:9" x14ac:dyDescent="0.25">
      <c r="A2779">
        <v>2110220060</v>
      </c>
      <c r="B2779" t="s">
        <v>1418</v>
      </c>
      <c r="C2779" t="s">
        <v>130</v>
      </c>
      <c r="D2779" t="s">
        <v>131</v>
      </c>
      <c r="E2779" s="2">
        <v>1</v>
      </c>
      <c r="F2779" t="s">
        <v>36</v>
      </c>
      <c r="G2779">
        <v>0</v>
      </c>
      <c r="H2779">
        <v>0</v>
      </c>
      <c r="I2779">
        <v>6.3</v>
      </c>
    </row>
    <row r="2780" spans="1:9" x14ac:dyDescent="0.25">
      <c r="A2780" s="1">
        <v>2110220061</v>
      </c>
      <c r="B2780" s="1" t="s">
        <v>1419</v>
      </c>
      <c r="C2780" s="1" t="s">
        <v>130</v>
      </c>
      <c r="D2780" s="1" t="s">
        <v>131</v>
      </c>
      <c r="E2780" s="1">
        <v>1</v>
      </c>
      <c r="F2780" s="1" t="s">
        <v>36</v>
      </c>
      <c r="G2780" s="1">
        <v>0</v>
      </c>
      <c r="H2780" s="1">
        <v>0</v>
      </c>
      <c r="I2780" s="1">
        <v>6.3</v>
      </c>
    </row>
    <row r="2781" spans="1:9" x14ac:dyDescent="0.25">
      <c r="A2781" s="1">
        <v>2110220062</v>
      </c>
      <c r="B2781" s="1" t="s">
        <v>1420</v>
      </c>
      <c r="C2781" s="1" t="s">
        <v>130</v>
      </c>
      <c r="D2781" s="1" t="s">
        <v>131</v>
      </c>
      <c r="E2781" s="1">
        <v>1</v>
      </c>
      <c r="F2781" s="1" t="s">
        <v>36</v>
      </c>
      <c r="G2781" s="1">
        <v>0</v>
      </c>
      <c r="H2781" s="1">
        <v>0</v>
      </c>
      <c r="I2781" s="1">
        <v>6.3</v>
      </c>
    </row>
    <row r="2782" spans="1:9" x14ac:dyDescent="0.25">
      <c r="A2782" s="1">
        <v>2110220063</v>
      </c>
      <c r="B2782" s="1" t="s">
        <v>1421</v>
      </c>
      <c r="C2782" s="1" t="s">
        <v>130</v>
      </c>
      <c r="D2782" s="1" t="s">
        <v>131</v>
      </c>
      <c r="E2782" s="3">
        <v>1</v>
      </c>
      <c r="F2782" s="1" t="s">
        <v>36</v>
      </c>
      <c r="G2782" s="1">
        <v>0</v>
      </c>
      <c r="H2782" s="1">
        <v>0</v>
      </c>
      <c r="I2782" s="1">
        <v>6.3</v>
      </c>
    </row>
    <row r="2783" spans="1:9" x14ac:dyDescent="0.25">
      <c r="A2783" s="1">
        <v>2110220066</v>
      </c>
      <c r="B2783" s="1" t="s">
        <v>1422</v>
      </c>
      <c r="C2783" s="1" t="s">
        <v>130</v>
      </c>
      <c r="D2783" s="1" t="s">
        <v>131</v>
      </c>
      <c r="E2783" s="1">
        <v>4</v>
      </c>
      <c r="F2783" s="1" t="s">
        <v>36</v>
      </c>
      <c r="G2783" s="1">
        <v>0</v>
      </c>
      <c r="H2783" s="1">
        <v>0</v>
      </c>
      <c r="I2783" s="1">
        <v>6.2975000000000003</v>
      </c>
    </row>
    <row r="2784" spans="1:9" x14ac:dyDescent="0.25">
      <c r="A2784" s="1">
        <v>2110220067</v>
      </c>
      <c r="B2784" s="1" t="s">
        <v>1423</v>
      </c>
      <c r="C2784" s="1" t="s">
        <v>130</v>
      </c>
      <c r="D2784" s="1" t="s">
        <v>131</v>
      </c>
      <c r="E2784" s="3">
        <v>4</v>
      </c>
      <c r="F2784" s="1" t="s">
        <v>36</v>
      </c>
      <c r="G2784" s="1">
        <v>0</v>
      </c>
      <c r="H2784" s="1">
        <v>0</v>
      </c>
      <c r="I2784" s="1">
        <v>6.2975000000000003</v>
      </c>
    </row>
    <row r="2785" spans="1:9" x14ac:dyDescent="0.25">
      <c r="A2785" s="1">
        <v>2110220069</v>
      </c>
      <c r="B2785" s="1" t="s">
        <v>1424</v>
      </c>
      <c r="C2785" s="1" t="s">
        <v>130</v>
      </c>
      <c r="D2785" s="1" t="s">
        <v>131</v>
      </c>
      <c r="E2785" s="1">
        <v>6</v>
      </c>
      <c r="F2785" s="1" t="s">
        <v>36</v>
      </c>
      <c r="G2785" s="1">
        <v>0</v>
      </c>
      <c r="H2785" s="1">
        <v>0</v>
      </c>
      <c r="I2785" s="1">
        <v>6.2966670000000002</v>
      </c>
    </row>
    <row r="2786" spans="1:9" x14ac:dyDescent="0.25">
      <c r="A2786" s="1">
        <v>2110220071</v>
      </c>
      <c r="B2786" s="1" t="s">
        <v>1425</v>
      </c>
      <c r="C2786" s="1" t="s">
        <v>130</v>
      </c>
      <c r="D2786" s="1" t="s">
        <v>131</v>
      </c>
      <c r="E2786" s="1">
        <v>1</v>
      </c>
      <c r="F2786" s="1" t="s">
        <v>36</v>
      </c>
      <c r="G2786" s="1">
        <v>0</v>
      </c>
      <c r="H2786" s="1">
        <v>0</v>
      </c>
      <c r="I2786" s="1">
        <v>6.3</v>
      </c>
    </row>
    <row r="2787" spans="1:9" x14ac:dyDescent="0.25">
      <c r="A2787" s="1">
        <v>2110220072</v>
      </c>
      <c r="B2787" s="1" t="s">
        <v>1426</v>
      </c>
      <c r="C2787" s="1" t="s">
        <v>130</v>
      </c>
      <c r="D2787" s="1" t="s">
        <v>131</v>
      </c>
      <c r="E2787" s="1">
        <v>5</v>
      </c>
      <c r="F2787" s="1" t="s">
        <v>36</v>
      </c>
      <c r="G2787" s="1">
        <v>0</v>
      </c>
      <c r="H2787" s="1">
        <v>0</v>
      </c>
      <c r="I2787" s="1">
        <v>6.3440000000000003</v>
      </c>
    </row>
    <row r="2788" spans="1:9" x14ac:dyDescent="0.25">
      <c r="A2788" s="1">
        <v>2110220073</v>
      </c>
      <c r="B2788" s="1" t="s">
        <v>1427</v>
      </c>
      <c r="C2788" s="1" t="s">
        <v>130</v>
      </c>
      <c r="D2788" s="1" t="s">
        <v>131</v>
      </c>
      <c r="E2788" s="3">
        <v>1</v>
      </c>
      <c r="F2788" s="1" t="s">
        <v>36</v>
      </c>
      <c r="G2788" s="1">
        <v>0</v>
      </c>
      <c r="H2788" s="1">
        <v>0</v>
      </c>
      <c r="I2788" s="1">
        <v>6.34</v>
      </c>
    </row>
    <row r="2789" spans="1:9" x14ac:dyDescent="0.25">
      <c r="A2789" s="1">
        <v>2110220074</v>
      </c>
      <c r="B2789" s="1" t="s">
        <v>1428</v>
      </c>
      <c r="C2789" s="1" t="s">
        <v>130</v>
      </c>
      <c r="D2789" s="1" t="s">
        <v>131</v>
      </c>
      <c r="E2789" s="3">
        <v>5</v>
      </c>
      <c r="F2789" s="1" t="s">
        <v>36</v>
      </c>
      <c r="G2789" s="1">
        <v>0</v>
      </c>
      <c r="H2789" s="1">
        <v>0</v>
      </c>
      <c r="I2789" s="1">
        <v>6.3440000000000003</v>
      </c>
    </row>
    <row r="2790" spans="1:9" x14ac:dyDescent="0.25">
      <c r="A2790">
        <v>2110220076</v>
      </c>
      <c r="B2790" t="s">
        <v>1429</v>
      </c>
      <c r="C2790" t="s">
        <v>130</v>
      </c>
      <c r="D2790" t="s">
        <v>131</v>
      </c>
      <c r="E2790" s="2">
        <v>6</v>
      </c>
      <c r="F2790" t="s">
        <v>36</v>
      </c>
      <c r="G2790">
        <v>0</v>
      </c>
      <c r="H2790">
        <v>0</v>
      </c>
      <c r="I2790">
        <v>6.3433330000000003</v>
      </c>
    </row>
    <row r="2791" spans="1:9" x14ac:dyDescent="0.25">
      <c r="A2791">
        <v>2110220081</v>
      </c>
      <c r="B2791" t="s">
        <v>1430</v>
      </c>
      <c r="C2791" t="s">
        <v>130</v>
      </c>
      <c r="D2791" t="s">
        <v>131</v>
      </c>
      <c r="E2791" s="2">
        <v>6</v>
      </c>
      <c r="F2791" t="s">
        <v>36</v>
      </c>
      <c r="G2791">
        <v>0</v>
      </c>
      <c r="H2791">
        <v>0</v>
      </c>
      <c r="I2791">
        <v>6.3433330000000003</v>
      </c>
    </row>
    <row r="2792" spans="1:9" x14ac:dyDescent="0.25">
      <c r="A2792">
        <v>2110220084</v>
      </c>
      <c r="B2792" t="s">
        <v>1431</v>
      </c>
      <c r="C2792" t="s">
        <v>130</v>
      </c>
      <c r="D2792" t="s">
        <v>131</v>
      </c>
      <c r="E2792" s="2">
        <v>4</v>
      </c>
      <c r="F2792" t="s">
        <v>36</v>
      </c>
      <c r="G2792">
        <v>0</v>
      </c>
      <c r="H2792">
        <v>0</v>
      </c>
      <c r="I2792">
        <v>6.3825000000000003</v>
      </c>
    </row>
    <row r="2793" spans="1:9" x14ac:dyDescent="0.25">
      <c r="A2793" s="1">
        <v>2110220090</v>
      </c>
      <c r="B2793" s="1" t="s">
        <v>1432</v>
      </c>
      <c r="C2793" s="1" t="s">
        <v>130</v>
      </c>
      <c r="D2793" s="1" t="s">
        <v>131</v>
      </c>
      <c r="E2793" s="1">
        <v>2</v>
      </c>
      <c r="F2793" s="1" t="s">
        <v>36</v>
      </c>
      <c r="G2793" s="1">
        <v>0</v>
      </c>
      <c r="H2793" s="1">
        <v>0</v>
      </c>
      <c r="I2793" s="1">
        <v>6.3849999999999998</v>
      </c>
    </row>
    <row r="2794" spans="1:9" x14ac:dyDescent="0.25">
      <c r="A2794" s="1">
        <v>2110220092</v>
      </c>
      <c r="B2794" s="1" t="s">
        <v>1433</v>
      </c>
      <c r="C2794" s="1" t="s">
        <v>130</v>
      </c>
      <c r="D2794" s="1" t="s">
        <v>131</v>
      </c>
      <c r="E2794" s="1">
        <v>14</v>
      </c>
      <c r="F2794" s="1" t="s">
        <v>36</v>
      </c>
      <c r="G2794" s="1">
        <v>0</v>
      </c>
      <c r="H2794" s="1">
        <v>0</v>
      </c>
      <c r="I2794" s="1">
        <v>6.3828569999999996</v>
      </c>
    </row>
    <row r="2795" spans="1:9" x14ac:dyDescent="0.25">
      <c r="A2795" s="1">
        <v>2110220095</v>
      </c>
      <c r="B2795" s="1" t="s">
        <v>1434</v>
      </c>
      <c r="C2795" s="1" t="s">
        <v>130</v>
      </c>
      <c r="D2795" s="1" t="s">
        <v>131</v>
      </c>
      <c r="E2795" s="1">
        <v>1</v>
      </c>
      <c r="F2795" s="1" t="s">
        <v>36</v>
      </c>
      <c r="G2795" s="1">
        <v>0</v>
      </c>
      <c r="H2795" s="1">
        <v>0</v>
      </c>
      <c r="I2795" s="1">
        <v>6.93</v>
      </c>
    </row>
    <row r="2796" spans="1:9" x14ac:dyDescent="0.25">
      <c r="A2796" s="1">
        <v>2110220096</v>
      </c>
      <c r="B2796" s="1" t="s">
        <v>1435</v>
      </c>
      <c r="C2796" s="1" t="s">
        <v>130</v>
      </c>
      <c r="D2796" s="1" t="s">
        <v>131</v>
      </c>
      <c r="E2796" s="1">
        <v>1</v>
      </c>
      <c r="F2796" s="1" t="s">
        <v>36</v>
      </c>
      <c r="G2796" s="1">
        <v>0</v>
      </c>
      <c r="H2796" s="1">
        <v>0</v>
      </c>
      <c r="I2796" s="1">
        <v>6.93</v>
      </c>
    </row>
    <row r="2797" spans="1:9" x14ac:dyDescent="0.25">
      <c r="A2797" s="1">
        <v>2110220098</v>
      </c>
      <c r="B2797" s="1" t="s">
        <v>1436</v>
      </c>
      <c r="C2797" s="1" t="s">
        <v>130</v>
      </c>
      <c r="D2797" s="1" t="s">
        <v>131</v>
      </c>
      <c r="E2797" s="1">
        <v>28</v>
      </c>
      <c r="F2797" s="1" t="s">
        <v>36</v>
      </c>
      <c r="G2797" s="1">
        <v>0</v>
      </c>
      <c r="H2797" s="1">
        <v>0</v>
      </c>
      <c r="I2797" s="1">
        <v>6.9267859999999999</v>
      </c>
    </row>
    <row r="2798" spans="1:9" x14ac:dyDescent="0.25">
      <c r="A2798" s="1">
        <v>2110220099</v>
      </c>
      <c r="B2798" s="1" t="s">
        <v>1437</v>
      </c>
      <c r="C2798" s="1" t="s">
        <v>130</v>
      </c>
      <c r="D2798" s="1" t="s">
        <v>131</v>
      </c>
      <c r="E2798" s="1">
        <v>16</v>
      </c>
      <c r="F2798" s="1" t="s">
        <v>36</v>
      </c>
      <c r="G2798" s="1">
        <v>0</v>
      </c>
      <c r="H2798" s="1">
        <v>0</v>
      </c>
      <c r="I2798" s="1">
        <v>6.9268749999999999</v>
      </c>
    </row>
    <row r="2799" spans="1:9" x14ac:dyDescent="0.25">
      <c r="A2799" s="1">
        <v>2110220101</v>
      </c>
      <c r="B2799" s="1" t="s">
        <v>1438</v>
      </c>
      <c r="C2799" s="1" t="s">
        <v>130</v>
      </c>
      <c r="D2799" s="1" t="s">
        <v>131</v>
      </c>
      <c r="E2799" s="3">
        <v>1</v>
      </c>
      <c r="F2799" s="1" t="s">
        <v>36</v>
      </c>
      <c r="G2799" s="1">
        <v>0</v>
      </c>
      <c r="H2799" s="1">
        <v>0</v>
      </c>
      <c r="I2799" s="1">
        <v>4.87</v>
      </c>
    </row>
    <row r="2800" spans="1:9" x14ac:dyDescent="0.25">
      <c r="A2800" s="1">
        <v>2110220102</v>
      </c>
      <c r="B2800" s="1" t="s">
        <v>1439</v>
      </c>
      <c r="C2800" s="1" t="s">
        <v>130</v>
      </c>
      <c r="D2800" s="1" t="s">
        <v>131</v>
      </c>
      <c r="E2800" s="3">
        <v>1</v>
      </c>
      <c r="F2800" s="1" t="s">
        <v>36</v>
      </c>
      <c r="G2800" s="1">
        <v>0</v>
      </c>
      <c r="H2800" s="1">
        <v>0</v>
      </c>
      <c r="I2800" s="1">
        <v>4.82</v>
      </c>
    </row>
    <row r="2801" spans="1:9" x14ac:dyDescent="0.25">
      <c r="A2801" s="1">
        <v>2110220103</v>
      </c>
      <c r="B2801" s="1" t="s">
        <v>1440</v>
      </c>
      <c r="C2801" s="1" t="s">
        <v>130</v>
      </c>
      <c r="D2801" s="1" t="s">
        <v>131</v>
      </c>
      <c r="E2801" s="1">
        <v>1</v>
      </c>
      <c r="F2801" s="1" t="s">
        <v>36</v>
      </c>
      <c r="G2801" s="1">
        <v>0</v>
      </c>
      <c r="H2801" s="1">
        <v>0</v>
      </c>
      <c r="I2801" s="1">
        <v>4.7699999999999996</v>
      </c>
    </row>
    <row r="2802" spans="1:9" x14ac:dyDescent="0.25">
      <c r="A2802" s="1">
        <v>2110220104</v>
      </c>
      <c r="B2802" s="1" t="s">
        <v>1441</v>
      </c>
      <c r="C2802" s="1" t="s">
        <v>130</v>
      </c>
      <c r="D2802" s="1" t="s">
        <v>131</v>
      </c>
      <c r="E2802" s="1">
        <v>2</v>
      </c>
      <c r="F2802" s="1" t="s">
        <v>36</v>
      </c>
      <c r="G2802" s="1">
        <v>0</v>
      </c>
      <c r="H2802" s="1">
        <v>0</v>
      </c>
      <c r="I2802" s="1">
        <v>4.78</v>
      </c>
    </row>
    <row r="2803" spans="1:9" x14ac:dyDescent="0.25">
      <c r="A2803" s="1">
        <v>2110220106</v>
      </c>
      <c r="B2803" s="1" t="s">
        <v>1442</v>
      </c>
      <c r="C2803" s="1" t="s">
        <v>130</v>
      </c>
      <c r="D2803" s="1" t="s">
        <v>131</v>
      </c>
      <c r="E2803" s="3">
        <v>1</v>
      </c>
      <c r="F2803" s="1" t="s">
        <v>36</v>
      </c>
      <c r="G2803" s="1">
        <v>0</v>
      </c>
      <c r="H2803" s="1">
        <v>0</v>
      </c>
      <c r="I2803" s="1">
        <v>4.88</v>
      </c>
    </row>
    <row r="2804" spans="1:9" x14ac:dyDescent="0.25">
      <c r="A2804" s="1">
        <v>2110220108</v>
      </c>
      <c r="B2804" s="1" t="s">
        <v>1443</v>
      </c>
      <c r="C2804" s="1" t="s">
        <v>130</v>
      </c>
      <c r="D2804" s="1" t="s">
        <v>131</v>
      </c>
      <c r="E2804" s="1">
        <v>5</v>
      </c>
      <c r="F2804" s="1" t="s">
        <v>36</v>
      </c>
      <c r="G2804" s="1">
        <v>0</v>
      </c>
      <c r="H2804" s="1">
        <v>0</v>
      </c>
      <c r="I2804" s="1">
        <v>4.7759999999999998</v>
      </c>
    </row>
    <row r="2805" spans="1:9" x14ac:dyDescent="0.25">
      <c r="A2805" s="1">
        <v>2110220109</v>
      </c>
      <c r="B2805" s="1" t="s">
        <v>1444</v>
      </c>
      <c r="C2805" s="1" t="s">
        <v>130</v>
      </c>
      <c r="D2805" s="1" t="s">
        <v>131</v>
      </c>
      <c r="E2805" s="3">
        <v>5</v>
      </c>
      <c r="F2805" s="1" t="s">
        <v>36</v>
      </c>
      <c r="G2805" s="1">
        <v>0</v>
      </c>
      <c r="H2805" s="1">
        <v>0</v>
      </c>
      <c r="I2805" s="1">
        <v>5.3659999999999997</v>
      </c>
    </row>
    <row r="2806" spans="1:9" x14ac:dyDescent="0.25">
      <c r="A2806" s="1">
        <v>2110220110</v>
      </c>
      <c r="B2806" s="1" t="s">
        <v>1445</v>
      </c>
      <c r="C2806" s="1" t="s">
        <v>130</v>
      </c>
      <c r="D2806" s="1" t="s">
        <v>131</v>
      </c>
      <c r="E2806" s="3">
        <v>1</v>
      </c>
      <c r="F2806" s="1" t="s">
        <v>36</v>
      </c>
      <c r="G2806" s="1">
        <v>0</v>
      </c>
      <c r="H2806" s="1">
        <v>0</v>
      </c>
      <c r="I2806" s="1">
        <v>5.37</v>
      </c>
    </row>
    <row r="2807" spans="1:9" x14ac:dyDescent="0.25">
      <c r="A2807" s="1">
        <v>2110220112</v>
      </c>
      <c r="B2807" s="1" t="s">
        <v>1446</v>
      </c>
      <c r="C2807" s="1" t="s">
        <v>130</v>
      </c>
      <c r="D2807" s="1" t="s">
        <v>131</v>
      </c>
      <c r="E2807" s="3">
        <v>3</v>
      </c>
      <c r="F2807" s="1" t="s">
        <v>36</v>
      </c>
      <c r="G2807" s="1">
        <v>0</v>
      </c>
      <c r="H2807" s="3">
        <v>0</v>
      </c>
      <c r="I2807" s="1">
        <v>5.3666669999999996</v>
      </c>
    </row>
    <row r="2808" spans="1:9" x14ac:dyDescent="0.25">
      <c r="A2808" s="1">
        <v>2110220113</v>
      </c>
      <c r="B2808" s="1" t="s">
        <v>1447</v>
      </c>
      <c r="C2808" s="1" t="s">
        <v>130</v>
      </c>
      <c r="D2808" s="1" t="s">
        <v>131</v>
      </c>
      <c r="E2808" s="1">
        <v>1</v>
      </c>
      <c r="F2808" s="1" t="s">
        <v>36</v>
      </c>
      <c r="G2808" s="3">
        <v>0</v>
      </c>
      <c r="H2808" s="3">
        <v>0</v>
      </c>
      <c r="I2808" s="1">
        <v>5.37</v>
      </c>
    </row>
    <row r="2809" spans="1:9" x14ac:dyDescent="0.25">
      <c r="A2809" s="1">
        <v>2110220116</v>
      </c>
      <c r="B2809" s="1" t="s">
        <v>1448</v>
      </c>
      <c r="C2809" s="1" t="s">
        <v>130</v>
      </c>
      <c r="D2809" s="1" t="s">
        <v>131</v>
      </c>
      <c r="E2809" s="1">
        <v>16</v>
      </c>
      <c r="F2809" s="1" t="s">
        <v>36</v>
      </c>
      <c r="G2809" s="1">
        <v>0</v>
      </c>
      <c r="H2809" s="3">
        <v>0</v>
      </c>
      <c r="I2809" s="1">
        <v>5.3362499999999997</v>
      </c>
    </row>
    <row r="2810" spans="1:9" x14ac:dyDescent="0.25">
      <c r="A2810" s="1">
        <v>2110220118</v>
      </c>
      <c r="B2810" s="1" t="s">
        <v>1449</v>
      </c>
      <c r="C2810" s="1" t="s">
        <v>130</v>
      </c>
      <c r="D2810" s="1" t="s">
        <v>131</v>
      </c>
      <c r="E2810" s="1">
        <v>1</v>
      </c>
      <c r="F2810" s="1" t="s">
        <v>36</v>
      </c>
      <c r="G2810" s="3">
        <v>0</v>
      </c>
      <c r="H2810" s="1">
        <v>0</v>
      </c>
      <c r="I2810" s="1">
        <v>5.34</v>
      </c>
    </row>
    <row r="2811" spans="1:9" x14ac:dyDescent="0.25">
      <c r="A2811" s="1">
        <v>2110220119</v>
      </c>
      <c r="B2811" s="1" t="s">
        <v>1450</v>
      </c>
      <c r="C2811" s="1" t="s">
        <v>130</v>
      </c>
      <c r="D2811" s="1" t="s">
        <v>131</v>
      </c>
      <c r="E2811" s="1">
        <v>6</v>
      </c>
      <c r="F2811" s="1" t="s">
        <v>36</v>
      </c>
      <c r="G2811" s="1">
        <v>0</v>
      </c>
      <c r="H2811" s="3">
        <v>0</v>
      </c>
      <c r="I2811" s="1">
        <v>5.3416670000000002</v>
      </c>
    </row>
    <row r="2812" spans="1:9" x14ac:dyDescent="0.25">
      <c r="A2812" s="1">
        <v>2110220124</v>
      </c>
      <c r="B2812" s="1" t="s">
        <v>1451</v>
      </c>
      <c r="C2812" s="1" t="s">
        <v>130</v>
      </c>
      <c r="D2812" s="1" t="s">
        <v>131</v>
      </c>
      <c r="E2812" s="1">
        <v>3</v>
      </c>
      <c r="F2812" s="1" t="s">
        <v>36</v>
      </c>
      <c r="G2812" s="3">
        <v>0</v>
      </c>
      <c r="H2812" s="1">
        <v>0</v>
      </c>
      <c r="I2812" s="1">
        <v>5.3366670000000003</v>
      </c>
    </row>
    <row r="2813" spans="1:9" x14ac:dyDescent="0.25">
      <c r="A2813" s="1">
        <v>2110220125</v>
      </c>
      <c r="B2813" s="1" t="s">
        <v>1452</v>
      </c>
      <c r="C2813" s="1" t="s">
        <v>130</v>
      </c>
      <c r="D2813" s="1" t="s">
        <v>131</v>
      </c>
      <c r="E2813" s="3">
        <v>3</v>
      </c>
      <c r="F2813" s="1" t="s">
        <v>36</v>
      </c>
      <c r="G2813" s="1">
        <v>0</v>
      </c>
      <c r="H2813" s="1">
        <v>0</v>
      </c>
      <c r="I2813" s="1">
        <v>5.3366670000000003</v>
      </c>
    </row>
    <row r="2814" spans="1:9" x14ac:dyDescent="0.25">
      <c r="A2814" s="1">
        <v>2110220126</v>
      </c>
      <c r="B2814" s="1" t="s">
        <v>1453</v>
      </c>
      <c r="C2814" s="1" t="s">
        <v>130</v>
      </c>
      <c r="D2814" s="1" t="s">
        <v>131</v>
      </c>
      <c r="E2814" s="1">
        <v>1</v>
      </c>
      <c r="F2814" s="1" t="s">
        <v>36</v>
      </c>
      <c r="G2814" s="1">
        <v>0</v>
      </c>
      <c r="H2814" s="1">
        <v>0</v>
      </c>
      <c r="I2814" s="1">
        <v>5.34</v>
      </c>
    </row>
    <row r="2815" spans="1:9" x14ac:dyDescent="0.25">
      <c r="A2815" s="1">
        <v>2110220127</v>
      </c>
      <c r="B2815" s="1" t="s">
        <v>1454</v>
      </c>
      <c r="C2815" s="1" t="s">
        <v>130</v>
      </c>
      <c r="D2815" s="1" t="s">
        <v>131</v>
      </c>
      <c r="E2815" s="3">
        <v>12</v>
      </c>
      <c r="F2815" s="1" t="s">
        <v>36</v>
      </c>
      <c r="G2815" s="1">
        <v>0</v>
      </c>
      <c r="H2815" s="1">
        <v>0</v>
      </c>
      <c r="I2815" s="1">
        <v>5.3366670000000003</v>
      </c>
    </row>
    <row r="2816" spans="1:9" x14ac:dyDescent="0.25">
      <c r="A2816" s="1">
        <v>2110220130</v>
      </c>
      <c r="B2816" s="1" t="s">
        <v>1455</v>
      </c>
      <c r="C2816" s="1" t="s">
        <v>130</v>
      </c>
      <c r="D2816" s="1" t="s">
        <v>131</v>
      </c>
      <c r="E2816" s="1">
        <v>7</v>
      </c>
      <c r="F2816" s="1" t="s">
        <v>36</v>
      </c>
      <c r="G2816" s="1">
        <v>0</v>
      </c>
      <c r="H2816" s="1">
        <v>0</v>
      </c>
      <c r="I2816" s="1">
        <v>5.3371430000000002</v>
      </c>
    </row>
    <row r="2817" spans="1:9" x14ac:dyDescent="0.25">
      <c r="A2817" s="1">
        <v>2110220131</v>
      </c>
      <c r="B2817" s="1" t="s">
        <v>1456</v>
      </c>
      <c r="C2817" s="1" t="s">
        <v>130</v>
      </c>
      <c r="D2817" s="1" t="s">
        <v>131</v>
      </c>
      <c r="E2817" s="3">
        <v>4</v>
      </c>
      <c r="F2817" s="1" t="s">
        <v>36</v>
      </c>
      <c r="G2817" s="1">
        <v>0</v>
      </c>
      <c r="H2817" s="1">
        <v>0</v>
      </c>
      <c r="I2817" s="1">
        <v>5.3375000000000004</v>
      </c>
    </row>
    <row r="2818" spans="1:9" x14ac:dyDescent="0.25">
      <c r="A2818" s="1">
        <v>2110220132</v>
      </c>
      <c r="B2818" s="1" t="s">
        <v>1457</v>
      </c>
      <c r="C2818" s="1" t="s">
        <v>130</v>
      </c>
      <c r="D2818" s="1" t="s">
        <v>131</v>
      </c>
      <c r="E2818" s="1">
        <v>142</v>
      </c>
      <c r="F2818" s="1" t="s">
        <v>36</v>
      </c>
      <c r="G2818" s="1">
        <v>0</v>
      </c>
      <c r="H2818" s="1">
        <v>0</v>
      </c>
      <c r="I2818" s="1">
        <v>5.3108449999999996</v>
      </c>
    </row>
    <row r="2819" spans="1:9" x14ac:dyDescent="0.25">
      <c r="A2819" s="1">
        <v>2110220133</v>
      </c>
      <c r="B2819" s="1" t="s">
        <v>1458</v>
      </c>
      <c r="C2819" s="1" t="s">
        <v>130</v>
      </c>
      <c r="D2819" s="1" t="s">
        <v>131</v>
      </c>
      <c r="E2819" s="3">
        <v>130</v>
      </c>
      <c r="F2819" s="1" t="s">
        <v>36</v>
      </c>
      <c r="G2819" s="1">
        <v>0</v>
      </c>
      <c r="H2819" s="1">
        <v>0</v>
      </c>
      <c r="I2819" s="1">
        <v>5.2699230000000004</v>
      </c>
    </row>
    <row r="2820" spans="1:9" x14ac:dyDescent="0.25">
      <c r="A2820" s="1">
        <v>2110220134</v>
      </c>
      <c r="B2820" s="1" t="s">
        <v>1459</v>
      </c>
      <c r="C2820" s="1" t="s">
        <v>130</v>
      </c>
      <c r="D2820" s="1" t="s">
        <v>131</v>
      </c>
      <c r="E2820" s="1">
        <v>202</v>
      </c>
      <c r="F2820" s="1" t="s">
        <v>36</v>
      </c>
      <c r="G2820" s="1">
        <v>0</v>
      </c>
      <c r="H2820" s="1">
        <v>0</v>
      </c>
      <c r="I2820" s="1">
        <v>5.4094059999999997</v>
      </c>
    </row>
    <row r="2821" spans="1:9" x14ac:dyDescent="0.25">
      <c r="A2821" s="1">
        <v>2110220135</v>
      </c>
      <c r="B2821" s="1" t="s">
        <v>1460</v>
      </c>
      <c r="C2821" s="1" t="s">
        <v>130</v>
      </c>
      <c r="D2821" s="1" t="s">
        <v>131</v>
      </c>
      <c r="E2821" s="3">
        <v>104</v>
      </c>
      <c r="F2821" s="1" t="s">
        <v>36</v>
      </c>
      <c r="G2821" s="1">
        <v>0</v>
      </c>
      <c r="H2821" s="1">
        <v>0</v>
      </c>
      <c r="I2821" s="1">
        <v>5.2290380000000001</v>
      </c>
    </row>
    <row r="2822" spans="1:9" x14ac:dyDescent="0.25">
      <c r="A2822" s="1">
        <v>2110220136</v>
      </c>
      <c r="B2822" s="1" t="s">
        <v>1461</v>
      </c>
      <c r="C2822" s="1" t="s">
        <v>130</v>
      </c>
      <c r="D2822" s="1" t="s">
        <v>131</v>
      </c>
      <c r="E2822" s="1">
        <v>10</v>
      </c>
      <c r="F2822" s="1" t="s">
        <v>36</v>
      </c>
      <c r="G2822" s="1">
        <v>0</v>
      </c>
      <c r="H2822" s="1">
        <v>0</v>
      </c>
      <c r="I2822" s="1">
        <v>5.2290000000000001</v>
      </c>
    </row>
    <row r="2823" spans="1:9" x14ac:dyDescent="0.25">
      <c r="A2823" s="1">
        <v>2110220137</v>
      </c>
      <c r="B2823" s="1" t="s">
        <v>1462</v>
      </c>
      <c r="C2823" s="1" t="s">
        <v>130</v>
      </c>
      <c r="D2823" s="1" t="s">
        <v>131</v>
      </c>
      <c r="E2823" s="1">
        <v>43</v>
      </c>
      <c r="F2823" s="1" t="s">
        <v>36</v>
      </c>
      <c r="G2823" s="1">
        <v>0</v>
      </c>
      <c r="H2823" s="3">
        <v>0</v>
      </c>
      <c r="I2823" s="1">
        <v>5.5348839999999999</v>
      </c>
    </row>
    <row r="2824" spans="1:9" x14ac:dyDescent="0.25">
      <c r="A2824" s="1">
        <v>2110220141</v>
      </c>
      <c r="B2824" s="1" t="s">
        <v>1463</v>
      </c>
      <c r="C2824" s="1" t="s">
        <v>130</v>
      </c>
      <c r="D2824" s="1" t="s">
        <v>131</v>
      </c>
      <c r="E2824" s="1">
        <v>34</v>
      </c>
      <c r="F2824" s="1" t="s">
        <v>36</v>
      </c>
      <c r="G2824" s="1">
        <v>0</v>
      </c>
      <c r="H2824" s="1">
        <v>0</v>
      </c>
      <c r="I2824" s="1">
        <v>5.24</v>
      </c>
    </row>
    <row r="2825" spans="1:9" x14ac:dyDescent="0.25">
      <c r="A2825" s="1">
        <v>2110220142</v>
      </c>
      <c r="B2825" s="1" t="s">
        <v>1464</v>
      </c>
      <c r="C2825" s="1" t="s">
        <v>130</v>
      </c>
      <c r="D2825" s="1" t="s">
        <v>131</v>
      </c>
      <c r="E2825" s="1">
        <v>3</v>
      </c>
      <c r="F2825" s="1" t="s">
        <v>36</v>
      </c>
      <c r="G2825" s="1">
        <v>0</v>
      </c>
      <c r="H2825" s="1">
        <v>0</v>
      </c>
      <c r="I2825" s="1">
        <v>5.24</v>
      </c>
    </row>
    <row r="2826" spans="1:9" x14ac:dyDescent="0.25">
      <c r="A2826" s="1">
        <v>2110220143</v>
      </c>
      <c r="B2826" s="1" t="s">
        <v>1465</v>
      </c>
      <c r="C2826" s="1" t="s">
        <v>130</v>
      </c>
      <c r="D2826" s="1" t="s">
        <v>131</v>
      </c>
      <c r="E2826" s="1">
        <v>16</v>
      </c>
      <c r="F2826" s="1" t="s">
        <v>36</v>
      </c>
      <c r="G2826" s="1">
        <v>0</v>
      </c>
      <c r="H2826" s="1">
        <v>0</v>
      </c>
      <c r="I2826" s="1">
        <v>5.24</v>
      </c>
    </row>
    <row r="2827" spans="1:9" x14ac:dyDescent="0.25">
      <c r="A2827" s="1">
        <v>2110220144</v>
      </c>
      <c r="B2827" s="1" t="s">
        <v>1466</v>
      </c>
      <c r="C2827" s="1" t="s">
        <v>130</v>
      </c>
      <c r="D2827" s="1" t="s">
        <v>131</v>
      </c>
      <c r="E2827" s="1">
        <v>8</v>
      </c>
      <c r="F2827" s="1" t="s">
        <v>36</v>
      </c>
      <c r="G2827" s="1">
        <v>0</v>
      </c>
      <c r="H2827" s="1">
        <v>0</v>
      </c>
      <c r="I2827" s="1">
        <v>5.24</v>
      </c>
    </row>
    <row r="2828" spans="1:9" x14ac:dyDescent="0.25">
      <c r="A2828" s="1">
        <v>2110220145</v>
      </c>
      <c r="B2828" s="1" t="s">
        <v>1467</v>
      </c>
      <c r="C2828" s="1" t="s">
        <v>130</v>
      </c>
      <c r="D2828" s="1" t="s">
        <v>131</v>
      </c>
      <c r="E2828" s="1">
        <v>26</v>
      </c>
      <c r="F2828" s="1" t="s">
        <v>36</v>
      </c>
      <c r="G2828" s="1">
        <v>0</v>
      </c>
      <c r="H2828" s="1">
        <v>0</v>
      </c>
      <c r="I2828" s="1">
        <v>5.24</v>
      </c>
    </row>
    <row r="2829" spans="1:9" x14ac:dyDescent="0.25">
      <c r="A2829" s="1">
        <v>2110220148</v>
      </c>
      <c r="B2829" s="1" t="s">
        <v>1468</v>
      </c>
      <c r="C2829" s="1" t="s">
        <v>130</v>
      </c>
      <c r="D2829" s="1" t="s">
        <v>131</v>
      </c>
      <c r="E2829" s="1">
        <v>8</v>
      </c>
      <c r="F2829" s="1" t="s">
        <v>36</v>
      </c>
      <c r="G2829" s="1">
        <v>0</v>
      </c>
      <c r="H2829" s="1">
        <v>0</v>
      </c>
      <c r="I2829" s="1">
        <v>8.9112500000000008</v>
      </c>
    </row>
    <row r="2830" spans="1:9" x14ac:dyDescent="0.25">
      <c r="A2830" s="1">
        <v>2120010056</v>
      </c>
      <c r="B2830" s="1" t="s">
        <v>1469</v>
      </c>
      <c r="C2830" s="1" t="s">
        <v>167</v>
      </c>
      <c r="D2830" s="1" t="s">
        <v>168</v>
      </c>
      <c r="E2830" s="3">
        <v>2000</v>
      </c>
      <c r="F2830" s="1" t="s">
        <v>36</v>
      </c>
      <c r="G2830" s="1">
        <v>0</v>
      </c>
      <c r="H2830" s="1">
        <v>0</v>
      </c>
      <c r="I2830" s="1">
        <v>0.36506499999999997</v>
      </c>
    </row>
    <row r="2831" spans="1:9" x14ac:dyDescent="0.25">
      <c r="A2831" s="1">
        <v>2120030002</v>
      </c>
      <c r="B2831" s="1" t="s">
        <v>1470</v>
      </c>
      <c r="C2831" s="1" t="s">
        <v>167</v>
      </c>
      <c r="D2831" s="1" t="s">
        <v>168</v>
      </c>
      <c r="E2831" s="3">
        <v>130</v>
      </c>
      <c r="F2831" s="1" t="s">
        <v>36</v>
      </c>
      <c r="G2831" s="1">
        <v>0</v>
      </c>
      <c r="H2831" s="1">
        <v>0</v>
      </c>
      <c r="I2831" s="1">
        <v>0.15961500000000001</v>
      </c>
    </row>
    <row r="2832" spans="1:9" x14ac:dyDescent="0.25">
      <c r="A2832" s="1">
        <v>2120040668</v>
      </c>
      <c r="B2832" s="1" t="s">
        <v>1471</v>
      </c>
      <c r="C2832" s="1" t="s">
        <v>523</v>
      </c>
      <c r="D2832" s="1" t="s">
        <v>524</v>
      </c>
      <c r="E2832" s="1">
        <v>0</v>
      </c>
      <c r="F2832" s="1" t="s">
        <v>36</v>
      </c>
      <c r="G2832" s="3">
        <v>54880</v>
      </c>
      <c r="H2832" s="1">
        <v>0</v>
      </c>
      <c r="I2832" s="1">
        <v>9.1590000000000005E-3</v>
      </c>
    </row>
    <row r="2833" spans="1:9" x14ac:dyDescent="0.25">
      <c r="A2833" s="1">
        <v>2120050162</v>
      </c>
      <c r="B2833" s="1" t="s">
        <v>1472</v>
      </c>
      <c r="C2833" s="1" t="s">
        <v>167</v>
      </c>
      <c r="D2833" s="1" t="s">
        <v>168</v>
      </c>
      <c r="E2833" s="3">
        <v>6185</v>
      </c>
      <c r="F2833" s="1" t="s">
        <v>36</v>
      </c>
      <c r="G2833" s="1">
        <v>0</v>
      </c>
      <c r="H2833" s="1">
        <v>0</v>
      </c>
      <c r="I2833" s="1">
        <v>1.077761</v>
      </c>
    </row>
    <row r="2834" spans="1:9" x14ac:dyDescent="0.25">
      <c r="A2834" s="1">
        <v>2120112101</v>
      </c>
      <c r="B2834" s="1" t="s">
        <v>1473</v>
      </c>
      <c r="C2834" s="1" t="s">
        <v>523</v>
      </c>
      <c r="D2834" s="1" t="s">
        <v>524</v>
      </c>
      <c r="E2834" s="3">
        <v>600</v>
      </c>
      <c r="F2834" s="1" t="s">
        <v>1373</v>
      </c>
      <c r="G2834" s="1">
        <v>600</v>
      </c>
      <c r="H2834" s="1">
        <v>0</v>
      </c>
      <c r="I2834" s="1">
        <v>7.2224830000000004</v>
      </c>
    </row>
    <row r="2835" spans="1:9" x14ac:dyDescent="0.25">
      <c r="A2835" s="1">
        <v>2120120843</v>
      </c>
      <c r="B2835" s="1" t="s">
        <v>1474</v>
      </c>
      <c r="C2835" s="1" t="s">
        <v>167</v>
      </c>
      <c r="D2835" s="1" t="s">
        <v>168</v>
      </c>
      <c r="E2835" s="1">
        <v>630</v>
      </c>
      <c r="F2835" s="1" t="s">
        <v>36</v>
      </c>
      <c r="G2835" s="1">
        <v>0</v>
      </c>
      <c r="H2835" s="1">
        <v>0</v>
      </c>
      <c r="I2835" s="1">
        <v>0.43604799999999999</v>
      </c>
    </row>
    <row r="2836" spans="1:9" x14ac:dyDescent="0.25">
      <c r="A2836" s="1">
        <v>2130030004</v>
      </c>
      <c r="B2836" s="1" t="s">
        <v>1475</v>
      </c>
      <c r="C2836" s="1" t="s">
        <v>130</v>
      </c>
      <c r="D2836" s="1" t="s">
        <v>131</v>
      </c>
      <c r="E2836" s="1">
        <v>12</v>
      </c>
      <c r="F2836" s="1" t="s">
        <v>36</v>
      </c>
      <c r="G2836" s="3">
        <v>0</v>
      </c>
      <c r="H2836" s="1">
        <v>0</v>
      </c>
      <c r="I2836" s="1">
        <v>60.739167000000002</v>
      </c>
    </row>
    <row r="2837" spans="1:9" x14ac:dyDescent="0.25">
      <c r="A2837" s="1">
        <v>2130030015</v>
      </c>
      <c r="B2837" s="1" t="s">
        <v>1476</v>
      </c>
      <c r="C2837" s="1" t="s">
        <v>130</v>
      </c>
      <c r="D2837" s="1" t="s">
        <v>131</v>
      </c>
      <c r="E2837" s="1">
        <v>6</v>
      </c>
      <c r="F2837" s="1" t="s">
        <v>36</v>
      </c>
      <c r="G2837" s="1">
        <v>0</v>
      </c>
      <c r="H2837" s="1">
        <v>0</v>
      </c>
      <c r="I2837" s="1">
        <v>269.38333299999999</v>
      </c>
    </row>
    <row r="2838" spans="1:9" x14ac:dyDescent="0.25">
      <c r="A2838" s="1">
        <v>2130030017</v>
      </c>
      <c r="B2838" s="1" t="s">
        <v>1477</v>
      </c>
      <c r="C2838" s="1" t="s">
        <v>130</v>
      </c>
      <c r="D2838" s="1" t="s">
        <v>131</v>
      </c>
      <c r="E2838" s="1">
        <v>18</v>
      </c>
      <c r="F2838" s="1" t="s">
        <v>36</v>
      </c>
      <c r="G2838" s="1">
        <v>0</v>
      </c>
      <c r="H2838" s="1">
        <v>0</v>
      </c>
      <c r="I2838" s="1">
        <v>45.246110999999999</v>
      </c>
    </row>
    <row r="2839" spans="1:9" x14ac:dyDescent="0.25">
      <c r="A2839" s="1">
        <v>2130040058</v>
      </c>
      <c r="B2839" s="1" t="s">
        <v>1478</v>
      </c>
      <c r="C2839" s="1" t="s">
        <v>167</v>
      </c>
      <c r="D2839" s="1" t="s">
        <v>168</v>
      </c>
      <c r="E2839" s="1">
        <v>1</v>
      </c>
      <c r="F2839" s="1" t="s">
        <v>36</v>
      </c>
      <c r="G2839" s="1">
        <v>0</v>
      </c>
      <c r="H2839" s="1">
        <v>0</v>
      </c>
      <c r="I2839" s="1">
        <v>142</v>
      </c>
    </row>
    <row r="2840" spans="1:9" x14ac:dyDescent="0.25">
      <c r="A2840" s="1">
        <v>2130080005</v>
      </c>
      <c r="B2840" s="1" t="s">
        <v>1479</v>
      </c>
      <c r="C2840" s="1" t="s">
        <v>1480</v>
      </c>
      <c r="D2840" s="1" t="s">
        <v>1481</v>
      </c>
      <c r="E2840" s="1">
        <v>0</v>
      </c>
      <c r="F2840" s="1" t="s">
        <v>36</v>
      </c>
      <c r="G2840" s="3">
        <v>0</v>
      </c>
      <c r="H2840" s="1">
        <v>1</v>
      </c>
      <c r="I2840" s="1">
        <v>0</v>
      </c>
    </row>
    <row r="2841" spans="1:9" x14ac:dyDescent="0.25">
      <c r="A2841" s="1">
        <v>2130080006</v>
      </c>
      <c r="B2841" s="1" t="s">
        <v>1482</v>
      </c>
      <c r="C2841" s="1" t="s">
        <v>130</v>
      </c>
      <c r="D2841" s="1" t="s">
        <v>131</v>
      </c>
      <c r="E2841" s="1">
        <v>1</v>
      </c>
      <c r="F2841" s="1" t="s">
        <v>36</v>
      </c>
      <c r="G2841" s="1">
        <v>0</v>
      </c>
      <c r="H2841" s="1">
        <v>0</v>
      </c>
      <c r="I2841" s="1">
        <v>20.149999999999999</v>
      </c>
    </row>
    <row r="2842" spans="1:9" x14ac:dyDescent="0.25">
      <c r="A2842" s="1">
        <v>2130080006</v>
      </c>
      <c r="B2842" s="1" t="s">
        <v>1482</v>
      </c>
      <c r="C2842" s="1" t="s">
        <v>1480</v>
      </c>
      <c r="D2842" s="1" t="s">
        <v>1481</v>
      </c>
      <c r="E2842" s="1">
        <v>0</v>
      </c>
      <c r="F2842" s="1" t="s">
        <v>36</v>
      </c>
      <c r="G2842" s="3">
        <v>0</v>
      </c>
      <c r="H2842" s="1">
        <v>1</v>
      </c>
      <c r="I2842" s="1">
        <v>17.922896000000001</v>
      </c>
    </row>
    <row r="2843" spans="1:9" x14ac:dyDescent="0.25">
      <c r="A2843" s="1">
        <v>2130190137</v>
      </c>
      <c r="B2843" s="1" t="s">
        <v>1483</v>
      </c>
      <c r="C2843" s="1" t="s">
        <v>130</v>
      </c>
      <c r="D2843" s="1" t="s">
        <v>131</v>
      </c>
      <c r="E2843" s="1">
        <v>3</v>
      </c>
      <c r="F2843" s="1" t="s">
        <v>36</v>
      </c>
      <c r="G2843" s="1">
        <v>0</v>
      </c>
      <c r="H2843" s="1">
        <v>0</v>
      </c>
      <c r="I2843" s="1">
        <v>46.756667</v>
      </c>
    </row>
    <row r="2844" spans="1:9" x14ac:dyDescent="0.25">
      <c r="A2844" s="1">
        <v>2130190159</v>
      </c>
      <c r="B2844" s="1" t="s">
        <v>1484</v>
      </c>
      <c r="C2844" s="1" t="s">
        <v>167</v>
      </c>
      <c r="D2844" s="1" t="s">
        <v>168</v>
      </c>
      <c r="E2844" s="1">
        <v>1</v>
      </c>
      <c r="F2844" s="1" t="s">
        <v>36</v>
      </c>
      <c r="G2844" s="1">
        <v>0</v>
      </c>
      <c r="H2844" s="1">
        <v>0</v>
      </c>
      <c r="I2844" s="1">
        <v>180.51</v>
      </c>
    </row>
    <row r="2845" spans="1:9" x14ac:dyDescent="0.25">
      <c r="A2845" s="1">
        <v>2130260001</v>
      </c>
      <c r="B2845" s="1" t="s">
        <v>1485</v>
      </c>
      <c r="C2845" s="1" t="s">
        <v>130</v>
      </c>
      <c r="D2845" s="1" t="s">
        <v>131</v>
      </c>
      <c r="E2845" s="1">
        <v>4</v>
      </c>
      <c r="F2845" s="1" t="s">
        <v>36</v>
      </c>
      <c r="G2845" s="3">
        <v>0</v>
      </c>
      <c r="H2845" s="1">
        <v>0</v>
      </c>
      <c r="I2845" s="1">
        <v>42.022500000000001</v>
      </c>
    </row>
    <row r="2846" spans="1:9" x14ac:dyDescent="0.25">
      <c r="A2846" s="1">
        <v>2130290016</v>
      </c>
      <c r="B2846" s="1" t="s">
        <v>1486</v>
      </c>
      <c r="C2846" s="1" t="s">
        <v>1480</v>
      </c>
      <c r="D2846" s="1" t="s">
        <v>1481</v>
      </c>
      <c r="E2846" s="1">
        <v>1.0034000000000001</v>
      </c>
      <c r="F2846" s="1" t="s">
        <v>36</v>
      </c>
      <c r="G2846" s="1">
        <v>0</v>
      </c>
      <c r="H2846" s="1">
        <v>4</v>
      </c>
      <c r="I2846" s="1">
        <v>51.893562000000003</v>
      </c>
    </row>
    <row r="2847" spans="1:9" x14ac:dyDescent="0.25">
      <c r="A2847" s="1">
        <v>2130290017</v>
      </c>
      <c r="B2847" s="1" t="s">
        <v>1487</v>
      </c>
      <c r="C2847" s="1" t="s">
        <v>1480</v>
      </c>
      <c r="D2847" s="1" t="s">
        <v>1481</v>
      </c>
      <c r="E2847" s="1">
        <v>3.3999999999999998E-3</v>
      </c>
      <c r="F2847" s="1" t="s">
        <v>36</v>
      </c>
      <c r="G2847" s="1">
        <v>0</v>
      </c>
      <c r="H2847" s="1">
        <v>0</v>
      </c>
      <c r="I2847" s="1">
        <v>47.058824000000001</v>
      </c>
    </row>
    <row r="2848" spans="1:9" x14ac:dyDescent="0.25">
      <c r="A2848" s="1">
        <v>2130290027</v>
      </c>
      <c r="B2848" s="1" t="s">
        <v>1488</v>
      </c>
      <c r="C2848" s="1" t="s">
        <v>1480</v>
      </c>
      <c r="D2848" s="1" t="s">
        <v>1481</v>
      </c>
      <c r="E2848" s="1">
        <v>0</v>
      </c>
      <c r="F2848" s="1" t="s">
        <v>36</v>
      </c>
      <c r="G2848" s="1">
        <v>0</v>
      </c>
      <c r="H2848" s="1">
        <v>2</v>
      </c>
      <c r="I2848" s="1">
        <v>35.643234</v>
      </c>
    </row>
    <row r="2849" spans="1:9" x14ac:dyDescent="0.25">
      <c r="A2849" s="1">
        <v>2130440006</v>
      </c>
      <c r="B2849" s="1" t="s">
        <v>1489</v>
      </c>
      <c r="C2849" s="1" t="s">
        <v>130</v>
      </c>
      <c r="D2849" s="1" t="s">
        <v>131</v>
      </c>
      <c r="E2849" s="1">
        <v>3</v>
      </c>
      <c r="F2849" s="1" t="s">
        <v>36</v>
      </c>
      <c r="G2849" s="1">
        <v>0</v>
      </c>
      <c r="H2849" s="1">
        <v>0</v>
      </c>
      <c r="I2849" s="1">
        <v>17.02</v>
      </c>
    </row>
    <row r="2850" spans="1:9" x14ac:dyDescent="0.25">
      <c r="A2850" s="1">
        <v>2130520005</v>
      </c>
      <c r="B2850" s="1" t="s">
        <v>1490</v>
      </c>
      <c r="C2850" s="1" t="s">
        <v>130</v>
      </c>
      <c r="D2850" s="1" t="s">
        <v>131</v>
      </c>
      <c r="E2850" s="1">
        <v>2</v>
      </c>
      <c r="F2850" s="1" t="s">
        <v>36</v>
      </c>
      <c r="G2850" s="1">
        <v>0</v>
      </c>
      <c r="H2850" s="1">
        <v>0</v>
      </c>
      <c r="I2850" s="1">
        <v>51.204999999999998</v>
      </c>
    </row>
    <row r="2851" spans="1:9" x14ac:dyDescent="0.25">
      <c r="A2851" s="1">
        <v>2130590114</v>
      </c>
      <c r="B2851" s="1" t="s">
        <v>1491</v>
      </c>
      <c r="C2851" s="1" t="s">
        <v>1480</v>
      </c>
      <c r="D2851" s="1" t="s">
        <v>1481</v>
      </c>
      <c r="E2851" s="1">
        <v>1</v>
      </c>
      <c r="F2851" s="1" t="s">
        <v>36</v>
      </c>
      <c r="G2851" s="1">
        <v>0</v>
      </c>
      <c r="H2851" s="1">
        <v>0</v>
      </c>
      <c r="I2851" s="1">
        <v>15.82</v>
      </c>
    </row>
    <row r="2852" spans="1:9" x14ac:dyDescent="0.25">
      <c r="A2852" s="1">
        <v>2130590119</v>
      </c>
      <c r="B2852" s="1" t="s">
        <v>1492</v>
      </c>
      <c r="C2852" s="1" t="s">
        <v>1480</v>
      </c>
      <c r="D2852" s="1" t="s">
        <v>1481</v>
      </c>
      <c r="E2852" s="1">
        <v>2</v>
      </c>
      <c r="F2852" s="1" t="s">
        <v>36</v>
      </c>
      <c r="G2852" s="1">
        <v>0</v>
      </c>
      <c r="H2852" s="1">
        <v>0</v>
      </c>
      <c r="I2852" s="1">
        <v>18.04</v>
      </c>
    </row>
    <row r="2853" spans="1:9" x14ac:dyDescent="0.25">
      <c r="A2853" s="1">
        <v>2130590120</v>
      </c>
      <c r="B2853" s="1" t="s">
        <v>1493</v>
      </c>
      <c r="C2853" s="1" t="s">
        <v>1480</v>
      </c>
      <c r="D2853" s="1" t="s">
        <v>1481</v>
      </c>
      <c r="E2853" s="1">
        <v>4</v>
      </c>
      <c r="F2853" s="1" t="s">
        <v>36</v>
      </c>
      <c r="G2853" s="1">
        <v>0</v>
      </c>
      <c r="H2853" s="1">
        <v>0</v>
      </c>
      <c r="I2853" s="1">
        <v>16.767499999999998</v>
      </c>
    </row>
    <row r="2854" spans="1:9" x14ac:dyDescent="0.25">
      <c r="A2854" s="1">
        <v>2130590121</v>
      </c>
      <c r="B2854" s="1" t="s">
        <v>1494</v>
      </c>
      <c r="C2854" s="1" t="s">
        <v>1480</v>
      </c>
      <c r="D2854" s="1" t="s">
        <v>1481</v>
      </c>
      <c r="E2854" s="1">
        <v>1</v>
      </c>
      <c r="F2854" s="1" t="s">
        <v>36</v>
      </c>
      <c r="G2854" s="1">
        <v>0</v>
      </c>
      <c r="H2854" s="1">
        <v>0</v>
      </c>
      <c r="I2854" s="1">
        <v>15.29</v>
      </c>
    </row>
    <row r="2855" spans="1:9" x14ac:dyDescent="0.25">
      <c r="A2855" s="1">
        <v>2130590122</v>
      </c>
      <c r="B2855" s="1" t="s">
        <v>1495</v>
      </c>
      <c r="C2855" s="1" t="s">
        <v>1480</v>
      </c>
      <c r="D2855" s="1" t="s">
        <v>1481</v>
      </c>
      <c r="E2855" s="1">
        <v>4</v>
      </c>
      <c r="F2855" s="1" t="s">
        <v>36</v>
      </c>
      <c r="G2855" s="1">
        <v>0</v>
      </c>
      <c r="H2855" s="1">
        <v>0</v>
      </c>
      <c r="I2855" s="1">
        <v>13.175000000000001</v>
      </c>
    </row>
    <row r="2856" spans="1:9" x14ac:dyDescent="0.25">
      <c r="A2856" s="1">
        <v>2130590123</v>
      </c>
      <c r="B2856" s="1" t="s">
        <v>1496</v>
      </c>
      <c r="C2856" s="1" t="s">
        <v>1480</v>
      </c>
      <c r="D2856" s="1" t="s">
        <v>1481</v>
      </c>
      <c r="E2856" s="1">
        <v>2</v>
      </c>
      <c r="F2856" s="1" t="s">
        <v>36</v>
      </c>
      <c r="G2856" s="1">
        <v>0</v>
      </c>
      <c r="H2856" s="1">
        <v>0</v>
      </c>
      <c r="I2856" s="1">
        <v>14.914999999999999</v>
      </c>
    </row>
    <row r="2857" spans="1:9" x14ac:dyDescent="0.25">
      <c r="A2857" s="1">
        <v>2130590124</v>
      </c>
      <c r="B2857" s="1" t="s">
        <v>1497</v>
      </c>
      <c r="C2857" s="1" t="s">
        <v>1480</v>
      </c>
      <c r="D2857" s="1" t="s">
        <v>1481</v>
      </c>
      <c r="E2857" s="1">
        <v>2</v>
      </c>
      <c r="F2857" s="1" t="s">
        <v>36</v>
      </c>
      <c r="G2857" s="1">
        <v>0</v>
      </c>
      <c r="H2857" s="1">
        <v>0</v>
      </c>
      <c r="I2857" s="1">
        <v>13.29</v>
      </c>
    </row>
    <row r="2858" spans="1:9" x14ac:dyDescent="0.25">
      <c r="A2858" s="1">
        <v>2130590126</v>
      </c>
      <c r="B2858" s="1" t="s">
        <v>1498</v>
      </c>
      <c r="C2858" s="1" t="s">
        <v>1480</v>
      </c>
      <c r="D2858" s="1" t="s">
        <v>1481</v>
      </c>
      <c r="E2858" s="1">
        <v>2</v>
      </c>
      <c r="F2858" s="1" t="s">
        <v>36</v>
      </c>
      <c r="G2858" s="1">
        <v>0</v>
      </c>
      <c r="H2858" s="1">
        <v>0</v>
      </c>
      <c r="I2858" s="1">
        <v>14.08</v>
      </c>
    </row>
    <row r="2859" spans="1:9" x14ac:dyDescent="0.25">
      <c r="A2859" s="1">
        <v>2130590127</v>
      </c>
      <c r="B2859" s="1" t="s">
        <v>1499</v>
      </c>
      <c r="C2859" s="1" t="s">
        <v>1480</v>
      </c>
      <c r="D2859" s="1" t="s">
        <v>1481</v>
      </c>
      <c r="E2859" s="1">
        <v>11</v>
      </c>
      <c r="F2859" s="1" t="s">
        <v>36</v>
      </c>
      <c r="G2859" s="1">
        <v>0</v>
      </c>
      <c r="H2859" s="1">
        <v>0</v>
      </c>
      <c r="I2859" s="1">
        <v>15.975455</v>
      </c>
    </row>
    <row r="2860" spans="1:9" x14ac:dyDescent="0.25">
      <c r="A2860" s="1">
        <v>2130590128</v>
      </c>
      <c r="B2860" s="1" t="s">
        <v>1500</v>
      </c>
      <c r="C2860" s="1" t="s">
        <v>1480</v>
      </c>
      <c r="D2860" s="1" t="s">
        <v>1481</v>
      </c>
      <c r="E2860" s="1">
        <v>1</v>
      </c>
      <c r="F2860" s="1" t="s">
        <v>36</v>
      </c>
      <c r="G2860" s="1">
        <v>0</v>
      </c>
      <c r="H2860" s="1">
        <v>0</v>
      </c>
      <c r="I2860" s="1">
        <v>14.93</v>
      </c>
    </row>
    <row r="2861" spans="1:9" x14ac:dyDescent="0.25">
      <c r="A2861" s="1">
        <v>2130590129</v>
      </c>
      <c r="B2861" s="1" t="s">
        <v>1501</v>
      </c>
      <c r="C2861" s="1" t="s">
        <v>1480</v>
      </c>
      <c r="D2861" s="1" t="s">
        <v>1481</v>
      </c>
      <c r="E2861" s="1">
        <v>2</v>
      </c>
      <c r="F2861" s="1" t="s">
        <v>36</v>
      </c>
      <c r="G2861" s="1">
        <v>0</v>
      </c>
      <c r="H2861" s="1">
        <v>0</v>
      </c>
      <c r="I2861" s="1">
        <v>15.51</v>
      </c>
    </row>
    <row r="2862" spans="1:9" x14ac:dyDescent="0.25">
      <c r="A2862" s="1">
        <v>2130590130</v>
      </c>
      <c r="B2862" s="1" t="s">
        <v>1502</v>
      </c>
      <c r="C2862" s="1" t="s">
        <v>1480</v>
      </c>
      <c r="D2862" s="1" t="s">
        <v>1481</v>
      </c>
      <c r="E2862" s="1">
        <v>3</v>
      </c>
      <c r="F2862" s="1" t="s">
        <v>36</v>
      </c>
      <c r="G2862" s="1">
        <v>0</v>
      </c>
      <c r="H2862" s="1">
        <v>0</v>
      </c>
      <c r="I2862" s="1">
        <v>16.266667000000002</v>
      </c>
    </row>
    <row r="2863" spans="1:9" x14ac:dyDescent="0.25">
      <c r="A2863" s="1">
        <v>2130590131</v>
      </c>
      <c r="B2863" s="1" t="s">
        <v>1503</v>
      </c>
      <c r="C2863" s="1" t="s">
        <v>1480</v>
      </c>
      <c r="D2863" s="1" t="s">
        <v>1481</v>
      </c>
      <c r="E2863" s="1">
        <v>4</v>
      </c>
      <c r="F2863" s="1" t="s">
        <v>36</v>
      </c>
      <c r="G2863" s="1">
        <v>0</v>
      </c>
      <c r="H2863" s="1">
        <v>0</v>
      </c>
      <c r="I2863" s="1">
        <v>17.25</v>
      </c>
    </row>
    <row r="2864" spans="1:9" x14ac:dyDescent="0.25">
      <c r="A2864" s="1">
        <v>2130590132</v>
      </c>
      <c r="B2864" s="1" t="s">
        <v>1504</v>
      </c>
      <c r="C2864" s="1" t="s">
        <v>1480</v>
      </c>
      <c r="D2864" s="1" t="s">
        <v>1481</v>
      </c>
      <c r="E2864" s="1">
        <v>3</v>
      </c>
      <c r="F2864" s="1" t="s">
        <v>36</v>
      </c>
      <c r="G2864" s="1">
        <v>0</v>
      </c>
      <c r="H2864" s="1">
        <v>0</v>
      </c>
      <c r="I2864" s="1">
        <v>15.44</v>
      </c>
    </row>
    <row r="2865" spans="1:9" x14ac:dyDescent="0.25">
      <c r="A2865" s="1">
        <v>2130590137</v>
      </c>
      <c r="B2865" s="1" t="s">
        <v>1505</v>
      </c>
      <c r="C2865" s="1" t="s">
        <v>1480</v>
      </c>
      <c r="D2865" s="1" t="s">
        <v>1481</v>
      </c>
      <c r="E2865" s="1">
        <v>2</v>
      </c>
      <c r="F2865" s="1" t="s">
        <v>36</v>
      </c>
      <c r="G2865" s="1">
        <v>0</v>
      </c>
      <c r="H2865" s="1">
        <v>0</v>
      </c>
      <c r="I2865" s="1">
        <v>13.75</v>
      </c>
    </row>
    <row r="2866" spans="1:9" x14ac:dyDescent="0.25">
      <c r="A2866" s="1">
        <v>2130590139</v>
      </c>
      <c r="B2866" s="1" t="s">
        <v>1506</v>
      </c>
      <c r="C2866" s="1" t="s">
        <v>1480</v>
      </c>
      <c r="D2866" s="1" t="s">
        <v>1481</v>
      </c>
      <c r="E2866" s="1">
        <v>3</v>
      </c>
      <c r="F2866" s="1" t="s">
        <v>36</v>
      </c>
      <c r="G2866" s="1">
        <v>0</v>
      </c>
      <c r="H2866" s="1">
        <v>0</v>
      </c>
      <c r="I2866" s="1">
        <v>17.213332999999999</v>
      </c>
    </row>
    <row r="2867" spans="1:9" x14ac:dyDescent="0.25">
      <c r="A2867" s="1">
        <v>2130590145</v>
      </c>
      <c r="B2867" s="1" t="s">
        <v>1507</v>
      </c>
      <c r="C2867" s="1" t="s">
        <v>1480</v>
      </c>
      <c r="D2867" s="1" t="s">
        <v>1481</v>
      </c>
      <c r="E2867" s="1">
        <v>6</v>
      </c>
      <c r="F2867" s="1" t="s">
        <v>36</v>
      </c>
      <c r="G2867" s="1">
        <v>0</v>
      </c>
      <c r="H2867" s="1">
        <v>0</v>
      </c>
      <c r="I2867" s="1">
        <v>17.61</v>
      </c>
    </row>
    <row r="2868" spans="1:9" x14ac:dyDescent="0.25">
      <c r="A2868" s="1">
        <v>2130590147</v>
      </c>
      <c r="B2868" s="1" t="s">
        <v>1508</v>
      </c>
      <c r="C2868" s="1" t="s">
        <v>1480</v>
      </c>
      <c r="D2868" s="1" t="s">
        <v>1481</v>
      </c>
      <c r="E2868" s="1">
        <v>3</v>
      </c>
      <c r="F2868" s="1" t="s">
        <v>36</v>
      </c>
      <c r="G2868" s="1">
        <v>0</v>
      </c>
      <c r="H2868" s="1">
        <v>0</v>
      </c>
      <c r="I2868" s="1">
        <v>15.573333</v>
      </c>
    </row>
    <row r="2869" spans="1:9" x14ac:dyDescent="0.25">
      <c r="A2869" s="1">
        <v>2130590149</v>
      </c>
      <c r="B2869" s="1" t="s">
        <v>1509</v>
      </c>
      <c r="C2869" s="1" t="s">
        <v>1480</v>
      </c>
      <c r="D2869" s="1" t="s">
        <v>1481</v>
      </c>
      <c r="E2869" s="1">
        <v>2</v>
      </c>
      <c r="F2869" s="1" t="s">
        <v>36</v>
      </c>
      <c r="G2869" s="1">
        <v>0</v>
      </c>
      <c r="H2869" s="1">
        <v>0</v>
      </c>
      <c r="I2869" s="1">
        <v>12.984999999999999</v>
      </c>
    </row>
    <row r="2870" spans="1:9" x14ac:dyDescent="0.25">
      <c r="A2870" s="1">
        <v>2130630031</v>
      </c>
      <c r="B2870" s="1" t="s">
        <v>1510</v>
      </c>
      <c r="C2870" s="1" t="s">
        <v>130</v>
      </c>
      <c r="D2870" s="1" t="s">
        <v>131</v>
      </c>
      <c r="E2870" s="1">
        <v>1</v>
      </c>
      <c r="F2870" s="1" t="s">
        <v>36</v>
      </c>
      <c r="G2870" s="1">
        <v>0</v>
      </c>
      <c r="H2870" s="1">
        <v>0</v>
      </c>
      <c r="I2870" s="1">
        <v>104.74</v>
      </c>
    </row>
    <row r="2871" spans="1:9" x14ac:dyDescent="0.25">
      <c r="A2871" s="1">
        <v>2130630094</v>
      </c>
      <c r="B2871" s="1" t="s">
        <v>1511</v>
      </c>
      <c r="C2871" s="1" t="s">
        <v>1480</v>
      </c>
      <c r="D2871" s="1" t="s">
        <v>1481</v>
      </c>
      <c r="E2871" s="1">
        <v>1</v>
      </c>
      <c r="F2871" s="1" t="s">
        <v>36</v>
      </c>
      <c r="G2871" s="1">
        <v>0</v>
      </c>
      <c r="H2871" s="1">
        <v>0</v>
      </c>
      <c r="I2871" s="1">
        <v>43.25</v>
      </c>
    </row>
    <row r="2872" spans="1:9" x14ac:dyDescent="0.25">
      <c r="A2872" s="1">
        <v>2130640001</v>
      </c>
      <c r="B2872" s="1" t="s">
        <v>1512</v>
      </c>
      <c r="C2872" s="1" t="s">
        <v>130</v>
      </c>
      <c r="D2872" s="1" t="s">
        <v>131</v>
      </c>
      <c r="E2872" s="1">
        <v>15</v>
      </c>
      <c r="F2872" s="1" t="s">
        <v>36</v>
      </c>
      <c r="G2872" s="1">
        <v>0</v>
      </c>
      <c r="H2872" s="3">
        <v>0</v>
      </c>
      <c r="I2872" s="1">
        <v>53.061332999999998</v>
      </c>
    </row>
    <row r="2873" spans="1:9" x14ac:dyDescent="0.25">
      <c r="A2873" s="1">
        <v>2130650006</v>
      </c>
      <c r="B2873" s="1" t="s">
        <v>1513</v>
      </c>
      <c r="C2873" s="1" t="s">
        <v>130</v>
      </c>
      <c r="D2873" s="1" t="s">
        <v>131</v>
      </c>
      <c r="E2873" s="1">
        <v>1</v>
      </c>
      <c r="F2873" s="1" t="s">
        <v>36</v>
      </c>
      <c r="G2873" s="1">
        <v>0</v>
      </c>
      <c r="H2873" s="1">
        <v>0</v>
      </c>
      <c r="I2873" s="1">
        <v>90.07</v>
      </c>
    </row>
    <row r="2874" spans="1:9" x14ac:dyDescent="0.25">
      <c r="A2874" s="1">
        <v>2140010022</v>
      </c>
      <c r="B2874" s="1" t="s">
        <v>1514</v>
      </c>
      <c r="C2874" s="1" t="s">
        <v>130</v>
      </c>
      <c r="D2874" s="1" t="s">
        <v>131</v>
      </c>
      <c r="E2874" s="3">
        <v>5416</v>
      </c>
      <c r="F2874" s="1" t="s">
        <v>36</v>
      </c>
      <c r="G2874" s="1">
        <v>0</v>
      </c>
      <c r="H2874" s="1">
        <v>0</v>
      </c>
      <c r="I2874" s="1">
        <v>0.28542699999999999</v>
      </c>
    </row>
    <row r="2875" spans="1:9" x14ac:dyDescent="0.25">
      <c r="A2875" s="1">
        <v>2140010023</v>
      </c>
      <c r="B2875" s="1" t="s">
        <v>1515</v>
      </c>
      <c r="C2875" s="1" t="s">
        <v>130</v>
      </c>
      <c r="D2875" s="1" t="s">
        <v>131</v>
      </c>
      <c r="E2875" s="3">
        <v>3180</v>
      </c>
      <c r="F2875" s="1" t="s">
        <v>36</v>
      </c>
      <c r="G2875" s="1">
        <v>0</v>
      </c>
      <c r="H2875" s="1">
        <v>0</v>
      </c>
      <c r="I2875" s="1">
        <v>0.27512900000000001</v>
      </c>
    </row>
    <row r="2876" spans="1:9" x14ac:dyDescent="0.25">
      <c r="A2876" s="1">
        <v>2140010024</v>
      </c>
      <c r="B2876" s="1" t="s">
        <v>1516</v>
      </c>
      <c r="C2876" s="1" t="s">
        <v>130</v>
      </c>
      <c r="D2876" s="1" t="s">
        <v>131</v>
      </c>
      <c r="E2876" s="3">
        <v>111336</v>
      </c>
      <c r="F2876" s="1" t="s">
        <v>36</v>
      </c>
      <c r="G2876" s="3">
        <v>48200</v>
      </c>
      <c r="H2876" s="1">
        <v>0</v>
      </c>
      <c r="I2876" s="1">
        <v>0.15019299999999999</v>
      </c>
    </row>
    <row r="2877" spans="1:9" x14ac:dyDescent="0.25">
      <c r="A2877" s="1">
        <v>2140010024</v>
      </c>
      <c r="B2877" s="1" t="s">
        <v>1516</v>
      </c>
      <c r="C2877" s="1" t="s">
        <v>142</v>
      </c>
      <c r="D2877" s="1" t="s">
        <v>143</v>
      </c>
      <c r="E2877" s="3">
        <v>99440</v>
      </c>
      <c r="F2877" s="1" t="s">
        <v>36</v>
      </c>
      <c r="G2877" s="1">
        <v>0</v>
      </c>
      <c r="H2877" s="3">
        <v>48000</v>
      </c>
      <c r="I2877" s="1">
        <v>0.15019299999999999</v>
      </c>
    </row>
    <row r="2878" spans="1:9" x14ac:dyDescent="0.25">
      <c r="A2878" s="1">
        <v>2140010024</v>
      </c>
      <c r="B2878" s="1" t="s">
        <v>1516</v>
      </c>
      <c r="C2878" s="1" t="s">
        <v>137</v>
      </c>
      <c r="D2878" s="1" t="s">
        <v>138</v>
      </c>
      <c r="E2878" s="1">
        <v>0</v>
      </c>
      <c r="F2878" s="1" t="s">
        <v>36</v>
      </c>
      <c r="G2878" s="1">
        <v>0</v>
      </c>
      <c r="H2878" s="1">
        <v>40</v>
      </c>
      <c r="I2878" s="1">
        <v>0.15132200000000001</v>
      </c>
    </row>
    <row r="2879" spans="1:9" x14ac:dyDescent="0.25">
      <c r="A2879" s="1">
        <v>2140010025</v>
      </c>
      <c r="B2879" s="1" t="s">
        <v>1517</v>
      </c>
      <c r="C2879" s="1" t="s">
        <v>130</v>
      </c>
      <c r="D2879" s="1" t="s">
        <v>131</v>
      </c>
      <c r="E2879" s="1">
        <v>0</v>
      </c>
      <c r="F2879" s="1" t="s">
        <v>36</v>
      </c>
      <c r="G2879" s="1">
        <v>800</v>
      </c>
      <c r="H2879" s="1">
        <v>0</v>
      </c>
      <c r="I2879" s="1">
        <v>0.12559999999999999</v>
      </c>
    </row>
    <row r="2880" spans="1:9" x14ac:dyDescent="0.25">
      <c r="A2880" s="1">
        <v>2140010026</v>
      </c>
      <c r="B2880" s="1" t="s">
        <v>1518</v>
      </c>
      <c r="C2880" s="1" t="s">
        <v>130</v>
      </c>
      <c r="D2880" s="1" t="s">
        <v>131</v>
      </c>
      <c r="E2880" s="1">
        <v>0</v>
      </c>
      <c r="F2880" s="1" t="s">
        <v>36</v>
      </c>
      <c r="G2880" s="1">
        <v>6</v>
      </c>
      <c r="H2880" s="1">
        <v>0</v>
      </c>
      <c r="I2880" s="1">
        <v>0</v>
      </c>
    </row>
    <row r="2881" spans="1:9" x14ac:dyDescent="0.25">
      <c r="A2881" s="1">
        <v>2140010026</v>
      </c>
      <c r="B2881" s="1" t="s">
        <v>1518</v>
      </c>
      <c r="C2881" s="1" t="s">
        <v>137</v>
      </c>
      <c r="D2881" s="1" t="s">
        <v>138</v>
      </c>
      <c r="E2881" s="1">
        <v>0</v>
      </c>
      <c r="F2881" s="1" t="s">
        <v>36</v>
      </c>
      <c r="G2881" s="1">
        <v>0</v>
      </c>
      <c r="H2881" s="1">
        <v>6</v>
      </c>
      <c r="I2881" s="1">
        <v>0</v>
      </c>
    </row>
    <row r="2882" spans="1:9" x14ac:dyDescent="0.25">
      <c r="A2882" s="1">
        <v>2140040002</v>
      </c>
      <c r="B2882" s="1" t="s">
        <v>1519</v>
      </c>
      <c r="C2882" s="1" t="s">
        <v>130</v>
      </c>
      <c r="D2882" s="1" t="s">
        <v>131</v>
      </c>
      <c r="E2882" s="3">
        <v>365385.00040000002</v>
      </c>
      <c r="F2882" s="1" t="s">
        <v>36</v>
      </c>
      <c r="G2882" s="3">
        <v>1833</v>
      </c>
      <c r="H2882" s="1">
        <v>0</v>
      </c>
      <c r="I2882" s="1">
        <v>0.67588199999999998</v>
      </c>
    </row>
    <row r="2883" spans="1:9" x14ac:dyDescent="0.25">
      <c r="A2883" s="1">
        <v>2140040002</v>
      </c>
      <c r="B2883" s="1" t="s">
        <v>1519</v>
      </c>
      <c r="C2883" s="1" t="s">
        <v>126</v>
      </c>
      <c r="D2883" s="1" t="s">
        <v>127</v>
      </c>
      <c r="E2883" s="3">
        <v>1249</v>
      </c>
      <c r="F2883" s="1" t="s">
        <v>36</v>
      </c>
      <c r="G2883" s="1">
        <v>0</v>
      </c>
      <c r="H2883" s="1">
        <v>0</v>
      </c>
      <c r="I2883" s="1">
        <v>0.83325099999999996</v>
      </c>
    </row>
    <row r="2884" spans="1:9" x14ac:dyDescent="0.25">
      <c r="A2884" s="1">
        <v>2140040002</v>
      </c>
      <c r="B2884" s="1" t="s">
        <v>1519</v>
      </c>
      <c r="C2884" s="1" t="s">
        <v>137</v>
      </c>
      <c r="D2884" s="1" t="s">
        <v>138</v>
      </c>
      <c r="E2884" s="1">
        <v>92</v>
      </c>
      <c r="F2884" s="1" t="s">
        <v>36</v>
      </c>
      <c r="G2884" s="1">
        <v>0</v>
      </c>
      <c r="H2884" s="1">
        <v>1</v>
      </c>
      <c r="I2884" s="1">
        <v>0.81315199999999999</v>
      </c>
    </row>
    <row r="2885" spans="1:9" x14ac:dyDescent="0.25">
      <c r="A2885" s="1">
        <v>2140040002</v>
      </c>
      <c r="B2885" s="1" t="s">
        <v>1519</v>
      </c>
      <c r="C2885" s="1" t="s">
        <v>151</v>
      </c>
      <c r="D2885" s="1" t="s">
        <v>152</v>
      </c>
      <c r="E2885" s="3">
        <v>10428</v>
      </c>
      <c r="F2885" s="1" t="s">
        <v>36</v>
      </c>
      <c r="G2885" s="1">
        <v>0</v>
      </c>
      <c r="H2885" s="1">
        <v>0</v>
      </c>
      <c r="I2885" s="1">
        <v>0.83335499999999996</v>
      </c>
    </row>
    <row r="2886" spans="1:9" x14ac:dyDescent="0.25">
      <c r="A2886" s="1">
        <v>2140040006</v>
      </c>
      <c r="B2886" s="1" t="s">
        <v>1520</v>
      </c>
      <c r="C2886" s="1" t="s">
        <v>130</v>
      </c>
      <c r="D2886" s="1" t="s">
        <v>131</v>
      </c>
      <c r="E2886" s="1">
        <v>0</v>
      </c>
      <c r="F2886" s="1" t="s">
        <v>36</v>
      </c>
      <c r="G2886" s="1">
        <v>0</v>
      </c>
      <c r="H2886" s="1">
        <v>16</v>
      </c>
      <c r="I2886" s="1">
        <v>0</v>
      </c>
    </row>
    <row r="2887" spans="1:9" x14ac:dyDescent="0.25">
      <c r="A2887" s="1">
        <v>2140040006</v>
      </c>
      <c r="B2887" s="1" t="s">
        <v>1520</v>
      </c>
      <c r="C2887" s="1" t="s">
        <v>126</v>
      </c>
      <c r="D2887" s="1" t="s">
        <v>127</v>
      </c>
      <c r="E2887" s="1">
        <v>3</v>
      </c>
      <c r="F2887" s="1" t="s">
        <v>36</v>
      </c>
      <c r="G2887" s="1">
        <v>0</v>
      </c>
      <c r="H2887" s="1">
        <v>0</v>
      </c>
      <c r="I2887" s="1">
        <v>0.74333300000000002</v>
      </c>
    </row>
    <row r="2888" spans="1:9" x14ac:dyDescent="0.25">
      <c r="A2888" s="1">
        <v>2140040006</v>
      </c>
      <c r="B2888" s="1" t="s">
        <v>1520</v>
      </c>
      <c r="C2888" s="1" t="s">
        <v>139</v>
      </c>
      <c r="D2888" s="1" t="s">
        <v>140</v>
      </c>
      <c r="E2888" s="1">
        <v>16</v>
      </c>
      <c r="F2888" s="1" t="s">
        <v>36</v>
      </c>
      <c r="G2888" s="1">
        <v>16</v>
      </c>
      <c r="H2888" s="1">
        <v>0</v>
      </c>
      <c r="I2888" s="1">
        <v>0.74187499999999995</v>
      </c>
    </row>
    <row r="2889" spans="1:9" x14ac:dyDescent="0.25">
      <c r="A2889" s="1">
        <v>2140040007</v>
      </c>
      <c r="B2889" s="1" t="s">
        <v>1521</v>
      </c>
      <c r="C2889" s="1" t="s">
        <v>130</v>
      </c>
      <c r="D2889" s="1" t="s">
        <v>131</v>
      </c>
      <c r="E2889" s="1">
        <v>0</v>
      </c>
      <c r="F2889" s="1" t="s">
        <v>36</v>
      </c>
      <c r="G2889" s="1">
        <v>0</v>
      </c>
      <c r="H2889" s="1">
        <v>16</v>
      </c>
      <c r="I2889" s="1">
        <v>0</v>
      </c>
    </row>
    <row r="2890" spans="1:9" x14ac:dyDescent="0.25">
      <c r="A2890" s="1">
        <v>2140040007</v>
      </c>
      <c r="B2890" s="1" t="s">
        <v>1521</v>
      </c>
      <c r="C2890" s="1" t="s">
        <v>139</v>
      </c>
      <c r="D2890" s="1" t="s">
        <v>140</v>
      </c>
      <c r="E2890" s="1">
        <v>16</v>
      </c>
      <c r="F2890" s="1" t="s">
        <v>36</v>
      </c>
      <c r="G2890" s="1">
        <v>16</v>
      </c>
      <c r="H2890" s="1">
        <v>0</v>
      </c>
      <c r="I2890" s="1">
        <v>0.75187499999999996</v>
      </c>
    </row>
    <row r="2891" spans="1:9" x14ac:dyDescent="0.25">
      <c r="A2891" s="1">
        <v>2140040008</v>
      </c>
      <c r="B2891" s="1" t="s">
        <v>1522</v>
      </c>
      <c r="C2891" s="1" t="s">
        <v>130</v>
      </c>
      <c r="D2891" s="1" t="s">
        <v>131</v>
      </c>
      <c r="E2891" s="1">
        <v>0</v>
      </c>
      <c r="F2891" s="1" t="s">
        <v>36</v>
      </c>
      <c r="G2891" s="1">
        <v>0</v>
      </c>
      <c r="H2891" s="1">
        <v>8</v>
      </c>
      <c r="I2891" s="1">
        <v>0</v>
      </c>
    </row>
    <row r="2892" spans="1:9" x14ac:dyDescent="0.25">
      <c r="A2892" s="1">
        <v>2140040008</v>
      </c>
      <c r="B2892" s="1" t="s">
        <v>1522</v>
      </c>
      <c r="C2892" s="1" t="s">
        <v>126</v>
      </c>
      <c r="D2892" s="1" t="s">
        <v>127</v>
      </c>
      <c r="E2892" s="1">
        <v>7</v>
      </c>
      <c r="F2892" s="1" t="s">
        <v>36</v>
      </c>
      <c r="G2892" s="1">
        <v>0</v>
      </c>
      <c r="H2892" s="1">
        <v>0</v>
      </c>
      <c r="I2892" s="1">
        <v>0.75142900000000001</v>
      </c>
    </row>
    <row r="2893" spans="1:9" x14ac:dyDescent="0.25">
      <c r="A2893" s="1">
        <v>2140040008</v>
      </c>
      <c r="B2893" s="1" t="s">
        <v>1522</v>
      </c>
      <c r="C2893" s="1" t="s">
        <v>139</v>
      </c>
      <c r="D2893" s="1" t="s">
        <v>140</v>
      </c>
      <c r="E2893" s="1">
        <v>8</v>
      </c>
      <c r="F2893" s="1" t="s">
        <v>36</v>
      </c>
      <c r="G2893" s="1">
        <v>8</v>
      </c>
      <c r="H2893" s="1">
        <v>0</v>
      </c>
      <c r="I2893" s="1">
        <v>0.75249999999999995</v>
      </c>
    </row>
    <row r="2894" spans="1:9" x14ac:dyDescent="0.25">
      <c r="A2894" s="1">
        <v>2140040009</v>
      </c>
      <c r="B2894" s="1" t="s">
        <v>1523</v>
      </c>
      <c r="C2894" s="1" t="s">
        <v>130</v>
      </c>
      <c r="D2894" s="1" t="s">
        <v>131</v>
      </c>
      <c r="E2894" s="1">
        <v>0</v>
      </c>
      <c r="F2894" s="1" t="s">
        <v>36</v>
      </c>
      <c r="G2894" s="1">
        <v>0</v>
      </c>
      <c r="H2894" s="1">
        <v>16</v>
      </c>
      <c r="I2894" s="1">
        <v>0</v>
      </c>
    </row>
    <row r="2895" spans="1:9" x14ac:dyDescent="0.25">
      <c r="A2895" s="1">
        <v>2140040009</v>
      </c>
      <c r="B2895" s="1" t="s">
        <v>1523</v>
      </c>
      <c r="C2895" s="1" t="s">
        <v>139</v>
      </c>
      <c r="D2895" s="1" t="s">
        <v>140</v>
      </c>
      <c r="E2895" s="1">
        <v>16</v>
      </c>
      <c r="F2895" s="1" t="s">
        <v>36</v>
      </c>
      <c r="G2895" s="1">
        <v>16</v>
      </c>
      <c r="H2895" s="1">
        <v>0</v>
      </c>
      <c r="I2895" s="1">
        <v>0.75187499999999996</v>
      </c>
    </row>
    <row r="2896" spans="1:9" x14ac:dyDescent="0.25">
      <c r="A2896" s="1">
        <v>2140040017</v>
      </c>
      <c r="B2896" s="1" t="s">
        <v>1524</v>
      </c>
      <c r="C2896" s="1" t="s">
        <v>130</v>
      </c>
      <c r="D2896" s="1" t="s">
        <v>131</v>
      </c>
      <c r="E2896" s="3">
        <v>77109</v>
      </c>
      <c r="F2896" s="1" t="s">
        <v>36</v>
      </c>
      <c r="G2896" s="1">
        <v>675</v>
      </c>
      <c r="H2896" s="1">
        <v>0</v>
      </c>
      <c r="I2896" s="1">
        <v>0.74222500000000002</v>
      </c>
    </row>
    <row r="2897" spans="1:9" x14ac:dyDescent="0.25">
      <c r="A2897" s="1">
        <v>2140040017</v>
      </c>
      <c r="B2897" s="1" t="s">
        <v>1524</v>
      </c>
      <c r="C2897" s="1" t="s">
        <v>137</v>
      </c>
      <c r="D2897" s="1" t="s">
        <v>138</v>
      </c>
      <c r="E2897" s="1">
        <v>156</v>
      </c>
      <c r="F2897" s="1" t="s">
        <v>36</v>
      </c>
      <c r="G2897" s="1">
        <v>0</v>
      </c>
      <c r="H2897" s="1">
        <v>1</v>
      </c>
      <c r="I2897" s="1">
        <v>0.74134599999999995</v>
      </c>
    </row>
    <row r="2898" spans="1:9" x14ac:dyDescent="0.25">
      <c r="A2898" s="1">
        <v>2140040017</v>
      </c>
      <c r="B2898" s="1" t="s">
        <v>1524</v>
      </c>
      <c r="C2898" s="1" t="s">
        <v>151</v>
      </c>
      <c r="D2898" s="1" t="s">
        <v>152</v>
      </c>
      <c r="E2898" s="3">
        <v>4624</v>
      </c>
      <c r="F2898" s="1" t="s">
        <v>36</v>
      </c>
      <c r="G2898" s="1">
        <v>0</v>
      </c>
      <c r="H2898" s="1">
        <v>0</v>
      </c>
      <c r="I2898" s="1">
        <v>0.741475</v>
      </c>
    </row>
    <row r="2899" spans="1:9" x14ac:dyDescent="0.25">
      <c r="A2899" s="1">
        <v>2140040018</v>
      </c>
      <c r="B2899" s="1" t="s">
        <v>1525</v>
      </c>
      <c r="C2899" s="1" t="s">
        <v>130</v>
      </c>
      <c r="D2899" s="1" t="s">
        <v>131</v>
      </c>
      <c r="E2899" s="3">
        <v>41030</v>
      </c>
      <c r="F2899" s="1" t="s">
        <v>36</v>
      </c>
      <c r="G2899" s="3">
        <v>44580</v>
      </c>
      <c r="H2899" s="1">
        <v>0</v>
      </c>
      <c r="I2899" s="1">
        <v>0.86299999999999999</v>
      </c>
    </row>
    <row r="2900" spans="1:9" x14ac:dyDescent="0.25">
      <c r="A2900" s="1">
        <v>2140040018</v>
      </c>
      <c r="B2900" s="1" t="s">
        <v>1525</v>
      </c>
      <c r="C2900" s="1" t="s">
        <v>258</v>
      </c>
      <c r="D2900" s="1" t="s">
        <v>259</v>
      </c>
      <c r="E2900" s="1">
        <v>36</v>
      </c>
      <c r="F2900" s="1" t="s">
        <v>36</v>
      </c>
      <c r="G2900" s="1">
        <v>0</v>
      </c>
      <c r="H2900" s="1">
        <v>0</v>
      </c>
      <c r="I2900" s="1">
        <v>0.88944400000000001</v>
      </c>
    </row>
    <row r="2901" spans="1:9" x14ac:dyDescent="0.25">
      <c r="A2901" s="1">
        <v>2140040018</v>
      </c>
      <c r="B2901" s="1" t="s">
        <v>1525</v>
      </c>
      <c r="C2901" s="1" t="s">
        <v>137</v>
      </c>
      <c r="D2901" s="1" t="s">
        <v>138</v>
      </c>
      <c r="E2901" s="1">
        <v>86</v>
      </c>
      <c r="F2901" s="1" t="s">
        <v>36</v>
      </c>
      <c r="G2901" s="1">
        <v>0</v>
      </c>
      <c r="H2901" s="1">
        <v>232</v>
      </c>
      <c r="I2901" s="1">
        <v>0.88360499999999997</v>
      </c>
    </row>
    <row r="2902" spans="1:9" x14ac:dyDescent="0.25">
      <c r="A2902" s="1">
        <v>2140040018</v>
      </c>
      <c r="B2902" s="1" t="s">
        <v>1525</v>
      </c>
      <c r="C2902" s="1" t="s">
        <v>151</v>
      </c>
      <c r="D2902" s="1" t="s">
        <v>152</v>
      </c>
      <c r="E2902" s="3">
        <v>3429</v>
      </c>
      <c r="F2902" s="1" t="s">
        <v>36</v>
      </c>
      <c r="G2902" s="1">
        <v>0</v>
      </c>
      <c r="H2902" s="1">
        <v>0</v>
      </c>
      <c r="I2902" s="1">
        <v>0.88956299999999999</v>
      </c>
    </row>
    <row r="2903" spans="1:9" x14ac:dyDescent="0.25">
      <c r="A2903" s="1">
        <v>2140050007</v>
      </c>
      <c r="B2903" s="1" t="s">
        <v>1526</v>
      </c>
      <c r="C2903" s="1" t="s">
        <v>130</v>
      </c>
      <c r="D2903" s="1" t="s">
        <v>131</v>
      </c>
      <c r="E2903" s="1">
        <v>100</v>
      </c>
      <c r="F2903" s="1" t="s">
        <v>36</v>
      </c>
      <c r="G2903" s="1">
        <v>0</v>
      </c>
      <c r="H2903" s="1">
        <v>0</v>
      </c>
      <c r="I2903" s="1">
        <v>5.79E-2</v>
      </c>
    </row>
    <row r="2904" spans="1:9" x14ac:dyDescent="0.25">
      <c r="A2904" s="1">
        <v>2140050009</v>
      </c>
      <c r="B2904" s="1" t="s">
        <v>1527</v>
      </c>
      <c r="C2904" s="1" t="s">
        <v>130</v>
      </c>
      <c r="D2904" s="1" t="s">
        <v>131</v>
      </c>
      <c r="E2904" s="1">
        <v>400</v>
      </c>
      <c r="F2904" s="1" t="s">
        <v>36</v>
      </c>
      <c r="G2904" s="1">
        <v>0</v>
      </c>
      <c r="H2904" s="1">
        <v>0</v>
      </c>
      <c r="I2904" s="1">
        <v>6.1725000000000002E-2</v>
      </c>
    </row>
    <row r="2905" spans="1:9" x14ac:dyDescent="0.25">
      <c r="A2905" s="1">
        <v>2140050011</v>
      </c>
      <c r="B2905" s="1" t="s">
        <v>1528</v>
      </c>
      <c r="C2905" s="1" t="s">
        <v>130</v>
      </c>
      <c r="D2905" s="1" t="s">
        <v>131</v>
      </c>
      <c r="E2905" s="1">
        <v>100</v>
      </c>
      <c r="F2905" s="1" t="s">
        <v>36</v>
      </c>
      <c r="G2905" s="1">
        <v>0</v>
      </c>
      <c r="H2905" s="1">
        <v>0</v>
      </c>
      <c r="I2905" s="1">
        <v>5.1200000000000002E-2</v>
      </c>
    </row>
    <row r="2906" spans="1:9" x14ac:dyDescent="0.25">
      <c r="A2906" s="1">
        <v>2140070001</v>
      </c>
      <c r="B2906" s="1" t="s">
        <v>1529</v>
      </c>
      <c r="C2906" s="1" t="s">
        <v>130</v>
      </c>
      <c r="D2906" s="1" t="s">
        <v>131</v>
      </c>
      <c r="E2906" s="3">
        <v>2865</v>
      </c>
      <c r="F2906" s="1" t="s">
        <v>36</v>
      </c>
      <c r="G2906" s="1">
        <v>0</v>
      </c>
      <c r="H2906" s="1">
        <v>0</v>
      </c>
      <c r="I2906" s="1">
        <v>0.29824800000000001</v>
      </c>
    </row>
    <row r="2907" spans="1:9" x14ac:dyDescent="0.25">
      <c r="A2907" s="1">
        <v>2140080011</v>
      </c>
      <c r="B2907" s="1" t="s">
        <v>333</v>
      </c>
      <c r="C2907" s="1" t="s">
        <v>130</v>
      </c>
      <c r="D2907" s="1" t="s">
        <v>131</v>
      </c>
      <c r="E2907" s="1">
        <v>1</v>
      </c>
      <c r="F2907" s="1" t="s">
        <v>36</v>
      </c>
      <c r="G2907" s="1">
        <v>0</v>
      </c>
      <c r="H2907" s="1">
        <v>1</v>
      </c>
      <c r="I2907" s="1">
        <v>1.75</v>
      </c>
    </row>
    <row r="2908" spans="1:9" x14ac:dyDescent="0.25">
      <c r="A2908" s="1">
        <v>2140080011</v>
      </c>
      <c r="B2908" s="1" t="s">
        <v>333</v>
      </c>
      <c r="C2908" s="1" t="s">
        <v>126</v>
      </c>
      <c r="D2908" s="1" t="s">
        <v>127</v>
      </c>
      <c r="E2908" s="1">
        <v>11</v>
      </c>
      <c r="F2908" s="1" t="s">
        <v>36</v>
      </c>
      <c r="G2908" s="1">
        <v>0</v>
      </c>
      <c r="H2908" s="1">
        <v>0</v>
      </c>
      <c r="I2908" s="1">
        <v>1.745455</v>
      </c>
    </row>
    <row r="2909" spans="1:9" x14ac:dyDescent="0.25">
      <c r="A2909" s="1">
        <v>2140080011</v>
      </c>
      <c r="B2909" s="1" t="s">
        <v>333</v>
      </c>
      <c r="C2909" s="1" t="s">
        <v>139</v>
      </c>
      <c r="D2909" s="1" t="s">
        <v>140</v>
      </c>
      <c r="E2909" s="1">
        <v>1</v>
      </c>
      <c r="F2909" s="1" t="s">
        <v>36</v>
      </c>
      <c r="G2909" s="1">
        <v>1</v>
      </c>
      <c r="H2909" s="1">
        <v>0</v>
      </c>
      <c r="I2909" s="1">
        <v>1.75</v>
      </c>
    </row>
    <row r="2910" spans="1:9" x14ac:dyDescent="0.25">
      <c r="A2910" s="1">
        <v>2140080012</v>
      </c>
      <c r="B2910" s="1" t="s">
        <v>334</v>
      </c>
      <c r="C2910" s="1" t="s">
        <v>130</v>
      </c>
      <c r="D2910" s="1" t="s">
        <v>131</v>
      </c>
      <c r="E2910" s="1">
        <v>12</v>
      </c>
      <c r="F2910" s="1" t="s">
        <v>36</v>
      </c>
      <c r="G2910" s="1">
        <v>0</v>
      </c>
      <c r="H2910" s="1">
        <v>47</v>
      </c>
      <c r="I2910" s="1">
        <v>1.905</v>
      </c>
    </row>
    <row r="2911" spans="1:9" x14ac:dyDescent="0.25">
      <c r="A2911" s="1">
        <v>2140080012</v>
      </c>
      <c r="B2911" s="1" t="s">
        <v>334</v>
      </c>
      <c r="C2911" s="1" t="s">
        <v>126</v>
      </c>
      <c r="D2911" s="1" t="s">
        <v>127</v>
      </c>
      <c r="E2911" s="1">
        <v>48</v>
      </c>
      <c r="F2911" s="1" t="s">
        <v>36</v>
      </c>
      <c r="G2911" s="1">
        <v>0</v>
      </c>
      <c r="H2911" s="1">
        <v>0</v>
      </c>
      <c r="I2911" s="1">
        <v>1.9054169999999999</v>
      </c>
    </row>
    <row r="2912" spans="1:9" x14ac:dyDescent="0.25">
      <c r="A2912" s="1">
        <v>2140080012</v>
      </c>
      <c r="B2912" s="1" t="s">
        <v>334</v>
      </c>
      <c r="C2912" s="1" t="s">
        <v>139</v>
      </c>
      <c r="D2912" s="1" t="s">
        <v>140</v>
      </c>
      <c r="E2912" s="1">
        <v>47</v>
      </c>
      <c r="F2912" s="1" t="s">
        <v>36</v>
      </c>
      <c r="G2912" s="1">
        <v>47</v>
      </c>
      <c r="H2912" s="1">
        <v>0</v>
      </c>
      <c r="I2912" s="1">
        <v>1.905319</v>
      </c>
    </row>
    <row r="2913" spans="1:9" x14ac:dyDescent="0.25">
      <c r="A2913" s="1">
        <v>2140080013</v>
      </c>
      <c r="B2913" s="1" t="s">
        <v>335</v>
      </c>
      <c r="C2913" s="1" t="s">
        <v>130</v>
      </c>
      <c r="D2913" s="1" t="s">
        <v>131</v>
      </c>
      <c r="E2913" s="3">
        <v>3145</v>
      </c>
      <c r="F2913" s="1" t="s">
        <v>36</v>
      </c>
      <c r="G2913" s="1">
        <v>0</v>
      </c>
      <c r="H2913" s="1">
        <v>0</v>
      </c>
      <c r="I2913" s="1">
        <v>2.305825</v>
      </c>
    </row>
    <row r="2914" spans="1:9" x14ac:dyDescent="0.25">
      <c r="A2914" s="1">
        <v>2140080014</v>
      </c>
      <c r="B2914" s="1" t="s">
        <v>336</v>
      </c>
      <c r="C2914" s="1" t="s">
        <v>130</v>
      </c>
      <c r="D2914" s="1" t="s">
        <v>131</v>
      </c>
      <c r="E2914" s="1">
        <v>9</v>
      </c>
      <c r="F2914" s="1" t="s">
        <v>36</v>
      </c>
      <c r="G2914" s="1">
        <v>0</v>
      </c>
      <c r="H2914" s="1">
        <v>0</v>
      </c>
      <c r="I2914" s="1">
        <v>1.5311110000000001</v>
      </c>
    </row>
    <row r="2915" spans="1:9" x14ac:dyDescent="0.25">
      <c r="A2915" s="1">
        <v>2140080014</v>
      </c>
      <c r="B2915" s="1" t="s">
        <v>336</v>
      </c>
      <c r="C2915" s="1" t="s">
        <v>126</v>
      </c>
      <c r="D2915" s="1" t="s">
        <v>127</v>
      </c>
      <c r="E2915" s="1">
        <v>2</v>
      </c>
      <c r="F2915" s="1" t="s">
        <v>36</v>
      </c>
      <c r="G2915" s="1">
        <v>0</v>
      </c>
      <c r="H2915" s="1">
        <v>0</v>
      </c>
      <c r="I2915" s="1">
        <v>1.53</v>
      </c>
    </row>
    <row r="2916" spans="1:9" x14ac:dyDescent="0.25">
      <c r="A2916" s="1">
        <v>2140080016</v>
      </c>
      <c r="B2916" s="1" t="s">
        <v>338</v>
      </c>
      <c r="C2916" s="1" t="s">
        <v>130</v>
      </c>
      <c r="D2916" s="1" t="s">
        <v>131</v>
      </c>
      <c r="E2916" s="1">
        <v>153</v>
      </c>
      <c r="F2916" s="1" t="s">
        <v>36</v>
      </c>
      <c r="G2916" s="1">
        <v>0</v>
      </c>
      <c r="H2916" s="1">
        <v>3</v>
      </c>
      <c r="I2916" s="1">
        <v>1.899346</v>
      </c>
    </row>
    <row r="2917" spans="1:9" x14ac:dyDescent="0.25">
      <c r="A2917" s="1">
        <v>2140080016</v>
      </c>
      <c r="B2917" s="1" t="s">
        <v>338</v>
      </c>
      <c r="C2917" s="1" t="s">
        <v>126</v>
      </c>
      <c r="D2917" s="1" t="s">
        <v>127</v>
      </c>
      <c r="E2917" s="1">
        <v>14</v>
      </c>
      <c r="F2917" s="1" t="s">
        <v>36</v>
      </c>
      <c r="G2917" s="1">
        <v>0</v>
      </c>
      <c r="H2917" s="1">
        <v>0</v>
      </c>
      <c r="I2917" s="1">
        <v>1.899286</v>
      </c>
    </row>
    <row r="2918" spans="1:9" x14ac:dyDescent="0.25">
      <c r="A2918" s="1">
        <v>2140080016</v>
      </c>
      <c r="B2918" s="1" t="s">
        <v>338</v>
      </c>
      <c r="C2918" s="1" t="s">
        <v>139</v>
      </c>
      <c r="D2918" s="1" t="s">
        <v>140</v>
      </c>
      <c r="E2918" s="1">
        <v>3</v>
      </c>
      <c r="F2918" s="1" t="s">
        <v>36</v>
      </c>
      <c r="G2918" s="1">
        <v>3</v>
      </c>
      <c r="H2918" s="1">
        <v>0</v>
      </c>
      <c r="I2918" s="1">
        <v>1.9</v>
      </c>
    </row>
    <row r="2919" spans="1:9" x14ac:dyDescent="0.25">
      <c r="A2919" s="1">
        <v>2140080017</v>
      </c>
      <c r="B2919" s="1" t="s">
        <v>1530</v>
      </c>
      <c r="C2919" s="1" t="s">
        <v>130</v>
      </c>
      <c r="D2919" s="1" t="s">
        <v>131</v>
      </c>
      <c r="E2919" s="1">
        <v>0</v>
      </c>
      <c r="F2919" s="1" t="s">
        <v>36</v>
      </c>
      <c r="G2919" s="1">
        <v>0</v>
      </c>
      <c r="H2919" s="1">
        <v>11</v>
      </c>
      <c r="I2919" s="1">
        <v>0</v>
      </c>
    </row>
    <row r="2920" spans="1:9" x14ac:dyDescent="0.25">
      <c r="A2920" s="1">
        <v>2140080017</v>
      </c>
      <c r="B2920" s="1" t="s">
        <v>1530</v>
      </c>
      <c r="C2920" s="1" t="s">
        <v>139</v>
      </c>
      <c r="D2920" s="1" t="s">
        <v>140</v>
      </c>
      <c r="E2920" s="1">
        <v>11</v>
      </c>
      <c r="F2920" s="1" t="s">
        <v>36</v>
      </c>
      <c r="G2920" s="1">
        <v>11</v>
      </c>
      <c r="H2920" s="1">
        <v>0</v>
      </c>
      <c r="I2920" s="1">
        <v>4.2745449999999998</v>
      </c>
    </row>
    <row r="2921" spans="1:9" x14ac:dyDescent="0.25">
      <c r="A2921" s="1">
        <v>2140080018</v>
      </c>
      <c r="B2921" s="1" t="s">
        <v>1531</v>
      </c>
      <c r="C2921" s="1" t="s">
        <v>130</v>
      </c>
      <c r="D2921" s="1" t="s">
        <v>131</v>
      </c>
      <c r="E2921" s="1">
        <v>0</v>
      </c>
      <c r="F2921" s="1" t="s">
        <v>36</v>
      </c>
      <c r="G2921" s="1">
        <v>0</v>
      </c>
      <c r="H2921" s="1">
        <v>26</v>
      </c>
      <c r="I2921" s="1">
        <v>0</v>
      </c>
    </row>
    <row r="2922" spans="1:9" x14ac:dyDescent="0.25">
      <c r="A2922" s="1">
        <v>2140080018</v>
      </c>
      <c r="B2922" s="1" t="s">
        <v>1531</v>
      </c>
      <c r="C2922" s="1" t="s">
        <v>139</v>
      </c>
      <c r="D2922" s="1" t="s">
        <v>140</v>
      </c>
      <c r="E2922" s="1">
        <v>26</v>
      </c>
      <c r="F2922" s="1" t="s">
        <v>36</v>
      </c>
      <c r="G2922" s="1">
        <v>26</v>
      </c>
      <c r="H2922" s="1">
        <v>0</v>
      </c>
      <c r="I2922" s="1">
        <v>5.3188459999999997</v>
      </c>
    </row>
    <row r="2923" spans="1:9" x14ac:dyDescent="0.25">
      <c r="A2923" s="1">
        <v>2140090010</v>
      </c>
      <c r="B2923" s="1" t="s">
        <v>1532</v>
      </c>
      <c r="C2923" s="1" t="s">
        <v>126</v>
      </c>
      <c r="D2923" s="1" t="s">
        <v>127</v>
      </c>
      <c r="E2923" s="3">
        <v>1498</v>
      </c>
      <c r="F2923" s="1" t="s">
        <v>36</v>
      </c>
      <c r="G2923" s="1">
        <v>0</v>
      </c>
      <c r="H2923" s="1">
        <v>0</v>
      </c>
      <c r="I2923" s="1">
        <v>1.3856539999999999</v>
      </c>
    </row>
    <row r="2924" spans="1:9" x14ac:dyDescent="0.25">
      <c r="A2924" s="1">
        <v>2140090012</v>
      </c>
      <c r="B2924" s="1" t="s">
        <v>339</v>
      </c>
      <c r="C2924" s="1" t="s">
        <v>130</v>
      </c>
      <c r="D2924" s="1" t="s">
        <v>131</v>
      </c>
      <c r="E2924" s="1">
        <v>737</v>
      </c>
      <c r="F2924" s="1" t="s">
        <v>36</v>
      </c>
      <c r="G2924" s="1">
        <v>0</v>
      </c>
      <c r="H2924" s="1">
        <v>0</v>
      </c>
      <c r="I2924" s="1">
        <v>0.95758500000000002</v>
      </c>
    </row>
    <row r="2925" spans="1:9" x14ac:dyDescent="0.25">
      <c r="A2925" s="1">
        <v>2140090013</v>
      </c>
      <c r="B2925" s="1" t="s">
        <v>340</v>
      </c>
      <c r="C2925" s="1" t="s">
        <v>130</v>
      </c>
      <c r="D2925" s="1" t="s">
        <v>131</v>
      </c>
      <c r="E2925" s="1">
        <v>0</v>
      </c>
      <c r="F2925" s="1" t="s">
        <v>36</v>
      </c>
      <c r="G2925" s="1">
        <v>0</v>
      </c>
      <c r="H2925" s="1">
        <v>1</v>
      </c>
      <c r="I2925" s="1">
        <v>0</v>
      </c>
    </row>
    <row r="2926" spans="1:9" x14ac:dyDescent="0.25">
      <c r="A2926" s="1">
        <v>2140090013</v>
      </c>
      <c r="B2926" s="1" t="s">
        <v>340</v>
      </c>
      <c r="C2926" s="1" t="s">
        <v>126</v>
      </c>
      <c r="D2926" s="1" t="s">
        <v>127</v>
      </c>
      <c r="E2926" s="1">
        <v>1</v>
      </c>
      <c r="F2926" s="1" t="s">
        <v>36</v>
      </c>
      <c r="G2926" s="1">
        <v>0</v>
      </c>
      <c r="H2926" s="1">
        <v>0</v>
      </c>
      <c r="I2926" s="1">
        <v>1.69</v>
      </c>
    </row>
    <row r="2927" spans="1:9" x14ac:dyDescent="0.25">
      <c r="A2927" s="1">
        <v>2140090013</v>
      </c>
      <c r="B2927" s="1" t="s">
        <v>340</v>
      </c>
      <c r="C2927" s="1" t="s">
        <v>139</v>
      </c>
      <c r="D2927" s="1" t="s">
        <v>140</v>
      </c>
      <c r="E2927" s="1">
        <v>1</v>
      </c>
      <c r="F2927" s="1" t="s">
        <v>36</v>
      </c>
      <c r="G2927" s="3">
        <v>1</v>
      </c>
      <c r="H2927" s="1">
        <v>0</v>
      </c>
      <c r="I2927" s="1">
        <v>1.69</v>
      </c>
    </row>
    <row r="2928" spans="1:9" x14ac:dyDescent="0.25">
      <c r="A2928" s="1">
        <v>2140090014</v>
      </c>
      <c r="B2928" s="1" t="s">
        <v>341</v>
      </c>
      <c r="C2928" s="1" t="s">
        <v>130</v>
      </c>
      <c r="D2928" s="1" t="s">
        <v>131</v>
      </c>
      <c r="E2928" s="1">
        <v>408</v>
      </c>
      <c r="F2928" s="1" t="s">
        <v>36</v>
      </c>
      <c r="G2928" s="1">
        <v>0</v>
      </c>
      <c r="H2928" s="1">
        <v>0</v>
      </c>
      <c r="I2928" s="1">
        <v>1.4413480000000001</v>
      </c>
    </row>
    <row r="2929" spans="1:9" x14ac:dyDescent="0.25">
      <c r="A2929" s="1">
        <v>2140090014</v>
      </c>
      <c r="B2929" s="1" t="s">
        <v>341</v>
      </c>
      <c r="C2929" s="1" t="s">
        <v>126</v>
      </c>
      <c r="D2929" s="1" t="s">
        <v>127</v>
      </c>
      <c r="E2929" s="1">
        <v>63</v>
      </c>
      <c r="F2929" s="1" t="s">
        <v>36</v>
      </c>
      <c r="G2929" s="1">
        <v>0</v>
      </c>
      <c r="H2929" s="1">
        <v>0</v>
      </c>
      <c r="I2929" s="1">
        <v>1.4412700000000001</v>
      </c>
    </row>
    <row r="2930" spans="1:9" x14ac:dyDescent="0.25">
      <c r="A2930" s="1">
        <v>2140100001</v>
      </c>
      <c r="B2930" s="1" t="s">
        <v>1533</v>
      </c>
      <c r="C2930" s="1" t="s">
        <v>130</v>
      </c>
      <c r="D2930" s="1" t="s">
        <v>131</v>
      </c>
      <c r="E2930" s="1">
        <v>0</v>
      </c>
      <c r="F2930" s="1" t="s">
        <v>36</v>
      </c>
      <c r="G2930" s="1">
        <v>0</v>
      </c>
      <c r="H2930" s="1">
        <v>212</v>
      </c>
      <c r="I2930" s="1">
        <v>0</v>
      </c>
    </row>
    <row r="2931" spans="1:9" x14ac:dyDescent="0.25">
      <c r="A2931" s="1">
        <v>2140100001</v>
      </c>
      <c r="B2931" s="1" t="s">
        <v>1533</v>
      </c>
      <c r="C2931" s="1" t="s">
        <v>139</v>
      </c>
      <c r="D2931" s="1" t="s">
        <v>140</v>
      </c>
      <c r="E2931" s="1">
        <v>212</v>
      </c>
      <c r="F2931" s="1" t="s">
        <v>36</v>
      </c>
      <c r="G2931" s="1">
        <v>212</v>
      </c>
      <c r="H2931" s="1">
        <v>0</v>
      </c>
      <c r="I2931" s="1">
        <v>6.6156129999999997</v>
      </c>
    </row>
    <row r="2932" spans="1:9" x14ac:dyDescent="0.25">
      <c r="A2932" s="1">
        <v>2140100012</v>
      </c>
      <c r="B2932" s="1" t="s">
        <v>1534</v>
      </c>
      <c r="C2932" s="1" t="s">
        <v>130</v>
      </c>
      <c r="D2932" s="1" t="s">
        <v>131</v>
      </c>
      <c r="E2932" s="1">
        <v>0</v>
      </c>
      <c r="F2932" s="1" t="s">
        <v>36</v>
      </c>
      <c r="G2932" s="1">
        <v>0</v>
      </c>
      <c r="H2932" s="1">
        <v>20</v>
      </c>
      <c r="I2932" s="1">
        <v>0</v>
      </c>
    </row>
    <row r="2933" spans="1:9" x14ac:dyDescent="0.25">
      <c r="A2933" s="1">
        <v>2140100012</v>
      </c>
      <c r="B2933" s="1" t="s">
        <v>1534</v>
      </c>
      <c r="C2933" s="1" t="s">
        <v>139</v>
      </c>
      <c r="D2933" s="1" t="s">
        <v>140</v>
      </c>
      <c r="E2933" s="1">
        <v>20</v>
      </c>
      <c r="F2933" s="1" t="s">
        <v>36</v>
      </c>
      <c r="G2933" s="1">
        <v>20</v>
      </c>
      <c r="H2933" s="1">
        <v>0</v>
      </c>
      <c r="I2933" s="1">
        <v>7.45</v>
      </c>
    </row>
    <row r="2934" spans="1:9" x14ac:dyDescent="0.25">
      <c r="A2934" s="1">
        <v>2140100015</v>
      </c>
      <c r="B2934" s="1" t="s">
        <v>1535</v>
      </c>
      <c r="C2934" s="1" t="s">
        <v>130</v>
      </c>
      <c r="D2934" s="1" t="s">
        <v>131</v>
      </c>
      <c r="E2934" s="1">
        <v>66</v>
      </c>
      <c r="F2934" s="1" t="s">
        <v>36</v>
      </c>
      <c r="G2934" s="1">
        <v>0</v>
      </c>
      <c r="H2934" s="1">
        <v>0</v>
      </c>
      <c r="I2934" s="1">
        <v>5.4583329999999997</v>
      </c>
    </row>
    <row r="2935" spans="1:9" x14ac:dyDescent="0.25">
      <c r="A2935" s="1">
        <v>2140100020</v>
      </c>
      <c r="B2935" s="1" t="s">
        <v>1536</v>
      </c>
      <c r="C2935" s="1" t="s">
        <v>130</v>
      </c>
      <c r="D2935" s="1" t="s">
        <v>131</v>
      </c>
      <c r="E2935" s="1">
        <v>23</v>
      </c>
      <c r="F2935" s="1" t="s">
        <v>36</v>
      </c>
      <c r="G2935" s="1">
        <v>0</v>
      </c>
      <c r="H2935" s="1">
        <v>0</v>
      </c>
      <c r="I2935" s="1">
        <v>6.6982609999999996</v>
      </c>
    </row>
    <row r="2936" spans="1:9" x14ac:dyDescent="0.25">
      <c r="A2936" s="1">
        <v>2140110015</v>
      </c>
      <c r="B2936" s="1" t="s">
        <v>1537</v>
      </c>
      <c r="C2936" s="1" t="s">
        <v>126</v>
      </c>
      <c r="D2936" s="1" t="s">
        <v>127</v>
      </c>
      <c r="E2936" s="1">
        <v>110</v>
      </c>
      <c r="F2936" s="1" t="s">
        <v>36</v>
      </c>
      <c r="G2936" s="3">
        <v>0</v>
      </c>
      <c r="H2936" s="1">
        <v>0</v>
      </c>
      <c r="I2936" s="1">
        <v>1.9832730000000001</v>
      </c>
    </row>
    <row r="2937" spans="1:9" x14ac:dyDescent="0.25">
      <c r="A2937" s="1">
        <v>2140110015</v>
      </c>
      <c r="B2937" s="1" t="s">
        <v>1537</v>
      </c>
      <c r="C2937" s="1" t="s">
        <v>157</v>
      </c>
      <c r="D2937" s="1" t="s">
        <v>158</v>
      </c>
      <c r="E2937" s="1">
        <v>7</v>
      </c>
      <c r="F2937" s="1" t="s">
        <v>36</v>
      </c>
      <c r="G2937" s="1">
        <v>0</v>
      </c>
      <c r="H2937" s="1">
        <v>0</v>
      </c>
      <c r="I2937" s="1">
        <v>1.9828570000000001</v>
      </c>
    </row>
    <row r="2938" spans="1:9" x14ac:dyDescent="0.25">
      <c r="A2938" s="1">
        <v>2140110016</v>
      </c>
      <c r="B2938" s="1" t="s">
        <v>1538</v>
      </c>
      <c r="C2938" s="1" t="s">
        <v>157</v>
      </c>
      <c r="D2938" s="1" t="s">
        <v>158</v>
      </c>
      <c r="E2938" s="3">
        <v>2005</v>
      </c>
      <c r="F2938" s="1" t="s">
        <v>36</v>
      </c>
      <c r="G2938" s="1">
        <v>0</v>
      </c>
      <c r="H2938" s="1">
        <v>0</v>
      </c>
      <c r="I2938" s="1">
        <v>1.9833019999999999</v>
      </c>
    </row>
    <row r="2939" spans="1:9" x14ac:dyDescent="0.25">
      <c r="A2939" s="1">
        <v>2140110018</v>
      </c>
      <c r="B2939" s="1" t="s">
        <v>1539</v>
      </c>
      <c r="C2939" s="1" t="s">
        <v>157</v>
      </c>
      <c r="D2939" s="1" t="s">
        <v>158</v>
      </c>
      <c r="E2939" s="1">
        <v>9</v>
      </c>
      <c r="F2939" s="1" t="s">
        <v>36</v>
      </c>
      <c r="G2939" s="1">
        <v>0</v>
      </c>
      <c r="H2939" s="1">
        <v>0</v>
      </c>
      <c r="I2939" s="1">
        <v>1.941111</v>
      </c>
    </row>
    <row r="2940" spans="1:9" x14ac:dyDescent="0.25">
      <c r="A2940" s="1">
        <v>2140110019</v>
      </c>
      <c r="B2940" s="1" t="s">
        <v>1540</v>
      </c>
      <c r="C2940" s="1" t="s">
        <v>130</v>
      </c>
      <c r="D2940" s="1" t="s">
        <v>131</v>
      </c>
      <c r="E2940" s="1">
        <v>46</v>
      </c>
      <c r="F2940" s="1" t="s">
        <v>36</v>
      </c>
      <c r="G2940" s="1">
        <v>0</v>
      </c>
      <c r="H2940" s="1">
        <v>0</v>
      </c>
      <c r="I2940" s="1">
        <v>1.968043</v>
      </c>
    </row>
    <row r="2941" spans="1:9" x14ac:dyDescent="0.25">
      <c r="A2941" s="1">
        <v>2140110020</v>
      </c>
      <c r="B2941" s="1" t="s">
        <v>1541</v>
      </c>
      <c r="C2941" s="1" t="s">
        <v>130</v>
      </c>
      <c r="D2941" s="1" t="s">
        <v>131</v>
      </c>
      <c r="E2941" s="1">
        <v>549</v>
      </c>
      <c r="F2941" s="1" t="s">
        <v>36</v>
      </c>
      <c r="G2941" s="1">
        <v>0</v>
      </c>
      <c r="H2941" s="1">
        <v>0</v>
      </c>
      <c r="I2941" s="1">
        <v>1.983333</v>
      </c>
    </row>
    <row r="2942" spans="1:9" x14ac:dyDescent="0.25">
      <c r="A2942" s="1">
        <v>2140110025</v>
      </c>
      <c r="B2942" s="1" t="s">
        <v>1542</v>
      </c>
      <c r="C2942" s="1" t="s">
        <v>126</v>
      </c>
      <c r="D2942" s="1" t="s">
        <v>127</v>
      </c>
      <c r="E2942" s="1">
        <v>1</v>
      </c>
      <c r="F2942" s="1" t="s">
        <v>36</v>
      </c>
      <c r="G2942" s="1">
        <v>0</v>
      </c>
      <c r="H2942" s="1">
        <v>0</v>
      </c>
      <c r="I2942" s="1">
        <v>1.98</v>
      </c>
    </row>
    <row r="2943" spans="1:9" x14ac:dyDescent="0.25">
      <c r="A2943" s="1">
        <v>2140110042</v>
      </c>
      <c r="B2943" s="1" t="s">
        <v>1543</v>
      </c>
      <c r="C2943" s="1" t="s">
        <v>130</v>
      </c>
      <c r="D2943" s="1" t="s">
        <v>131</v>
      </c>
      <c r="E2943" s="1">
        <v>25</v>
      </c>
      <c r="F2943" s="1" t="s">
        <v>36</v>
      </c>
      <c r="G2943" s="1">
        <v>0</v>
      </c>
      <c r="H2943" s="1">
        <v>0</v>
      </c>
      <c r="I2943" s="1">
        <v>0.55600000000000005</v>
      </c>
    </row>
    <row r="2944" spans="1:9" x14ac:dyDescent="0.25">
      <c r="A2944" s="1">
        <v>2140110044</v>
      </c>
      <c r="B2944" s="1" t="s">
        <v>1544</v>
      </c>
      <c r="C2944" s="1" t="s">
        <v>126</v>
      </c>
      <c r="D2944" s="1" t="s">
        <v>127</v>
      </c>
      <c r="E2944" s="1">
        <v>21</v>
      </c>
      <c r="F2944" s="1" t="s">
        <v>36</v>
      </c>
      <c r="G2944" s="1">
        <v>0</v>
      </c>
      <c r="H2944" s="1">
        <v>0</v>
      </c>
      <c r="I2944" s="1">
        <v>1.5942860000000001</v>
      </c>
    </row>
    <row r="2945" spans="1:9" x14ac:dyDescent="0.25">
      <c r="A2945" s="1">
        <v>2140110044</v>
      </c>
      <c r="B2945" s="1" t="s">
        <v>1544</v>
      </c>
      <c r="C2945" s="1" t="s">
        <v>157</v>
      </c>
      <c r="D2945" s="1" t="s">
        <v>158</v>
      </c>
      <c r="E2945" s="1">
        <v>934</v>
      </c>
      <c r="F2945" s="1" t="s">
        <v>36</v>
      </c>
      <c r="G2945" s="1">
        <v>0</v>
      </c>
      <c r="H2945" s="1">
        <v>0</v>
      </c>
      <c r="I2945" s="1">
        <v>1.594454</v>
      </c>
    </row>
    <row r="2946" spans="1:9" x14ac:dyDescent="0.25">
      <c r="A2946" s="1">
        <v>2140110045</v>
      </c>
      <c r="B2946" s="1" t="s">
        <v>1545</v>
      </c>
      <c r="C2946" s="1" t="s">
        <v>130</v>
      </c>
      <c r="D2946" s="1" t="s">
        <v>131</v>
      </c>
      <c r="E2946" s="1">
        <v>3</v>
      </c>
      <c r="F2946" s="1" t="s">
        <v>36</v>
      </c>
      <c r="G2946" s="1">
        <v>0</v>
      </c>
      <c r="H2946" s="1">
        <v>0</v>
      </c>
      <c r="I2946" s="1">
        <v>1.59</v>
      </c>
    </row>
    <row r="2947" spans="1:9" x14ac:dyDescent="0.25">
      <c r="A2947" s="1">
        <v>2140110054</v>
      </c>
      <c r="B2947" s="1" t="s">
        <v>1546</v>
      </c>
      <c r="C2947" s="1" t="s">
        <v>130</v>
      </c>
      <c r="D2947" s="1" t="s">
        <v>131</v>
      </c>
      <c r="E2947" s="1">
        <v>20</v>
      </c>
      <c r="F2947" s="1" t="s">
        <v>36</v>
      </c>
      <c r="G2947" s="1">
        <v>0</v>
      </c>
      <c r="H2947" s="1">
        <v>0</v>
      </c>
      <c r="I2947" s="1">
        <v>1.7975000000000001</v>
      </c>
    </row>
    <row r="2948" spans="1:9" x14ac:dyDescent="0.25">
      <c r="A2948" s="1">
        <v>2140110058</v>
      </c>
      <c r="B2948" s="1" t="s">
        <v>1547</v>
      </c>
      <c r="C2948" s="1" t="s">
        <v>130</v>
      </c>
      <c r="D2948" s="1" t="s">
        <v>131</v>
      </c>
      <c r="E2948" s="1">
        <v>190</v>
      </c>
      <c r="F2948" s="1" t="s">
        <v>36</v>
      </c>
      <c r="G2948" s="1">
        <v>0</v>
      </c>
      <c r="H2948" s="1">
        <v>0</v>
      </c>
      <c r="I2948" s="1">
        <v>1.4922629999999999</v>
      </c>
    </row>
    <row r="2949" spans="1:9" x14ac:dyDescent="0.25">
      <c r="A2949" s="1">
        <v>2140110058</v>
      </c>
      <c r="B2949" s="1" t="s">
        <v>1547</v>
      </c>
      <c r="C2949" s="1" t="s">
        <v>126</v>
      </c>
      <c r="D2949" s="1" t="s">
        <v>127</v>
      </c>
      <c r="E2949" s="1">
        <v>2</v>
      </c>
      <c r="F2949" s="1" t="s">
        <v>36</v>
      </c>
      <c r="G2949" s="1">
        <v>0</v>
      </c>
      <c r="H2949" s="1">
        <v>0</v>
      </c>
      <c r="I2949" s="1">
        <v>1.49</v>
      </c>
    </row>
    <row r="2950" spans="1:9" x14ac:dyDescent="0.25">
      <c r="A2950" s="1">
        <v>2140110059</v>
      </c>
      <c r="B2950" s="1" t="s">
        <v>1548</v>
      </c>
      <c r="C2950" s="1" t="s">
        <v>130</v>
      </c>
      <c r="D2950" s="1" t="s">
        <v>131</v>
      </c>
      <c r="E2950" s="1">
        <v>7</v>
      </c>
      <c r="F2950" s="1" t="s">
        <v>36</v>
      </c>
      <c r="G2950" s="1">
        <v>0</v>
      </c>
      <c r="H2950" s="1">
        <v>0</v>
      </c>
      <c r="I2950" s="1">
        <v>1.454286</v>
      </c>
    </row>
    <row r="2951" spans="1:9" x14ac:dyDescent="0.25">
      <c r="A2951" s="1">
        <v>2140110062</v>
      </c>
      <c r="B2951" s="1" t="s">
        <v>1549</v>
      </c>
      <c r="C2951" s="1" t="s">
        <v>126</v>
      </c>
      <c r="D2951" s="1" t="s">
        <v>127</v>
      </c>
      <c r="E2951" s="1">
        <v>1</v>
      </c>
      <c r="F2951" s="1" t="s">
        <v>36</v>
      </c>
      <c r="G2951" s="1">
        <v>0</v>
      </c>
      <c r="H2951" s="1">
        <v>0</v>
      </c>
      <c r="I2951" s="1">
        <v>1.98</v>
      </c>
    </row>
    <row r="2952" spans="1:9" x14ac:dyDescent="0.25">
      <c r="A2952" s="1">
        <v>2140110064</v>
      </c>
      <c r="B2952" s="1" t="s">
        <v>1550</v>
      </c>
      <c r="C2952" s="1" t="s">
        <v>130</v>
      </c>
      <c r="D2952" s="1" t="s">
        <v>131</v>
      </c>
      <c r="E2952" s="1">
        <v>105</v>
      </c>
      <c r="F2952" s="1" t="s">
        <v>36</v>
      </c>
      <c r="G2952" s="1">
        <v>0</v>
      </c>
      <c r="H2952" s="1">
        <v>0</v>
      </c>
      <c r="I2952" s="1">
        <v>1.8342860000000001</v>
      </c>
    </row>
    <row r="2953" spans="1:9" x14ac:dyDescent="0.25">
      <c r="A2953" s="1">
        <v>2140110064</v>
      </c>
      <c r="B2953" s="1" t="s">
        <v>1550</v>
      </c>
      <c r="C2953" s="1" t="s">
        <v>126</v>
      </c>
      <c r="D2953" s="1" t="s">
        <v>127</v>
      </c>
      <c r="E2953" s="1">
        <v>258</v>
      </c>
      <c r="F2953" s="1" t="s">
        <v>36</v>
      </c>
      <c r="G2953" s="1">
        <v>0</v>
      </c>
      <c r="H2953" s="1">
        <v>0</v>
      </c>
      <c r="I2953" s="1">
        <v>1.8343020000000001</v>
      </c>
    </row>
    <row r="2954" spans="1:9" x14ac:dyDescent="0.25">
      <c r="A2954" s="1">
        <v>2140110064</v>
      </c>
      <c r="B2954" s="1" t="s">
        <v>1550</v>
      </c>
      <c r="C2954" s="1" t="s">
        <v>157</v>
      </c>
      <c r="D2954" s="1" t="s">
        <v>158</v>
      </c>
      <c r="E2954" s="3">
        <v>8880</v>
      </c>
      <c r="F2954" s="1" t="s">
        <v>36</v>
      </c>
      <c r="G2954" s="1">
        <v>0</v>
      </c>
      <c r="H2954" s="1">
        <v>0</v>
      </c>
      <c r="I2954" s="1">
        <v>1.8343130000000001</v>
      </c>
    </row>
    <row r="2955" spans="1:9" x14ac:dyDescent="0.25">
      <c r="A2955" s="1">
        <v>2140110066</v>
      </c>
      <c r="B2955" s="1" t="s">
        <v>1551</v>
      </c>
      <c r="C2955" s="1" t="s">
        <v>157</v>
      </c>
      <c r="D2955" s="1" t="s">
        <v>158</v>
      </c>
      <c r="E2955" s="3">
        <v>2774</v>
      </c>
      <c r="F2955" s="1" t="s">
        <v>36</v>
      </c>
      <c r="G2955" s="1">
        <v>0</v>
      </c>
      <c r="H2955" s="3">
        <v>0</v>
      </c>
      <c r="I2955" s="1">
        <v>1.7685329999999999</v>
      </c>
    </row>
    <row r="2956" spans="1:9" x14ac:dyDescent="0.25">
      <c r="A2956" s="1">
        <v>2140110067</v>
      </c>
      <c r="B2956" s="1" t="s">
        <v>1552</v>
      </c>
      <c r="C2956" s="1" t="s">
        <v>130</v>
      </c>
      <c r="D2956" s="1" t="s">
        <v>131</v>
      </c>
      <c r="E2956" s="1">
        <v>64</v>
      </c>
      <c r="F2956" s="1" t="s">
        <v>36</v>
      </c>
      <c r="G2956" s="1">
        <v>0</v>
      </c>
      <c r="H2956" s="1">
        <v>0</v>
      </c>
      <c r="I2956" s="1">
        <v>1.5125</v>
      </c>
    </row>
    <row r="2957" spans="1:9" x14ac:dyDescent="0.25">
      <c r="A2957" s="1">
        <v>2140110067</v>
      </c>
      <c r="B2957" s="1" t="s">
        <v>1552</v>
      </c>
      <c r="C2957" s="1" t="s">
        <v>126</v>
      </c>
      <c r="D2957" s="1" t="s">
        <v>127</v>
      </c>
      <c r="E2957" s="1">
        <v>129</v>
      </c>
      <c r="F2957" s="1" t="s">
        <v>36</v>
      </c>
      <c r="G2957" s="1">
        <v>0</v>
      </c>
      <c r="H2957" s="1">
        <v>0</v>
      </c>
      <c r="I2957" s="1">
        <v>1.512481</v>
      </c>
    </row>
    <row r="2958" spans="1:9" x14ac:dyDescent="0.25">
      <c r="A2958" s="1">
        <v>2140110070</v>
      </c>
      <c r="B2958" s="1" t="s">
        <v>1553</v>
      </c>
      <c r="C2958" s="1" t="s">
        <v>130</v>
      </c>
      <c r="D2958" s="1" t="s">
        <v>131</v>
      </c>
      <c r="E2958" s="1">
        <v>50</v>
      </c>
      <c r="F2958" s="1" t="s">
        <v>36</v>
      </c>
      <c r="G2958" s="1">
        <v>0</v>
      </c>
      <c r="H2958" s="1">
        <v>0</v>
      </c>
      <c r="I2958" s="1">
        <v>1.6686000000000001</v>
      </c>
    </row>
    <row r="2959" spans="1:9" x14ac:dyDescent="0.25">
      <c r="A2959" s="1">
        <v>2140110070</v>
      </c>
      <c r="B2959" s="1" t="s">
        <v>1553</v>
      </c>
      <c r="C2959" s="1" t="s">
        <v>126</v>
      </c>
      <c r="D2959" s="1" t="s">
        <v>127</v>
      </c>
      <c r="E2959" s="3">
        <v>1696</v>
      </c>
      <c r="F2959" s="1" t="s">
        <v>36</v>
      </c>
      <c r="G2959" s="1">
        <v>0</v>
      </c>
      <c r="H2959" s="1">
        <v>0</v>
      </c>
      <c r="I2959" s="1">
        <v>1.6686970000000001</v>
      </c>
    </row>
    <row r="2960" spans="1:9" x14ac:dyDescent="0.25">
      <c r="A2960" s="1">
        <v>2140110071</v>
      </c>
      <c r="B2960" s="1" t="s">
        <v>1554</v>
      </c>
      <c r="C2960" s="1" t="s">
        <v>130</v>
      </c>
      <c r="D2960" s="1" t="s">
        <v>131</v>
      </c>
      <c r="E2960" s="1">
        <v>36</v>
      </c>
      <c r="F2960" s="1" t="s">
        <v>36</v>
      </c>
      <c r="G2960" s="1">
        <v>0</v>
      </c>
      <c r="H2960" s="1">
        <v>0</v>
      </c>
      <c r="I2960" s="1">
        <v>1.836389</v>
      </c>
    </row>
    <row r="2961" spans="1:9" x14ac:dyDescent="0.25">
      <c r="A2961" s="1">
        <v>2140110073</v>
      </c>
      <c r="B2961" s="1" t="s">
        <v>1555</v>
      </c>
      <c r="C2961" s="1" t="s">
        <v>130</v>
      </c>
      <c r="D2961" s="1" t="s">
        <v>131</v>
      </c>
      <c r="E2961" s="1">
        <v>75</v>
      </c>
      <c r="F2961" s="1" t="s">
        <v>36</v>
      </c>
      <c r="G2961" s="1">
        <v>0</v>
      </c>
      <c r="H2961" s="1">
        <v>0</v>
      </c>
      <c r="I2961" s="1">
        <v>2.0764</v>
      </c>
    </row>
    <row r="2962" spans="1:9" x14ac:dyDescent="0.25">
      <c r="A2962" s="1">
        <v>2140110074</v>
      </c>
      <c r="B2962" s="1" t="s">
        <v>1556</v>
      </c>
      <c r="C2962" s="1" t="s">
        <v>130</v>
      </c>
      <c r="D2962" s="1" t="s">
        <v>131</v>
      </c>
      <c r="E2962" s="1">
        <v>30</v>
      </c>
      <c r="F2962" s="1" t="s">
        <v>36</v>
      </c>
      <c r="G2962" s="1">
        <v>0</v>
      </c>
      <c r="H2962" s="1">
        <v>0</v>
      </c>
      <c r="I2962" s="1">
        <v>2.0529999999999999</v>
      </c>
    </row>
    <row r="2963" spans="1:9" x14ac:dyDescent="0.25">
      <c r="A2963" s="1">
        <v>2140110081</v>
      </c>
      <c r="B2963" s="1" t="s">
        <v>1557</v>
      </c>
      <c r="C2963" s="1" t="s">
        <v>130</v>
      </c>
      <c r="D2963" s="1" t="s">
        <v>131</v>
      </c>
      <c r="E2963" s="1">
        <v>83</v>
      </c>
      <c r="F2963" s="1" t="s">
        <v>36</v>
      </c>
      <c r="G2963" s="1">
        <v>0</v>
      </c>
      <c r="H2963" s="1">
        <v>0</v>
      </c>
      <c r="I2963" s="1">
        <v>1.7903610000000001</v>
      </c>
    </row>
    <row r="2964" spans="1:9" x14ac:dyDescent="0.25">
      <c r="A2964" s="1">
        <v>2140110082</v>
      </c>
      <c r="B2964" s="1" t="s">
        <v>1558</v>
      </c>
      <c r="C2964" s="1" t="s">
        <v>130</v>
      </c>
      <c r="D2964" s="1" t="s">
        <v>131</v>
      </c>
      <c r="E2964" s="1">
        <v>17</v>
      </c>
      <c r="F2964" s="1" t="s">
        <v>36</v>
      </c>
      <c r="G2964" s="1">
        <v>0</v>
      </c>
      <c r="H2964" s="3">
        <v>0</v>
      </c>
      <c r="I2964" s="1">
        <v>2.281765</v>
      </c>
    </row>
    <row r="2965" spans="1:9" x14ac:dyDescent="0.25">
      <c r="A2965" s="1">
        <v>2140110083</v>
      </c>
      <c r="B2965" s="1" t="s">
        <v>1559</v>
      </c>
      <c r="C2965" s="1" t="s">
        <v>130</v>
      </c>
      <c r="D2965" s="1" t="s">
        <v>131</v>
      </c>
      <c r="E2965" s="1">
        <v>172</v>
      </c>
      <c r="F2965" s="1" t="s">
        <v>36</v>
      </c>
      <c r="G2965" s="1">
        <v>0</v>
      </c>
      <c r="H2965" s="1">
        <v>0</v>
      </c>
      <c r="I2965" s="1">
        <v>1.8282560000000001</v>
      </c>
    </row>
    <row r="2966" spans="1:9" x14ac:dyDescent="0.25">
      <c r="A2966" s="1">
        <v>2140110088</v>
      </c>
      <c r="B2966" s="1" t="s">
        <v>1560</v>
      </c>
      <c r="C2966" s="1" t="s">
        <v>130</v>
      </c>
      <c r="D2966" s="1" t="s">
        <v>131</v>
      </c>
      <c r="E2966" s="1">
        <v>98</v>
      </c>
      <c r="F2966" s="1" t="s">
        <v>36</v>
      </c>
      <c r="G2966" s="1">
        <v>0</v>
      </c>
      <c r="H2966" s="1">
        <v>0</v>
      </c>
      <c r="I2966" s="1">
        <v>1.630612</v>
      </c>
    </row>
    <row r="2967" spans="1:9" x14ac:dyDescent="0.25">
      <c r="A2967" s="1">
        <v>2140110093</v>
      </c>
      <c r="B2967" s="1" t="s">
        <v>1561</v>
      </c>
      <c r="C2967" s="1" t="s">
        <v>130</v>
      </c>
      <c r="D2967" s="1" t="s">
        <v>131</v>
      </c>
      <c r="E2967" s="1">
        <v>1</v>
      </c>
      <c r="F2967" s="1" t="s">
        <v>36</v>
      </c>
      <c r="G2967" s="1">
        <v>0</v>
      </c>
      <c r="H2967" s="1">
        <v>0</v>
      </c>
      <c r="I2967" s="1">
        <v>1.2</v>
      </c>
    </row>
    <row r="2968" spans="1:9" x14ac:dyDescent="0.25">
      <c r="A2968" s="1">
        <v>2140110094</v>
      </c>
      <c r="B2968" s="1" t="s">
        <v>1562</v>
      </c>
      <c r="C2968" s="1" t="s">
        <v>126</v>
      </c>
      <c r="D2968" s="1" t="s">
        <v>127</v>
      </c>
      <c r="E2968" s="3">
        <v>9600</v>
      </c>
      <c r="F2968" s="1" t="s">
        <v>36</v>
      </c>
      <c r="G2968" s="1">
        <v>0</v>
      </c>
      <c r="H2968" s="1">
        <v>0</v>
      </c>
      <c r="I2968" s="1">
        <v>1.1496420000000001</v>
      </c>
    </row>
    <row r="2969" spans="1:9" x14ac:dyDescent="0.25">
      <c r="A2969" s="1">
        <v>2140110095</v>
      </c>
      <c r="B2969" s="1" t="s">
        <v>1563</v>
      </c>
      <c r="C2969" s="1" t="s">
        <v>130</v>
      </c>
      <c r="D2969" s="1" t="s">
        <v>131</v>
      </c>
      <c r="E2969" s="1">
        <v>457</v>
      </c>
      <c r="F2969" s="1" t="s">
        <v>36</v>
      </c>
      <c r="G2969" s="1">
        <v>0</v>
      </c>
      <c r="H2969" s="1">
        <v>0</v>
      </c>
      <c r="I2969" s="1">
        <v>1.2049890000000001</v>
      </c>
    </row>
    <row r="2970" spans="1:9" x14ac:dyDescent="0.25">
      <c r="A2970" s="1">
        <v>2140110096</v>
      </c>
      <c r="B2970" s="1" t="s">
        <v>1564</v>
      </c>
      <c r="C2970" s="1" t="s">
        <v>126</v>
      </c>
      <c r="D2970" s="1" t="s">
        <v>127</v>
      </c>
      <c r="E2970" s="1">
        <v>9</v>
      </c>
      <c r="F2970" s="1" t="s">
        <v>36</v>
      </c>
      <c r="G2970" s="1">
        <v>0</v>
      </c>
      <c r="H2970" s="1">
        <v>0</v>
      </c>
      <c r="I2970" s="1">
        <v>1.0511109999999999</v>
      </c>
    </row>
    <row r="2971" spans="1:9" x14ac:dyDescent="0.25">
      <c r="A2971" s="1">
        <v>2140110109</v>
      </c>
      <c r="B2971" s="1" t="s">
        <v>1565</v>
      </c>
      <c r="C2971" s="1" t="s">
        <v>126</v>
      </c>
      <c r="D2971" s="1" t="s">
        <v>127</v>
      </c>
      <c r="E2971" s="3">
        <v>26035</v>
      </c>
      <c r="F2971" s="1" t="s">
        <v>36</v>
      </c>
      <c r="G2971" s="1">
        <v>0</v>
      </c>
      <c r="H2971" s="1">
        <v>0</v>
      </c>
      <c r="I2971" s="1">
        <v>1.28</v>
      </c>
    </row>
    <row r="2972" spans="1:9" x14ac:dyDescent="0.25">
      <c r="A2972" s="1">
        <v>2140110112</v>
      </c>
      <c r="B2972" s="1" t="s">
        <v>1566</v>
      </c>
      <c r="C2972" s="1" t="s">
        <v>130</v>
      </c>
      <c r="D2972" s="1" t="s">
        <v>131</v>
      </c>
      <c r="E2972" s="1">
        <v>0</v>
      </c>
      <c r="F2972" s="1" t="s">
        <v>89</v>
      </c>
      <c r="G2972" s="3">
        <v>2190</v>
      </c>
      <c r="H2972" s="1">
        <v>0</v>
      </c>
      <c r="I2972" s="1">
        <v>0</v>
      </c>
    </row>
    <row r="2973" spans="1:9" x14ac:dyDescent="0.25">
      <c r="A2973" s="1">
        <v>2140110115</v>
      </c>
      <c r="B2973" s="1" t="s">
        <v>1567</v>
      </c>
      <c r="C2973" s="1" t="s">
        <v>130</v>
      </c>
      <c r="D2973" s="1" t="s">
        <v>131</v>
      </c>
      <c r="E2973" s="1">
        <v>0</v>
      </c>
      <c r="F2973" s="1" t="s">
        <v>89</v>
      </c>
      <c r="G2973" s="1">
        <v>641.70000000000005</v>
      </c>
      <c r="H2973" s="1">
        <v>0</v>
      </c>
      <c r="I2973" s="1">
        <v>0</v>
      </c>
    </row>
    <row r="2974" spans="1:9" x14ac:dyDescent="0.25">
      <c r="A2974" s="1">
        <v>2140110116</v>
      </c>
      <c r="B2974" s="1" t="s">
        <v>1568</v>
      </c>
      <c r="C2974" s="1" t="s">
        <v>130</v>
      </c>
      <c r="D2974" s="1" t="s">
        <v>131</v>
      </c>
      <c r="E2974" s="1">
        <v>87</v>
      </c>
      <c r="F2974" s="1" t="s">
        <v>36</v>
      </c>
      <c r="G2974" s="1">
        <v>0</v>
      </c>
      <c r="H2974" s="1">
        <v>0</v>
      </c>
      <c r="I2974" s="1">
        <v>1.406782</v>
      </c>
    </row>
    <row r="2975" spans="1:9" x14ac:dyDescent="0.25">
      <c r="A2975" s="1">
        <v>2140110117</v>
      </c>
      <c r="B2975" s="1" t="s">
        <v>1569</v>
      </c>
      <c r="C2975" s="1" t="s">
        <v>130</v>
      </c>
      <c r="D2975" s="1" t="s">
        <v>131</v>
      </c>
      <c r="E2975" s="1">
        <v>4</v>
      </c>
      <c r="F2975" s="1" t="s">
        <v>36</v>
      </c>
      <c r="G2975" s="1">
        <v>0</v>
      </c>
      <c r="H2975" s="1">
        <v>0</v>
      </c>
      <c r="I2975" s="1">
        <v>1.4975000000000001</v>
      </c>
    </row>
    <row r="2976" spans="1:9" x14ac:dyDescent="0.25">
      <c r="A2976" s="1">
        <v>2140110127</v>
      </c>
      <c r="B2976" s="1" t="s">
        <v>1570</v>
      </c>
      <c r="C2976" s="1" t="s">
        <v>130</v>
      </c>
      <c r="D2976" s="1" t="s">
        <v>131</v>
      </c>
      <c r="E2976" s="1">
        <v>728</v>
      </c>
      <c r="F2976" s="1" t="s">
        <v>36</v>
      </c>
      <c r="G2976" s="1">
        <v>0</v>
      </c>
      <c r="H2976" s="1">
        <v>0</v>
      </c>
      <c r="I2976" s="1">
        <v>7.5213190000000001</v>
      </c>
    </row>
    <row r="2977" spans="1:9" x14ac:dyDescent="0.25">
      <c r="A2977" s="1">
        <v>2140110129</v>
      </c>
      <c r="B2977" s="1" t="s">
        <v>1571</v>
      </c>
      <c r="C2977" s="1" t="s">
        <v>130</v>
      </c>
      <c r="D2977" s="1" t="s">
        <v>131</v>
      </c>
      <c r="E2977" s="1">
        <v>38</v>
      </c>
      <c r="F2977" s="1" t="s">
        <v>36</v>
      </c>
      <c r="G2977" s="1">
        <v>0</v>
      </c>
      <c r="H2977" s="1">
        <v>0</v>
      </c>
      <c r="I2977" s="1">
        <v>7.7705260000000003</v>
      </c>
    </row>
    <row r="2978" spans="1:9" x14ac:dyDescent="0.25">
      <c r="A2978" s="1">
        <v>2140110166</v>
      </c>
      <c r="B2978" s="1" t="s">
        <v>1572</v>
      </c>
      <c r="C2978" s="1" t="s">
        <v>126</v>
      </c>
      <c r="D2978" s="1" t="s">
        <v>127</v>
      </c>
      <c r="E2978" s="3">
        <v>12812</v>
      </c>
      <c r="F2978" s="1" t="s">
        <v>36</v>
      </c>
      <c r="G2978" s="1">
        <v>0</v>
      </c>
      <c r="H2978" s="1">
        <v>0</v>
      </c>
      <c r="I2978" s="1">
        <v>1.132757</v>
      </c>
    </row>
    <row r="2979" spans="1:9" x14ac:dyDescent="0.25">
      <c r="A2979" s="1">
        <v>2140110170</v>
      </c>
      <c r="B2979" s="1" t="s">
        <v>1573</v>
      </c>
      <c r="C2979" s="1" t="s">
        <v>130</v>
      </c>
      <c r="D2979" s="1" t="s">
        <v>131</v>
      </c>
      <c r="E2979" s="1">
        <v>91</v>
      </c>
      <c r="F2979" s="1" t="s">
        <v>36</v>
      </c>
      <c r="G2979" s="1">
        <v>0</v>
      </c>
      <c r="H2979" s="1">
        <v>0</v>
      </c>
      <c r="I2979" s="1">
        <v>7.0017579999999997</v>
      </c>
    </row>
    <row r="2980" spans="1:9" x14ac:dyDescent="0.25">
      <c r="A2980" s="1">
        <v>2140110171</v>
      </c>
      <c r="B2980" s="1" t="s">
        <v>1574</v>
      </c>
      <c r="C2980" s="1" t="s">
        <v>130</v>
      </c>
      <c r="D2980" s="1" t="s">
        <v>131</v>
      </c>
      <c r="E2980" s="1">
        <v>341</v>
      </c>
      <c r="F2980" s="1" t="s">
        <v>36</v>
      </c>
      <c r="G2980" s="1">
        <v>0</v>
      </c>
      <c r="H2980" s="1">
        <v>0</v>
      </c>
      <c r="I2980" s="1">
        <v>7.0016129999999999</v>
      </c>
    </row>
    <row r="2981" spans="1:9" x14ac:dyDescent="0.25">
      <c r="A2981" s="1">
        <v>2140110173</v>
      </c>
      <c r="B2981" s="1" t="s">
        <v>1575</v>
      </c>
      <c r="C2981" s="1" t="s">
        <v>130</v>
      </c>
      <c r="D2981" s="1" t="s">
        <v>131</v>
      </c>
      <c r="E2981" s="1">
        <v>73</v>
      </c>
      <c r="F2981" s="1" t="s">
        <v>36</v>
      </c>
      <c r="G2981" s="1">
        <v>0</v>
      </c>
      <c r="H2981" s="1">
        <v>0</v>
      </c>
      <c r="I2981" s="1">
        <v>7.1749320000000001</v>
      </c>
    </row>
    <row r="2982" spans="1:9" x14ac:dyDescent="0.25">
      <c r="A2982" s="1">
        <v>2140110184</v>
      </c>
      <c r="B2982" s="1" t="s">
        <v>1576</v>
      </c>
      <c r="C2982" s="1" t="s">
        <v>130</v>
      </c>
      <c r="D2982" s="1" t="s">
        <v>131</v>
      </c>
      <c r="E2982" s="1">
        <v>49</v>
      </c>
      <c r="F2982" s="1" t="s">
        <v>36</v>
      </c>
      <c r="G2982" s="1">
        <v>0</v>
      </c>
      <c r="H2982" s="1">
        <v>0</v>
      </c>
      <c r="I2982" s="1">
        <v>1.6257140000000001</v>
      </c>
    </row>
    <row r="2983" spans="1:9" x14ac:dyDescent="0.25">
      <c r="A2983" s="1">
        <v>2140110185</v>
      </c>
      <c r="B2983" s="1" t="s">
        <v>1577</v>
      </c>
      <c r="C2983" s="1" t="s">
        <v>130</v>
      </c>
      <c r="D2983" s="1" t="s">
        <v>131</v>
      </c>
      <c r="E2983" s="3">
        <v>1114</v>
      </c>
      <c r="F2983" s="1" t="s">
        <v>36</v>
      </c>
      <c r="G2983" s="1">
        <v>0</v>
      </c>
      <c r="H2983" s="1">
        <v>0</v>
      </c>
      <c r="I2983" s="1">
        <v>1.7279169999999999</v>
      </c>
    </row>
    <row r="2984" spans="1:9" x14ac:dyDescent="0.25">
      <c r="A2984" s="1">
        <v>2140110186</v>
      </c>
      <c r="B2984" s="1" t="s">
        <v>1578</v>
      </c>
      <c r="C2984" s="1" t="s">
        <v>130</v>
      </c>
      <c r="D2984" s="1" t="s">
        <v>131</v>
      </c>
      <c r="E2984" s="1">
        <v>149</v>
      </c>
      <c r="F2984" s="1" t="s">
        <v>36</v>
      </c>
      <c r="G2984" s="1">
        <v>0</v>
      </c>
      <c r="H2984" s="1">
        <v>0</v>
      </c>
      <c r="I2984" s="1">
        <v>1.79094</v>
      </c>
    </row>
    <row r="2985" spans="1:9" x14ac:dyDescent="0.25">
      <c r="A2985" s="1">
        <v>2140110188</v>
      </c>
      <c r="B2985" s="1" t="s">
        <v>1579</v>
      </c>
      <c r="C2985" s="1" t="s">
        <v>130</v>
      </c>
      <c r="D2985" s="1" t="s">
        <v>131</v>
      </c>
      <c r="E2985" s="1">
        <v>31</v>
      </c>
      <c r="F2985" s="1" t="s">
        <v>36</v>
      </c>
      <c r="G2985" s="1">
        <v>0</v>
      </c>
      <c r="H2985" s="1">
        <v>0</v>
      </c>
      <c r="I2985" s="1">
        <v>2.3435480000000002</v>
      </c>
    </row>
    <row r="2986" spans="1:9" x14ac:dyDescent="0.25">
      <c r="A2986" s="1">
        <v>2140110189</v>
      </c>
      <c r="B2986" s="1" t="s">
        <v>1580</v>
      </c>
      <c r="C2986" s="1" t="s">
        <v>130</v>
      </c>
      <c r="D2986" s="1" t="s">
        <v>131</v>
      </c>
      <c r="E2986" s="3">
        <v>1086</v>
      </c>
      <c r="F2986" s="1" t="s">
        <v>36</v>
      </c>
      <c r="G2986" s="1">
        <v>0</v>
      </c>
      <c r="H2986" s="3">
        <v>0</v>
      </c>
      <c r="I2986" s="1">
        <v>8.0832040000000003</v>
      </c>
    </row>
    <row r="2987" spans="1:9" x14ac:dyDescent="0.25">
      <c r="A2987" s="1">
        <v>2140110190</v>
      </c>
      <c r="B2987" s="1" t="s">
        <v>1581</v>
      </c>
      <c r="C2987" s="1" t="s">
        <v>130</v>
      </c>
      <c r="D2987" s="1" t="s">
        <v>131</v>
      </c>
      <c r="E2987" s="1">
        <v>3</v>
      </c>
      <c r="F2987" s="1" t="s">
        <v>36</v>
      </c>
      <c r="G2987" s="1">
        <v>0</v>
      </c>
      <c r="H2987" s="1">
        <v>0</v>
      </c>
      <c r="I2987" s="1">
        <v>8.0266669999999998</v>
      </c>
    </row>
    <row r="2988" spans="1:9" x14ac:dyDescent="0.25">
      <c r="A2988" s="1">
        <v>2140110191</v>
      </c>
      <c r="B2988" s="1" t="s">
        <v>1582</v>
      </c>
      <c r="C2988" s="1" t="s">
        <v>130</v>
      </c>
      <c r="D2988" s="1" t="s">
        <v>131</v>
      </c>
      <c r="E2988" s="1">
        <v>20</v>
      </c>
      <c r="F2988" s="1" t="s">
        <v>36</v>
      </c>
      <c r="G2988" s="1">
        <v>0</v>
      </c>
      <c r="H2988" s="1">
        <v>0</v>
      </c>
      <c r="I2988" s="1">
        <v>6.5910000000000002</v>
      </c>
    </row>
    <row r="2989" spans="1:9" x14ac:dyDescent="0.25">
      <c r="A2989" s="1">
        <v>2140110192</v>
      </c>
      <c r="B2989" s="1" t="s">
        <v>1583</v>
      </c>
      <c r="C2989" s="1" t="s">
        <v>130</v>
      </c>
      <c r="D2989" s="1" t="s">
        <v>131</v>
      </c>
      <c r="E2989" s="1">
        <v>48</v>
      </c>
      <c r="F2989" s="1" t="s">
        <v>36</v>
      </c>
      <c r="G2989" s="1">
        <v>0</v>
      </c>
      <c r="H2989" s="1">
        <v>0</v>
      </c>
      <c r="I2989" s="1">
        <v>7.5508329999999999</v>
      </c>
    </row>
    <row r="2990" spans="1:9" x14ac:dyDescent="0.25">
      <c r="A2990" s="1">
        <v>2140110199</v>
      </c>
      <c r="B2990" s="1" t="s">
        <v>1584</v>
      </c>
      <c r="C2990" s="1" t="s">
        <v>130</v>
      </c>
      <c r="D2990" s="1" t="s">
        <v>131</v>
      </c>
      <c r="E2990" s="1">
        <v>277</v>
      </c>
      <c r="F2990" s="1" t="s">
        <v>36</v>
      </c>
      <c r="G2990" s="1">
        <v>0</v>
      </c>
      <c r="H2990" s="1">
        <v>0</v>
      </c>
      <c r="I2990" s="1">
        <v>2.3858839999999999</v>
      </c>
    </row>
    <row r="2991" spans="1:9" x14ac:dyDescent="0.25">
      <c r="A2991" s="1">
        <v>2140110201</v>
      </c>
      <c r="B2991" s="1" t="s">
        <v>1585</v>
      </c>
      <c r="C2991" s="1" t="s">
        <v>130</v>
      </c>
      <c r="D2991" s="1" t="s">
        <v>131</v>
      </c>
      <c r="E2991" s="1">
        <v>2</v>
      </c>
      <c r="F2991" s="1" t="s">
        <v>36</v>
      </c>
      <c r="G2991" s="1">
        <v>0</v>
      </c>
      <c r="H2991" s="1">
        <v>0</v>
      </c>
      <c r="I2991" s="1">
        <v>1.1399999999999999</v>
      </c>
    </row>
    <row r="2992" spans="1:9" x14ac:dyDescent="0.25">
      <c r="A2992" s="1">
        <v>2140110202</v>
      </c>
      <c r="B2992" s="1" t="s">
        <v>1586</v>
      </c>
      <c r="C2992" s="1" t="s">
        <v>130</v>
      </c>
      <c r="D2992" s="1" t="s">
        <v>131</v>
      </c>
      <c r="E2992" s="3">
        <v>1700</v>
      </c>
      <c r="F2992" s="1" t="s">
        <v>36</v>
      </c>
      <c r="G2992" s="1">
        <v>0</v>
      </c>
      <c r="H2992" s="1">
        <v>0</v>
      </c>
      <c r="I2992" s="1">
        <v>1.132671</v>
      </c>
    </row>
    <row r="2993" spans="1:9" x14ac:dyDescent="0.25">
      <c r="A2993" s="1">
        <v>2140110203</v>
      </c>
      <c r="B2993" s="1" t="s">
        <v>1587</v>
      </c>
      <c r="C2993" s="1" t="s">
        <v>130</v>
      </c>
      <c r="D2993" s="1" t="s">
        <v>131</v>
      </c>
      <c r="E2993" s="1">
        <v>0</v>
      </c>
      <c r="F2993" s="1" t="s">
        <v>36</v>
      </c>
      <c r="G2993" s="1">
        <v>0</v>
      </c>
      <c r="H2993" s="3">
        <v>1561</v>
      </c>
      <c r="I2993" s="1">
        <v>0</v>
      </c>
    </row>
    <row r="2994" spans="1:9" x14ac:dyDescent="0.25">
      <c r="A2994" s="1">
        <v>2140110203</v>
      </c>
      <c r="B2994" s="1" t="s">
        <v>1587</v>
      </c>
      <c r="C2994" s="1" t="s">
        <v>126</v>
      </c>
      <c r="D2994" s="1" t="s">
        <v>127</v>
      </c>
      <c r="E2994" s="1">
        <v>400</v>
      </c>
      <c r="F2994" s="1" t="s">
        <v>36</v>
      </c>
      <c r="G2994" s="1">
        <v>0</v>
      </c>
      <c r="H2994" s="1">
        <v>0</v>
      </c>
      <c r="I2994" s="1">
        <v>1.141875</v>
      </c>
    </row>
    <row r="2995" spans="1:9" x14ac:dyDescent="0.25">
      <c r="A2995" s="1">
        <v>2140110203</v>
      </c>
      <c r="B2995" s="1" t="s">
        <v>1587</v>
      </c>
      <c r="C2995" s="1" t="s">
        <v>139</v>
      </c>
      <c r="D2995" s="1" t="s">
        <v>140</v>
      </c>
      <c r="E2995" s="3">
        <v>1561</v>
      </c>
      <c r="F2995" s="1" t="s">
        <v>36</v>
      </c>
      <c r="G2995" s="3">
        <v>1561</v>
      </c>
      <c r="H2995" s="1">
        <v>0</v>
      </c>
      <c r="I2995" s="1">
        <v>1.141864</v>
      </c>
    </row>
    <row r="2996" spans="1:9" x14ac:dyDescent="0.25">
      <c r="A2996" s="1">
        <v>2140110205</v>
      </c>
      <c r="B2996" s="1" t="s">
        <v>1588</v>
      </c>
      <c r="C2996" s="1" t="s">
        <v>130</v>
      </c>
      <c r="D2996" s="1" t="s">
        <v>131</v>
      </c>
      <c r="E2996" s="1">
        <v>134</v>
      </c>
      <c r="F2996" s="1" t="s">
        <v>36</v>
      </c>
      <c r="G2996" s="1">
        <v>0</v>
      </c>
      <c r="H2996" s="1">
        <v>0</v>
      </c>
      <c r="I2996" s="1">
        <v>1.4409700000000001</v>
      </c>
    </row>
    <row r="2997" spans="1:9" x14ac:dyDescent="0.25">
      <c r="A2997" s="1">
        <v>2140110214</v>
      </c>
      <c r="B2997" s="1" t="s">
        <v>1589</v>
      </c>
      <c r="C2997" s="1" t="s">
        <v>130</v>
      </c>
      <c r="D2997" s="1" t="s">
        <v>131</v>
      </c>
      <c r="E2997" s="1">
        <v>2</v>
      </c>
      <c r="F2997" s="1" t="s">
        <v>36</v>
      </c>
      <c r="G2997" s="1">
        <v>0</v>
      </c>
      <c r="H2997" s="1">
        <v>0</v>
      </c>
      <c r="I2997" s="1">
        <v>2.48</v>
      </c>
    </row>
    <row r="2998" spans="1:9" x14ac:dyDescent="0.25">
      <c r="A2998" s="1">
        <v>2140110222</v>
      </c>
      <c r="B2998" s="1" t="s">
        <v>1590</v>
      </c>
      <c r="C2998" s="1" t="s">
        <v>130</v>
      </c>
      <c r="D2998" s="1" t="s">
        <v>131</v>
      </c>
      <c r="E2998" s="1">
        <v>71</v>
      </c>
      <c r="F2998" s="1" t="s">
        <v>36</v>
      </c>
      <c r="G2998" s="1">
        <v>0</v>
      </c>
      <c r="H2998" s="1">
        <v>0</v>
      </c>
      <c r="I2998" s="1">
        <v>1.888592</v>
      </c>
    </row>
    <row r="2999" spans="1:9" x14ac:dyDescent="0.25">
      <c r="A2999" s="1">
        <v>2140110223</v>
      </c>
      <c r="B2999" s="1" t="s">
        <v>1591</v>
      </c>
      <c r="C2999" s="1" t="s">
        <v>130</v>
      </c>
      <c r="D2999" s="1" t="s">
        <v>131</v>
      </c>
      <c r="E2999" s="1">
        <v>26</v>
      </c>
      <c r="F2999" s="1" t="s">
        <v>36</v>
      </c>
      <c r="G2999" s="1">
        <v>0</v>
      </c>
      <c r="H2999" s="1">
        <v>0</v>
      </c>
      <c r="I2999" s="1">
        <v>2.2196150000000001</v>
      </c>
    </row>
    <row r="3000" spans="1:9" x14ac:dyDescent="0.25">
      <c r="A3000" s="1">
        <v>2140110223</v>
      </c>
      <c r="B3000" s="1" t="s">
        <v>1591</v>
      </c>
      <c r="C3000" s="1" t="s">
        <v>126</v>
      </c>
      <c r="D3000" s="1" t="s">
        <v>127</v>
      </c>
      <c r="E3000" s="1">
        <v>74</v>
      </c>
      <c r="F3000" s="1" t="s">
        <v>36</v>
      </c>
      <c r="G3000" s="1">
        <v>0</v>
      </c>
      <c r="H3000" s="1">
        <v>0</v>
      </c>
      <c r="I3000" s="1">
        <v>2.219595</v>
      </c>
    </row>
    <row r="3001" spans="1:9" x14ac:dyDescent="0.25">
      <c r="A3001" s="1">
        <v>2140110226</v>
      </c>
      <c r="B3001" s="1" t="s">
        <v>1592</v>
      </c>
      <c r="C3001" s="1" t="s">
        <v>130</v>
      </c>
      <c r="D3001" s="1" t="s">
        <v>131</v>
      </c>
      <c r="E3001" s="1">
        <v>11</v>
      </c>
      <c r="F3001" s="1" t="s">
        <v>36</v>
      </c>
      <c r="G3001" s="1">
        <v>0</v>
      </c>
      <c r="H3001" s="1">
        <v>0</v>
      </c>
      <c r="I3001" s="1">
        <v>1.94</v>
      </c>
    </row>
    <row r="3002" spans="1:9" x14ac:dyDescent="0.25">
      <c r="A3002" s="1">
        <v>2140110227</v>
      </c>
      <c r="B3002" s="1" t="s">
        <v>1593</v>
      </c>
      <c r="C3002" s="1" t="s">
        <v>130</v>
      </c>
      <c r="D3002" s="1" t="s">
        <v>131</v>
      </c>
      <c r="E3002" s="1">
        <v>58</v>
      </c>
      <c r="F3002" s="1" t="s">
        <v>36</v>
      </c>
      <c r="G3002" s="1">
        <v>0</v>
      </c>
      <c r="H3002" s="1">
        <v>0</v>
      </c>
      <c r="I3002" s="1">
        <v>1.7575860000000001</v>
      </c>
    </row>
    <row r="3003" spans="1:9" x14ac:dyDescent="0.25">
      <c r="A3003" s="1">
        <v>2140110228</v>
      </c>
      <c r="B3003" s="1" t="s">
        <v>1594</v>
      </c>
      <c r="C3003" s="1" t="s">
        <v>130</v>
      </c>
      <c r="D3003" s="1" t="s">
        <v>131</v>
      </c>
      <c r="E3003" s="1">
        <v>1</v>
      </c>
      <c r="F3003" s="1" t="s">
        <v>36</v>
      </c>
      <c r="G3003" s="1">
        <v>0</v>
      </c>
      <c r="H3003" s="1">
        <v>0</v>
      </c>
      <c r="I3003" s="1">
        <v>1.76</v>
      </c>
    </row>
    <row r="3004" spans="1:9" x14ac:dyDescent="0.25">
      <c r="A3004" s="1">
        <v>2140110229</v>
      </c>
      <c r="B3004" s="1" t="s">
        <v>1595</v>
      </c>
      <c r="C3004" s="1" t="s">
        <v>126</v>
      </c>
      <c r="D3004" s="1" t="s">
        <v>127</v>
      </c>
      <c r="E3004" s="1">
        <v>35</v>
      </c>
      <c r="F3004" s="1" t="s">
        <v>36</v>
      </c>
      <c r="G3004" s="1">
        <v>0</v>
      </c>
      <c r="H3004" s="1">
        <v>0</v>
      </c>
      <c r="I3004" s="1">
        <v>1.934857</v>
      </c>
    </row>
    <row r="3005" spans="1:9" x14ac:dyDescent="0.25">
      <c r="A3005" s="1">
        <v>2140110230</v>
      </c>
      <c r="B3005" s="1" t="s">
        <v>1596</v>
      </c>
      <c r="C3005" s="1" t="s">
        <v>130</v>
      </c>
      <c r="D3005" s="1" t="s">
        <v>131</v>
      </c>
      <c r="E3005" s="1">
        <v>129</v>
      </c>
      <c r="F3005" s="1" t="s">
        <v>36</v>
      </c>
      <c r="G3005" s="1">
        <v>0</v>
      </c>
      <c r="H3005" s="3">
        <v>0</v>
      </c>
      <c r="I3005" s="1">
        <v>1.756667</v>
      </c>
    </row>
    <row r="3006" spans="1:9" x14ac:dyDescent="0.25">
      <c r="A3006" s="1">
        <v>2140110232</v>
      </c>
      <c r="B3006" s="1" t="s">
        <v>1597</v>
      </c>
      <c r="C3006" s="1" t="s">
        <v>130</v>
      </c>
      <c r="D3006" s="1" t="s">
        <v>131</v>
      </c>
      <c r="E3006" s="1">
        <v>19</v>
      </c>
      <c r="F3006" s="1" t="s">
        <v>36</v>
      </c>
      <c r="G3006" s="1">
        <v>0</v>
      </c>
      <c r="H3006" s="3">
        <v>0</v>
      </c>
      <c r="I3006" s="1">
        <v>1.766316</v>
      </c>
    </row>
    <row r="3007" spans="1:9" x14ac:dyDescent="0.25">
      <c r="A3007" s="1">
        <v>2140110249</v>
      </c>
      <c r="B3007" s="1" t="s">
        <v>1598</v>
      </c>
      <c r="C3007" s="1" t="s">
        <v>130</v>
      </c>
      <c r="D3007" s="1" t="s">
        <v>131</v>
      </c>
      <c r="E3007" s="1">
        <v>45</v>
      </c>
      <c r="F3007" s="1" t="s">
        <v>36</v>
      </c>
      <c r="G3007" s="1">
        <v>0</v>
      </c>
      <c r="H3007" s="1">
        <v>0</v>
      </c>
      <c r="I3007" s="1">
        <v>1.4568890000000001</v>
      </c>
    </row>
    <row r="3008" spans="1:9" x14ac:dyDescent="0.25">
      <c r="A3008" s="1">
        <v>2140110251</v>
      </c>
      <c r="B3008" s="1" t="s">
        <v>1599</v>
      </c>
      <c r="C3008" s="1" t="s">
        <v>130</v>
      </c>
      <c r="D3008" s="1" t="s">
        <v>131</v>
      </c>
      <c r="E3008" s="1">
        <v>125</v>
      </c>
      <c r="F3008" s="1" t="s">
        <v>36</v>
      </c>
      <c r="G3008" s="1">
        <v>0</v>
      </c>
      <c r="H3008" s="1">
        <v>0</v>
      </c>
      <c r="I3008" s="1">
        <v>1.61656</v>
      </c>
    </row>
    <row r="3009" spans="1:9" x14ac:dyDescent="0.25">
      <c r="A3009" s="1">
        <v>2140110255</v>
      </c>
      <c r="B3009" s="1" t="s">
        <v>1600</v>
      </c>
      <c r="C3009" s="1" t="s">
        <v>130</v>
      </c>
      <c r="D3009" s="1" t="s">
        <v>131</v>
      </c>
      <c r="E3009" s="1">
        <v>86</v>
      </c>
      <c r="F3009" s="1" t="s">
        <v>36</v>
      </c>
      <c r="G3009" s="3">
        <v>0</v>
      </c>
      <c r="H3009" s="1">
        <v>0</v>
      </c>
      <c r="I3009" s="1">
        <v>2.184186</v>
      </c>
    </row>
    <row r="3010" spans="1:9" x14ac:dyDescent="0.25">
      <c r="A3010" s="1">
        <v>2140110255</v>
      </c>
      <c r="B3010" s="1" t="s">
        <v>1600</v>
      </c>
      <c r="C3010" s="1" t="s">
        <v>126</v>
      </c>
      <c r="D3010" s="1" t="s">
        <v>127</v>
      </c>
      <c r="E3010" s="1">
        <v>415</v>
      </c>
      <c r="F3010" s="1" t="s">
        <v>36</v>
      </c>
      <c r="G3010" s="1">
        <v>0</v>
      </c>
      <c r="H3010" s="1">
        <v>0</v>
      </c>
      <c r="I3010" s="1">
        <v>2.1842169999999999</v>
      </c>
    </row>
    <row r="3011" spans="1:9" x14ac:dyDescent="0.25">
      <c r="A3011" s="1">
        <v>2140110256</v>
      </c>
      <c r="B3011" s="1" t="s">
        <v>1601</v>
      </c>
      <c r="C3011" s="1" t="s">
        <v>130</v>
      </c>
      <c r="D3011" s="1" t="s">
        <v>131</v>
      </c>
      <c r="E3011" s="1">
        <v>19</v>
      </c>
      <c r="F3011" s="1" t="s">
        <v>36</v>
      </c>
      <c r="G3011" s="1">
        <v>0</v>
      </c>
      <c r="H3011" s="1">
        <v>0</v>
      </c>
      <c r="I3011" s="1">
        <v>2.4447369999999999</v>
      </c>
    </row>
    <row r="3012" spans="1:9" x14ac:dyDescent="0.25">
      <c r="A3012" s="1">
        <v>2140110257</v>
      </c>
      <c r="B3012" s="1" t="s">
        <v>1602</v>
      </c>
      <c r="C3012" s="1" t="s">
        <v>130</v>
      </c>
      <c r="D3012" s="1" t="s">
        <v>131</v>
      </c>
      <c r="E3012" s="1">
        <v>438</v>
      </c>
      <c r="F3012" s="1" t="s">
        <v>36</v>
      </c>
      <c r="G3012" s="1">
        <v>0</v>
      </c>
      <c r="H3012" s="1">
        <v>0</v>
      </c>
      <c r="I3012" s="1">
        <v>2.8259129999999999</v>
      </c>
    </row>
    <row r="3013" spans="1:9" x14ac:dyDescent="0.25">
      <c r="A3013" s="1">
        <v>2140110258</v>
      </c>
      <c r="B3013" s="1" t="s">
        <v>1603</v>
      </c>
      <c r="C3013" s="1" t="s">
        <v>130</v>
      </c>
      <c r="D3013" s="1" t="s">
        <v>131</v>
      </c>
      <c r="E3013" s="1">
        <v>143</v>
      </c>
      <c r="F3013" s="1" t="s">
        <v>36</v>
      </c>
      <c r="G3013" s="1">
        <v>0</v>
      </c>
      <c r="H3013" s="1">
        <v>0</v>
      </c>
      <c r="I3013" s="1">
        <v>2.0043359999999999</v>
      </c>
    </row>
    <row r="3014" spans="1:9" x14ac:dyDescent="0.25">
      <c r="A3014" s="1">
        <v>2140110258</v>
      </c>
      <c r="B3014" s="1" t="s">
        <v>1603</v>
      </c>
      <c r="C3014" s="1" t="s">
        <v>126</v>
      </c>
      <c r="D3014" s="1" t="s">
        <v>127</v>
      </c>
      <c r="E3014" s="1">
        <v>115</v>
      </c>
      <c r="F3014" s="1" t="s">
        <v>36</v>
      </c>
      <c r="G3014" s="1">
        <v>0</v>
      </c>
      <c r="H3014" s="1">
        <v>0</v>
      </c>
      <c r="I3014" s="1">
        <v>2.0042610000000001</v>
      </c>
    </row>
    <row r="3015" spans="1:9" x14ac:dyDescent="0.25">
      <c r="A3015" s="1">
        <v>2140110259</v>
      </c>
      <c r="B3015" s="1" t="s">
        <v>1604</v>
      </c>
      <c r="C3015" s="1" t="s">
        <v>130</v>
      </c>
      <c r="D3015" s="1" t="s">
        <v>131</v>
      </c>
      <c r="E3015" s="1">
        <v>275</v>
      </c>
      <c r="F3015" s="1" t="s">
        <v>36</v>
      </c>
      <c r="G3015" s="1">
        <v>0</v>
      </c>
      <c r="H3015" s="1">
        <v>0</v>
      </c>
      <c r="I3015" s="1">
        <v>2.0014180000000001</v>
      </c>
    </row>
    <row r="3016" spans="1:9" x14ac:dyDescent="0.25">
      <c r="A3016" s="1">
        <v>2140110260</v>
      </c>
      <c r="B3016" s="1" t="s">
        <v>1605</v>
      </c>
      <c r="C3016" s="1" t="s">
        <v>130</v>
      </c>
      <c r="D3016" s="1" t="s">
        <v>131</v>
      </c>
      <c r="E3016" s="1">
        <v>7</v>
      </c>
      <c r="F3016" s="1" t="s">
        <v>36</v>
      </c>
      <c r="G3016" s="1">
        <v>0</v>
      </c>
      <c r="H3016" s="1">
        <v>0</v>
      </c>
      <c r="I3016" s="1">
        <v>2.6557140000000001</v>
      </c>
    </row>
    <row r="3017" spans="1:9" x14ac:dyDescent="0.25">
      <c r="A3017" s="1">
        <v>2140110260</v>
      </c>
      <c r="B3017" s="1" t="s">
        <v>1605</v>
      </c>
      <c r="C3017" s="1" t="s">
        <v>126</v>
      </c>
      <c r="D3017" s="1" t="s">
        <v>127</v>
      </c>
      <c r="E3017" s="1">
        <v>10</v>
      </c>
      <c r="F3017" s="1" t="s">
        <v>36</v>
      </c>
      <c r="G3017" s="1">
        <v>0</v>
      </c>
      <c r="H3017" s="1">
        <v>0</v>
      </c>
      <c r="I3017" s="1">
        <v>2.6560000000000001</v>
      </c>
    </row>
    <row r="3018" spans="1:9" x14ac:dyDescent="0.25">
      <c r="A3018" s="1">
        <v>2140110261</v>
      </c>
      <c r="B3018" s="1" t="s">
        <v>1606</v>
      </c>
      <c r="C3018" s="1" t="s">
        <v>130</v>
      </c>
      <c r="D3018" s="1" t="s">
        <v>131</v>
      </c>
      <c r="E3018" s="1">
        <v>114</v>
      </c>
      <c r="F3018" s="1" t="s">
        <v>36</v>
      </c>
      <c r="G3018" s="1">
        <v>0</v>
      </c>
      <c r="H3018" s="1">
        <v>0</v>
      </c>
      <c r="I3018" s="1">
        <v>1.56114</v>
      </c>
    </row>
    <row r="3019" spans="1:9" x14ac:dyDescent="0.25">
      <c r="A3019" s="1">
        <v>2140110261</v>
      </c>
      <c r="B3019" s="1" t="s">
        <v>1606</v>
      </c>
      <c r="C3019" s="1" t="s">
        <v>126</v>
      </c>
      <c r="D3019" s="1" t="s">
        <v>127</v>
      </c>
      <c r="E3019" s="1">
        <v>269</v>
      </c>
      <c r="F3019" s="1" t="s">
        <v>36</v>
      </c>
      <c r="G3019" s="1">
        <v>0</v>
      </c>
      <c r="H3019" s="1">
        <v>0</v>
      </c>
      <c r="I3019" s="1">
        <v>1.561115</v>
      </c>
    </row>
    <row r="3020" spans="1:9" x14ac:dyDescent="0.25">
      <c r="A3020" s="1">
        <v>2140110263</v>
      </c>
      <c r="B3020" s="1" t="s">
        <v>1607</v>
      </c>
      <c r="C3020" s="1" t="s">
        <v>130</v>
      </c>
      <c r="D3020" s="1" t="s">
        <v>131</v>
      </c>
      <c r="E3020" s="1">
        <v>170</v>
      </c>
      <c r="F3020" s="1" t="s">
        <v>36</v>
      </c>
      <c r="G3020" s="1">
        <v>0</v>
      </c>
      <c r="H3020" s="1">
        <v>0</v>
      </c>
      <c r="I3020" s="1">
        <v>1.805353</v>
      </c>
    </row>
    <row r="3021" spans="1:9" x14ac:dyDescent="0.25">
      <c r="A3021" s="1">
        <v>2140110264</v>
      </c>
      <c r="B3021" s="1" t="s">
        <v>1608</v>
      </c>
      <c r="C3021" s="1" t="s">
        <v>130</v>
      </c>
      <c r="D3021" s="1" t="s">
        <v>131</v>
      </c>
      <c r="E3021" s="1">
        <v>12</v>
      </c>
      <c r="F3021" s="1" t="s">
        <v>36</v>
      </c>
      <c r="G3021" s="1">
        <v>0</v>
      </c>
      <c r="H3021" s="1">
        <v>0</v>
      </c>
      <c r="I3021" s="1">
        <v>1.848333</v>
      </c>
    </row>
    <row r="3022" spans="1:9" x14ac:dyDescent="0.25">
      <c r="A3022" s="1">
        <v>2140110266</v>
      </c>
      <c r="B3022" s="1" t="s">
        <v>1609</v>
      </c>
      <c r="C3022" s="1" t="s">
        <v>130</v>
      </c>
      <c r="D3022" s="1" t="s">
        <v>131</v>
      </c>
      <c r="E3022" s="1">
        <v>60</v>
      </c>
      <c r="F3022" s="1" t="s">
        <v>36</v>
      </c>
      <c r="G3022" s="1">
        <v>0</v>
      </c>
      <c r="H3022" s="1">
        <v>0</v>
      </c>
      <c r="I3022" s="1">
        <v>2.095167</v>
      </c>
    </row>
    <row r="3023" spans="1:9" x14ac:dyDescent="0.25">
      <c r="A3023" s="1">
        <v>2140110267</v>
      </c>
      <c r="B3023" s="1" t="s">
        <v>1610</v>
      </c>
      <c r="C3023" s="1" t="s">
        <v>130</v>
      </c>
      <c r="D3023" s="1" t="s">
        <v>131</v>
      </c>
      <c r="E3023" s="1">
        <v>231</v>
      </c>
      <c r="F3023" s="1" t="s">
        <v>36</v>
      </c>
      <c r="G3023" s="1">
        <v>0</v>
      </c>
      <c r="H3023" s="1">
        <v>0</v>
      </c>
      <c r="I3023" s="1">
        <v>1.865108</v>
      </c>
    </row>
    <row r="3024" spans="1:9" x14ac:dyDescent="0.25">
      <c r="A3024" s="1">
        <v>2140110267</v>
      </c>
      <c r="B3024" s="1" t="s">
        <v>1610</v>
      </c>
      <c r="C3024" s="1" t="s">
        <v>126</v>
      </c>
      <c r="D3024" s="1" t="s">
        <v>127</v>
      </c>
      <c r="E3024" s="1">
        <v>229</v>
      </c>
      <c r="F3024" s="1" t="s">
        <v>36</v>
      </c>
      <c r="G3024" s="1">
        <v>0</v>
      </c>
      <c r="H3024" s="1">
        <v>0</v>
      </c>
      <c r="I3024" s="1">
        <v>1.8651089999999999</v>
      </c>
    </row>
    <row r="3025" spans="1:9" x14ac:dyDescent="0.25">
      <c r="A3025" s="1">
        <v>2140110268</v>
      </c>
      <c r="B3025" s="1" t="s">
        <v>1611</v>
      </c>
      <c r="C3025" s="1" t="s">
        <v>130</v>
      </c>
      <c r="D3025" s="1" t="s">
        <v>131</v>
      </c>
      <c r="E3025" s="1">
        <v>301</v>
      </c>
      <c r="F3025" s="1" t="s">
        <v>36</v>
      </c>
      <c r="G3025" s="1">
        <v>0</v>
      </c>
      <c r="H3025" s="1">
        <v>0</v>
      </c>
      <c r="I3025" s="1">
        <v>1.4885710000000001</v>
      </c>
    </row>
    <row r="3026" spans="1:9" x14ac:dyDescent="0.25">
      <c r="A3026" s="1">
        <v>2140110271</v>
      </c>
      <c r="B3026" s="1" t="s">
        <v>1612</v>
      </c>
      <c r="C3026" s="1" t="s">
        <v>130</v>
      </c>
      <c r="D3026" s="1" t="s">
        <v>131</v>
      </c>
      <c r="E3026" s="3">
        <v>1700</v>
      </c>
      <c r="F3026" s="1" t="s">
        <v>36</v>
      </c>
      <c r="G3026" s="1">
        <v>0</v>
      </c>
      <c r="H3026" s="1">
        <v>0</v>
      </c>
      <c r="I3026" s="1">
        <v>2.7502710000000001</v>
      </c>
    </row>
    <row r="3027" spans="1:9" x14ac:dyDescent="0.25">
      <c r="A3027" s="1">
        <v>2140110273</v>
      </c>
      <c r="B3027" s="1" t="s">
        <v>1613</v>
      </c>
      <c r="C3027" s="1" t="s">
        <v>130</v>
      </c>
      <c r="D3027" s="1" t="s">
        <v>131</v>
      </c>
      <c r="E3027" s="1">
        <v>1</v>
      </c>
      <c r="F3027" s="1" t="s">
        <v>36</v>
      </c>
      <c r="G3027" s="1">
        <v>0</v>
      </c>
      <c r="H3027" s="1">
        <v>0</v>
      </c>
      <c r="I3027" s="1">
        <v>1.61</v>
      </c>
    </row>
    <row r="3028" spans="1:9" x14ac:dyDescent="0.25">
      <c r="A3028" s="1">
        <v>2140110274</v>
      </c>
      <c r="B3028" s="1" t="s">
        <v>1614</v>
      </c>
      <c r="C3028" s="1" t="s">
        <v>130</v>
      </c>
      <c r="D3028" s="1" t="s">
        <v>131</v>
      </c>
      <c r="E3028" s="3">
        <v>1479</v>
      </c>
      <c r="F3028" s="1" t="s">
        <v>36</v>
      </c>
      <c r="G3028" s="1">
        <v>0</v>
      </c>
      <c r="H3028" s="1">
        <v>0</v>
      </c>
      <c r="I3028" s="1">
        <v>2.7488299999999999</v>
      </c>
    </row>
    <row r="3029" spans="1:9" x14ac:dyDescent="0.25">
      <c r="A3029" s="1">
        <v>2140110275</v>
      </c>
      <c r="B3029" s="1" t="s">
        <v>1615</v>
      </c>
      <c r="C3029" s="1" t="s">
        <v>130</v>
      </c>
      <c r="D3029" s="1" t="s">
        <v>131</v>
      </c>
      <c r="E3029" s="1">
        <v>75</v>
      </c>
      <c r="F3029" s="1" t="s">
        <v>36</v>
      </c>
      <c r="G3029" s="1">
        <v>0</v>
      </c>
      <c r="H3029" s="1">
        <v>0</v>
      </c>
      <c r="I3029" s="1">
        <v>1.439867</v>
      </c>
    </row>
    <row r="3030" spans="1:9" x14ac:dyDescent="0.25">
      <c r="A3030" s="1">
        <v>2140110280</v>
      </c>
      <c r="B3030" s="1" t="s">
        <v>1616</v>
      </c>
      <c r="C3030" s="1" t="s">
        <v>130</v>
      </c>
      <c r="D3030" s="1" t="s">
        <v>131</v>
      </c>
      <c r="E3030" s="1">
        <v>57</v>
      </c>
      <c r="F3030" s="1" t="s">
        <v>36</v>
      </c>
      <c r="G3030" s="1">
        <v>0</v>
      </c>
      <c r="H3030" s="1">
        <v>0</v>
      </c>
      <c r="I3030" s="1">
        <v>1.6250880000000001</v>
      </c>
    </row>
    <row r="3031" spans="1:9" x14ac:dyDescent="0.25">
      <c r="A3031" s="1">
        <v>2140110280</v>
      </c>
      <c r="B3031" s="1" t="s">
        <v>1616</v>
      </c>
      <c r="C3031" s="1" t="s">
        <v>157</v>
      </c>
      <c r="D3031" s="1" t="s">
        <v>158</v>
      </c>
      <c r="E3031" s="1">
        <v>17</v>
      </c>
      <c r="F3031" s="1" t="s">
        <v>36</v>
      </c>
      <c r="G3031" s="1">
        <v>0</v>
      </c>
      <c r="H3031" s="1">
        <v>0</v>
      </c>
      <c r="I3031" s="1">
        <v>1.625294</v>
      </c>
    </row>
    <row r="3032" spans="1:9" x14ac:dyDescent="0.25">
      <c r="A3032" s="1">
        <v>2140110285</v>
      </c>
      <c r="B3032" s="1" t="s">
        <v>1617</v>
      </c>
      <c r="C3032" s="1" t="s">
        <v>130</v>
      </c>
      <c r="D3032" s="1" t="s">
        <v>131</v>
      </c>
      <c r="E3032" s="1">
        <v>11</v>
      </c>
      <c r="F3032" s="1" t="s">
        <v>36</v>
      </c>
      <c r="G3032" s="1">
        <v>0</v>
      </c>
      <c r="H3032" s="1">
        <v>0</v>
      </c>
      <c r="I3032" s="1">
        <v>1.362727</v>
      </c>
    </row>
    <row r="3033" spans="1:9" x14ac:dyDescent="0.25">
      <c r="A3033" s="1">
        <v>2140110285</v>
      </c>
      <c r="B3033" s="1" t="s">
        <v>1617</v>
      </c>
      <c r="C3033" s="1" t="s">
        <v>126</v>
      </c>
      <c r="D3033" s="1" t="s">
        <v>127</v>
      </c>
      <c r="E3033" s="3">
        <v>9762</v>
      </c>
      <c r="F3033" s="1" t="s">
        <v>36</v>
      </c>
      <c r="G3033" s="1">
        <v>0</v>
      </c>
      <c r="H3033" s="1">
        <v>0</v>
      </c>
      <c r="I3033" s="1">
        <v>1.362541</v>
      </c>
    </row>
    <row r="3034" spans="1:9" x14ac:dyDescent="0.25">
      <c r="A3034" s="1">
        <v>2140110286</v>
      </c>
      <c r="B3034" s="1" t="s">
        <v>1618</v>
      </c>
      <c r="C3034" s="1" t="s">
        <v>130</v>
      </c>
      <c r="D3034" s="1" t="s">
        <v>131</v>
      </c>
      <c r="E3034" s="1">
        <v>2</v>
      </c>
      <c r="F3034" s="1" t="s">
        <v>36</v>
      </c>
      <c r="G3034" s="1">
        <v>0</v>
      </c>
      <c r="H3034" s="1">
        <v>0</v>
      </c>
      <c r="I3034" s="1">
        <v>1.36</v>
      </c>
    </row>
    <row r="3035" spans="1:9" x14ac:dyDescent="0.25">
      <c r="A3035" s="1">
        <v>2140110286</v>
      </c>
      <c r="B3035" s="1" t="s">
        <v>1618</v>
      </c>
      <c r="C3035" s="1" t="s">
        <v>126</v>
      </c>
      <c r="D3035" s="1" t="s">
        <v>127</v>
      </c>
      <c r="E3035" s="3">
        <v>14195</v>
      </c>
      <c r="F3035" s="1" t="s">
        <v>36</v>
      </c>
      <c r="G3035" s="1">
        <v>0</v>
      </c>
      <c r="H3035" s="1">
        <v>0</v>
      </c>
      <c r="I3035" s="1">
        <v>1.36242</v>
      </c>
    </row>
    <row r="3036" spans="1:9" x14ac:dyDescent="0.25">
      <c r="A3036" s="1">
        <v>2140110290</v>
      </c>
      <c r="B3036" s="1" t="s">
        <v>1619</v>
      </c>
      <c r="C3036" s="1" t="s">
        <v>130</v>
      </c>
      <c r="D3036" s="1" t="s">
        <v>131</v>
      </c>
      <c r="E3036" s="3">
        <v>3</v>
      </c>
      <c r="F3036" s="1" t="s">
        <v>36</v>
      </c>
      <c r="G3036" s="1">
        <v>0</v>
      </c>
      <c r="H3036" s="1">
        <v>0</v>
      </c>
      <c r="I3036" s="1">
        <v>1.3033330000000001</v>
      </c>
    </row>
    <row r="3037" spans="1:9" x14ac:dyDescent="0.25">
      <c r="A3037" s="1">
        <v>2140110291</v>
      </c>
      <c r="B3037" s="1" t="s">
        <v>1620</v>
      </c>
      <c r="C3037" s="1" t="s">
        <v>130</v>
      </c>
      <c r="D3037" s="1" t="s">
        <v>131</v>
      </c>
      <c r="E3037" s="3">
        <v>1683</v>
      </c>
      <c r="F3037" s="1" t="s">
        <v>36</v>
      </c>
      <c r="G3037" s="1">
        <v>0</v>
      </c>
      <c r="H3037" s="1">
        <v>0</v>
      </c>
      <c r="I3037" s="1">
        <v>1.242947</v>
      </c>
    </row>
    <row r="3038" spans="1:9" x14ac:dyDescent="0.25">
      <c r="A3038" s="1">
        <v>2140110292</v>
      </c>
      <c r="B3038" s="1" t="s">
        <v>1621</v>
      </c>
      <c r="C3038" s="1" t="s">
        <v>130</v>
      </c>
      <c r="D3038" s="1" t="s">
        <v>131</v>
      </c>
      <c r="E3038" s="3">
        <v>24</v>
      </c>
      <c r="F3038" s="1" t="s">
        <v>36</v>
      </c>
      <c r="G3038" s="1">
        <v>0</v>
      </c>
      <c r="H3038" s="1">
        <v>0</v>
      </c>
      <c r="I3038" s="1">
        <v>2.3762500000000002</v>
      </c>
    </row>
    <row r="3039" spans="1:9" x14ac:dyDescent="0.25">
      <c r="A3039" s="1">
        <v>2140110293</v>
      </c>
      <c r="B3039" s="1" t="s">
        <v>1622</v>
      </c>
      <c r="C3039" s="1" t="s">
        <v>130</v>
      </c>
      <c r="D3039" s="1" t="s">
        <v>131</v>
      </c>
      <c r="E3039" s="3">
        <v>1</v>
      </c>
      <c r="F3039" s="1" t="s">
        <v>36</v>
      </c>
      <c r="G3039" s="1">
        <v>0</v>
      </c>
      <c r="H3039" s="1">
        <v>0</v>
      </c>
      <c r="I3039" s="1">
        <v>1.95</v>
      </c>
    </row>
    <row r="3040" spans="1:9" x14ac:dyDescent="0.25">
      <c r="A3040" s="1">
        <v>2140110296</v>
      </c>
      <c r="B3040" s="1" t="s">
        <v>1623</v>
      </c>
      <c r="C3040" s="1" t="s">
        <v>130</v>
      </c>
      <c r="D3040" s="1" t="s">
        <v>131</v>
      </c>
      <c r="E3040" s="3">
        <v>78</v>
      </c>
      <c r="F3040" s="1" t="s">
        <v>36</v>
      </c>
      <c r="G3040" s="3">
        <v>0</v>
      </c>
      <c r="H3040" s="1">
        <v>0</v>
      </c>
      <c r="I3040" s="1">
        <v>2.0082049999999998</v>
      </c>
    </row>
    <row r="3041" spans="1:9" x14ac:dyDescent="0.25">
      <c r="A3041" s="1">
        <v>2140110297</v>
      </c>
      <c r="B3041" s="1" t="s">
        <v>1624</v>
      </c>
      <c r="C3041" s="1" t="s">
        <v>130</v>
      </c>
      <c r="D3041" s="1" t="s">
        <v>131</v>
      </c>
      <c r="E3041" s="3">
        <v>25</v>
      </c>
      <c r="F3041" s="1" t="s">
        <v>36</v>
      </c>
      <c r="G3041" s="1">
        <v>0</v>
      </c>
      <c r="H3041" s="3">
        <v>0</v>
      </c>
      <c r="I3041" s="1">
        <v>1.796</v>
      </c>
    </row>
    <row r="3042" spans="1:9" x14ac:dyDescent="0.25">
      <c r="A3042" s="1">
        <v>2140110298</v>
      </c>
      <c r="B3042" s="1" t="s">
        <v>1625</v>
      </c>
      <c r="C3042" s="1" t="s">
        <v>130</v>
      </c>
      <c r="D3042" s="1" t="s">
        <v>131</v>
      </c>
      <c r="E3042" s="3">
        <v>110</v>
      </c>
      <c r="F3042" s="1" t="s">
        <v>36</v>
      </c>
      <c r="G3042" s="1">
        <v>0</v>
      </c>
      <c r="H3042" s="1">
        <v>0</v>
      </c>
      <c r="I3042" s="1">
        <v>1.973727</v>
      </c>
    </row>
    <row r="3043" spans="1:9" x14ac:dyDescent="0.25">
      <c r="A3043" s="1">
        <v>2140110299</v>
      </c>
      <c r="B3043" s="1" t="s">
        <v>1626</v>
      </c>
      <c r="C3043" s="1" t="s">
        <v>130</v>
      </c>
      <c r="D3043" s="1" t="s">
        <v>131</v>
      </c>
      <c r="E3043" s="1">
        <v>111</v>
      </c>
      <c r="F3043" s="1" t="s">
        <v>36</v>
      </c>
      <c r="G3043" s="1">
        <v>0</v>
      </c>
      <c r="H3043" s="1">
        <v>0</v>
      </c>
      <c r="I3043" s="1">
        <v>2.0846849999999999</v>
      </c>
    </row>
    <row r="3044" spans="1:9" x14ac:dyDescent="0.25">
      <c r="A3044" s="1">
        <v>2140110303</v>
      </c>
      <c r="B3044" s="1" t="s">
        <v>1627</v>
      </c>
      <c r="C3044" s="1" t="s">
        <v>130</v>
      </c>
      <c r="D3044" s="1" t="s">
        <v>131</v>
      </c>
      <c r="E3044" s="1">
        <v>94</v>
      </c>
      <c r="F3044" s="1" t="s">
        <v>36</v>
      </c>
      <c r="G3044" s="1">
        <v>0</v>
      </c>
      <c r="H3044" s="1">
        <v>0</v>
      </c>
      <c r="I3044" s="1">
        <v>2.199255</v>
      </c>
    </row>
    <row r="3045" spans="1:9" x14ac:dyDescent="0.25">
      <c r="A3045" s="1">
        <v>2140110304</v>
      </c>
      <c r="B3045" s="1" t="s">
        <v>1628</v>
      </c>
      <c r="C3045" s="1" t="s">
        <v>130</v>
      </c>
      <c r="D3045" s="1" t="s">
        <v>131</v>
      </c>
      <c r="E3045" s="1">
        <v>409</v>
      </c>
      <c r="F3045" s="1" t="s">
        <v>36</v>
      </c>
      <c r="G3045" s="1">
        <v>0</v>
      </c>
      <c r="H3045" s="1">
        <v>0</v>
      </c>
      <c r="I3045" s="1">
        <v>1.754181</v>
      </c>
    </row>
    <row r="3046" spans="1:9" x14ac:dyDescent="0.25">
      <c r="A3046" s="1">
        <v>2140110305</v>
      </c>
      <c r="B3046" s="1" t="s">
        <v>1629</v>
      </c>
      <c r="C3046" s="1" t="s">
        <v>130</v>
      </c>
      <c r="D3046" s="1" t="s">
        <v>131</v>
      </c>
      <c r="E3046" s="3">
        <v>15</v>
      </c>
      <c r="F3046" s="1" t="s">
        <v>36</v>
      </c>
      <c r="G3046" s="1">
        <v>0</v>
      </c>
      <c r="H3046" s="1">
        <v>0</v>
      </c>
      <c r="I3046" s="1">
        <v>1.754</v>
      </c>
    </row>
    <row r="3047" spans="1:9" x14ac:dyDescent="0.25">
      <c r="A3047" s="1">
        <v>2140110306</v>
      </c>
      <c r="B3047" s="1" t="s">
        <v>1630</v>
      </c>
      <c r="C3047" s="1" t="s">
        <v>130</v>
      </c>
      <c r="D3047" s="1" t="s">
        <v>131</v>
      </c>
      <c r="E3047" s="3">
        <v>409</v>
      </c>
      <c r="F3047" s="1" t="s">
        <v>36</v>
      </c>
      <c r="G3047" s="1">
        <v>0</v>
      </c>
      <c r="H3047" s="1">
        <v>0</v>
      </c>
      <c r="I3047" s="1">
        <v>1.754181</v>
      </c>
    </row>
    <row r="3048" spans="1:9" x14ac:dyDescent="0.25">
      <c r="A3048" s="1">
        <v>2140110310</v>
      </c>
      <c r="B3048" s="1" t="s">
        <v>1631</v>
      </c>
      <c r="C3048" s="1" t="s">
        <v>130</v>
      </c>
      <c r="D3048" s="1" t="s">
        <v>131</v>
      </c>
      <c r="E3048" s="3">
        <v>14</v>
      </c>
      <c r="F3048" s="1" t="s">
        <v>36</v>
      </c>
      <c r="G3048" s="1">
        <v>0</v>
      </c>
      <c r="H3048" s="1">
        <v>0</v>
      </c>
      <c r="I3048" s="1">
        <v>2.6578569999999999</v>
      </c>
    </row>
    <row r="3049" spans="1:9" x14ac:dyDescent="0.25">
      <c r="A3049" s="1">
        <v>2140110311</v>
      </c>
      <c r="B3049" s="1" t="s">
        <v>1632</v>
      </c>
      <c r="C3049" s="1" t="s">
        <v>130</v>
      </c>
      <c r="D3049" s="1" t="s">
        <v>131</v>
      </c>
      <c r="E3049" s="1">
        <v>200</v>
      </c>
      <c r="F3049" s="1" t="s">
        <v>36</v>
      </c>
      <c r="G3049" s="1">
        <v>0</v>
      </c>
      <c r="H3049" s="1">
        <v>0</v>
      </c>
      <c r="I3049" s="1">
        <v>1.7542</v>
      </c>
    </row>
    <row r="3050" spans="1:9" x14ac:dyDescent="0.25">
      <c r="A3050" s="1">
        <v>2140110313</v>
      </c>
      <c r="B3050" s="1" t="s">
        <v>1633</v>
      </c>
      <c r="C3050" s="1" t="s">
        <v>130</v>
      </c>
      <c r="D3050" s="1" t="s">
        <v>131</v>
      </c>
      <c r="E3050" s="3">
        <v>305</v>
      </c>
      <c r="F3050" s="1" t="s">
        <v>36</v>
      </c>
      <c r="G3050" s="1">
        <v>0</v>
      </c>
      <c r="H3050" s="1">
        <v>0</v>
      </c>
      <c r="I3050" s="1">
        <v>2.592295</v>
      </c>
    </row>
    <row r="3051" spans="1:9" x14ac:dyDescent="0.25">
      <c r="A3051" s="1">
        <v>2140110319</v>
      </c>
      <c r="B3051" s="1" t="s">
        <v>1634</v>
      </c>
      <c r="C3051" s="1" t="s">
        <v>126</v>
      </c>
      <c r="D3051" s="1" t="s">
        <v>127</v>
      </c>
      <c r="E3051" s="1">
        <v>3</v>
      </c>
      <c r="F3051" s="1" t="s">
        <v>36</v>
      </c>
      <c r="G3051" s="1">
        <v>0</v>
      </c>
      <c r="H3051" s="1">
        <v>0</v>
      </c>
      <c r="I3051" s="1">
        <v>2.57</v>
      </c>
    </row>
    <row r="3052" spans="1:9" x14ac:dyDescent="0.25">
      <c r="A3052" s="1">
        <v>2140110320</v>
      </c>
      <c r="B3052" s="1" t="s">
        <v>1635</v>
      </c>
      <c r="C3052" s="1" t="s">
        <v>130</v>
      </c>
      <c r="D3052" s="1" t="s">
        <v>131</v>
      </c>
      <c r="E3052" s="1">
        <v>50</v>
      </c>
      <c r="F3052" s="1" t="s">
        <v>36</v>
      </c>
      <c r="G3052" s="1">
        <v>0</v>
      </c>
      <c r="H3052" s="1">
        <v>0</v>
      </c>
      <c r="I3052" s="1">
        <v>1.7307999999999999</v>
      </c>
    </row>
    <row r="3053" spans="1:9" x14ac:dyDescent="0.25">
      <c r="A3053" s="1">
        <v>2140110322</v>
      </c>
      <c r="B3053" s="1" t="s">
        <v>1636</v>
      </c>
      <c r="C3053" s="1" t="s">
        <v>130</v>
      </c>
      <c r="D3053" s="1" t="s">
        <v>131</v>
      </c>
      <c r="E3053" s="1">
        <v>43</v>
      </c>
      <c r="F3053" s="1" t="s">
        <v>36</v>
      </c>
      <c r="G3053" s="1">
        <v>0</v>
      </c>
      <c r="H3053" s="1">
        <v>0</v>
      </c>
      <c r="I3053" s="1">
        <v>1.9518599999999999</v>
      </c>
    </row>
    <row r="3054" spans="1:9" x14ac:dyDescent="0.25">
      <c r="A3054" s="1">
        <v>2140110333</v>
      </c>
      <c r="B3054" s="1" t="s">
        <v>1637</v>
      </c>
      <c r="C3054" s="1" t="s">
        <v>130</v>
      </c>
      <c r="D3054" s="1" t="s">
        <v>131</v>
      </c>
      <c r="E3054" s="1">
        <v>25</v>
      </c>
      <c r="F3054" s="1" t="s">
        <v>36</v>
      </c>
      <c r="G3054" s="1">
        <v>0</v>
      </c>
      <c r="H3054" s="1">
        <v>0</v>
      </c>
      <c r="I3054" s="1">
        <v>2.4371999999999998</v>
      </c>
    </row>
    <row r="3055" spans="1:9" x14ac:dyDescent="0.25">
      <c r="A3055" s="1">
        <v>2140110334</v>
      </c>
      <c r="B3055" s="1" t="s">
        <v>1638</v>
      </c>
      <c r="C3055" s="1" t="s">
        <v>130</v>
      </c>
      <c r="D3055" s="1" t="s">
        <v>131</v>
      </c>
      <c r="E3055" s="1">
        <v>100</v>
      </c>
      <c r="F3055" s="1" t="s">
        <v>36</v>
      </c>
      <c r="G3055" s="1">
        <v>0</v>
      </c>
      <c r="H3055" s="1">
        <v>0</v>
      </c>
      <c r="I3055" s="1">
        <v>2.1501999999999999</v>
      </c>
    </row>
    <row r="3056" spans="1:9" x14ac:dyDescent="0.25">
      <c r="A3056" s="1">
        <v>2140110337</v>
      </c>
      <c r="B3056" s="1" t="s">
        <v>1639</v>
      </c>
      <c r="C3056" s="1" t="s">
        <v>130</v>
      </c>
      <c r="D3056" s="1" t="s">
        <v>131</v>
      </c>
      <c r="E3056" s="1">
        <v>39</v>
      </c>
      <c r="F3056" s="1" t="s">
        <v>36</v>
      </c>
      <c r="G3056" s="1">
        <v>0</v>
      </c>
      <c r="H3056" s="1">
        <v>0</v>
      </c>
      <c r="I3056" s="1">
        <v>2.018462</v>
      </c>
    </row>
    <row r="3057" spans="1:9" x14ac:dyDescent="0.25">
      <c r="A3057" s="1">
        <v>2140110341</v>
      </c>
      <c r="B3057" s="1" t="s">
        <v>1640</v>
      </c>
      <c r="C3057" s="1" t="s">
        <v>130</v>
      </c>
      <c r="D3057" s="1" t="s">
        <v>131</v>
      </c>
      <c r="E3057" s="1">
        <v>175</v>
      </c>
      <c r="F3057" s="1" t="s">
        <v>36</v>
      </c>
      <c r="G3057" s="3">
        <v>0</v>
      </c>
      <c r="H3057" s="3">
        <v>0</v>
      </c>
      <c r="I3057" s="1">
        <v>3.0130859999999999</v>
      </c>
    </row>
    <row r="3058" spans="1:9" x14ac:dyDescent="0.25">
      <c r="A3058" s="1">
        <v>2140110342</v>
      </c>
      <c r="B3058" s="1" t="s">
        <v>1641</v>
      </c>
      <c r="C3058" s="1" t="s">
        <v>130</v>
      </c>
      <c r="D3058" s="1" t="s">
        <v>131</v>
      </c>
      <c r="E3058" s="1">
        <v>175</v>
      </c>
      <c r="F3058" s="1" t="s">
        <v>36</v>
      </c>
      <c r="G3058" s="3">
        <v>0</v>
      </c>
      <c r="H3058" s="3">
        <v>0</v>
      </c>
      <c r="I3058" s="1">
        <v>1.6186290000000001</v>
      </c>
    </row>
    <row r="3059" spans="1:9" x14ac:dyDescent="0.25">
      <c r="A3059" s="1">
        <v>2140110343</v>
      </c>
      <c r="B3059" s="1" t="s">
        <v>1642</v>
      </c>
      <c r="C3059" s="1" t="s">
        <v>130</v>
      </c>
      <c r="D3059" s="1" t="s">
        <v>131</v>
      </c>
      <c r="E3059" s="1">
        <v>125</v>
      </c>
      <c r="F3059" s="1" t="s">
        <v>36</v>
      </c>
      <c r="G3059" s="1">
        <v>0</v>
      </c>
      <c r="H3059" s="1">
        <v>0</v>
      </c>
      <c r="I3059" s="1">
        <v>1.4044000000000001</v>
      </c>
    </row>
    <row r="3060" spans="1:9" x14ac:dyDescent="0.25">
      <c r="A3060" s="1">
        <v>2140110345</v>
      </c>
      <c r="B3060" s="1" t="s">
        <v>1643</v>
      </c>
      <c r="C3060" s="1" t="s">
        <v>130</v>
      </c>
      <c r="D3060" s="1" t="s">
        <v>131</v>
      </c>
      <c r="E3060" s="3">
        <v>62</v>
      </c>
      <c r="F3060" s="1" t="s">
        <v>36</v>
      </c>
      <c r="G3060" s="1">
        <v>0</v>
      </c>
      <c r="H3060" s="1">
        <v>0</v>
      </c>
      <c r="I3060" s="1">
        <v>2.8220969999999999</v>
      </c>
    </row>
    <row r="3061" spans="1:9" x14ac:dyDescent="0.25">
      <c r="A3061" s="1">
        <v>2140110347</v>
      </c>
      <c r="B3061" s="1" t="s">
        <v>1644</v>
      </c>
      <c r="C3061" s="1" t="s">
        <v>130</v>
      </c>
      <c r="D3061" s="1" t="s">
        <v>131</v>
      </c>
      <c r="E3061" s="3">
        <v>222</v>
      </c>
      <c r="F3061" s="1" t="s">
        <v>36</v>
      </c>
      <c r="G3061" s="1">
        <v>0</v>
      </c>
      <c r="H3061" s="1">
        <v>0</v>
      </c>
      <c r="I3061" s="1">
        <v>1.9034230000000001</v>
      </c>
    </row>
    <row r="3062" spans="1:9" x14ac:dyDescent="0.25">
      <c r="A3062" s="1">
        <v>2140110348</v>
      </c>
      <c r="B3062" s="1" t="s">
        <v>1645</v>
      </c>
      <c r="C3062" s="1" t="s">
        <v>130</v>
      </c>
      <c r="D3062" s="1" t="s">
        <v>131</v>
      </c>
      <c r="E3062" s="1">
        <v>58</v>
      </c>
      <c r="F3062" s="1" t="s">
        <v>36</v>
      </c>
      <c r="G3062" s="1">
        <v>0</v>
      </c>
      <c r="H3062" s="1">
        <v>0</v>
      </c>
      <c r="I3062" s="1">
        <v>2.7975859999999999</v>
      </c>
    </row>
    <row r="3063" spans="1:9" x14ac:dyDescent="0.25">
      <c r="A3063" s="1">
        <v>2140110349</v>
      </c>
      <c r="B3063" s="1" t="s">
        <v>1646</v>
      </c>
      <c r="C3063" s="1" t="s">
        <v>130</v>
      </c>
      <c r="D3063" s="1" t="s">
        <v>131</v>
      </c>
      <c r="E3063" s="3">
        <v>49</v>
      </c>
      <c r="F3063" s="1" t="s">
        <v>36</v>
      </c>
      <c r="G3063" s="1">
        <v>0</v>
      </c>
      <c r="H3063" s="1">
        <v>0</v>
      </c>
      <c r="I3063" s="1">
        <v>2.3322449999999999</v>
      </c>
    </row>
    <row r="3064" spans="1:9" x14ac:dyDescent="0.25">
      <c r="A3064" s="1">
        <v>2140110351</v>
      </c>
      <c r="B3064" s="1" t="s">
        <v>1647</v>
      </c>
      <c r="C3064" s="1" t="s">
        <v>130</v>
      </c>
      <c r="D3064" s="1" t="s">
        <v>131</v>
      </c>
      <c r="E3064" s="1">
        <v>938</v>
      </c>
      <c r="F3064" s="1" t="s">
        <v>36</v>
      </c>
      <c r="G3064" s="1">
        <v>0</v>
      </c>
      <c r="H3064" s="1">
        <v>11</v>
      </c>
      <c r="I3064" s="1">
        <v>1.6914929999999999</v>
      </c>
    </row>
    <row r="3065" spans="1:9" x14ac:dyDescent="0.25">
      <c r="A3065" s="1">
        <v>2140110351</v>
      </c>
      <c r="B3065" s="1" t="s">
        <v>1647</v>
      </c>
      <c r="C3065" s="1" t="s">
        <v>126</v>
      </c>
      <c r="D3065" s="1" t="s">
        <v>127</v>
      </c>
      <c r="E3065" s="1">
        <v>389</v>
      </c>
      <c r="F3065" s="1" t="s">
        <v>36</v>
      </c>
      <c r="G3065" s="3">
        <v>0</v>
      </c>
      <c r="H3065" s="1">
        <v>0</v>
      </c>
      <c r="I3065" s="1">
        <v>1.6914910000000001</v>
      </c>
    </row>
    <row r="3066" spans="1:9" x14ac:dyDescent="0.25">
      <c r="A3066" s="1">
        <v>2140110351</v>
      </c>
      <c r="B3066" s="1" t="s">
        <v>1647</v>
      </c>
      <c r="C3066" s="1" t="s">
        <v>139</v>
      </c>
      <c r="D3066" s="1" t="s">
        <v>140</v>
      </c>
      <c r="E3066" s="1">
        <v>11</v>
      </c>
      <c r="F3066" s="1" t="s">
        <v>36</v>
      </c>
      <c r="G3066" s="1">
        <v>11</v>
      </c>
      <c r="H3066" s="1">
        <v>0</v>
      </c>
      <c r="I3066" s="1">
        <v>1.691818</v>
      </c>
    </row>
    <row r="3067" spans="1:9" x14ac:dyDescent="0.25">
      <c r="A3067" s="1">
        <v>2140110352</v>
      </c>
      <c r="B3067" s="1" t="s">
        <v>1648</v>
      </c>
      <c r="C3067" s="1" t="s">
        <v>130</v>
      </c>
      <c r="D3067" s="1" t="s">
        <v>131</v>
      </c>
      <c r="E3067" s="1">
        <v>446</v>
      </c>
      <c r="F3067" s="1" t="s">
        <v>36</v>
      </c>
      <c r="G3067" s="1">
        <v>0</v>
      </c>
      <c r="H3067" s="1">
        <v>0</v>
      </c>
      <c r="I3067" s="1">
        <v>1.2647980000000001</v>
      </c>
    </row>
    <row r="3068" spans="1:9" x14ac:dyDescent="0.25">
      <c r="A3068" s="1">
        <v>2140110355</v>
      </c>
      <c r="B3068" s="1" t="s">
        <v>1649</v>
      </c>
      <c r="C3068" s="1" t="s">
        <v>130</v>
      </c>
      <c r="D3068" s="1" t="s">
        <v>131</v>
      </c>
      <c r="E3068" s="3">
        <v>20</v>
      </c>
      <c r="F3068" s="1" t="s">
        <v>36</v>
      </c>
      <c r="G3068" s="1">
        <v>0</v>
      </c>
      <c r="H3068" s="1">
        <v>0</v>
      </c>
      <c r="I3068" s="1">
        <v>2.625</v>
      </c>
    </row>
    <row r="3069" spans="1:9" x14ac:dyDescent="0.25">
      <c r="A3069" s="1">
        <v>2140110357</v>
      </c>
      <c r="B3069" s="1" t="s">
        <v>1650</v>
      </c>
      <c r="C3069" s="1" t="s">
        <v>130</v>
      </c>
      <c r="D3069" s="1" t="s">
        <v>131</v>
      </c>
      <c r="E3069" s="1">
        <v>79</v>
      </c>
      <c r="F3069" s="1" t="s">
        <v>36</v>
      </c>
      <c r="G3069" s="1">
        <v>0</v>
      </c>
      <c r="H3069" s="1">
        <v>0</v>
      </c>
      <c r="I3069" s="1">
        <v>2.600759</v>
      </c>
    </row>
    <row r="3070" spans="1:9" x14ac:dyDescent="0.25">
      <c r="A3070" s="1">
        <v>2140110358</v>
      </c>
      <c r="B3070" s="1" t="s">
        <v>1651</v>
      </c>
      <c r="C3070" s="1" t="s">
        <v>130</v>
      </c>
      <c r="D3070" s="1" t="s">
        <v>131</v>
      </c>
      <c r="E3070" s="1">
        <v>19</v>
      </c>
      <c r="F3070" s="1" t="s">
        <v>36</v>
      </c>
      <c r="G3070" s="1">
        <v>0</v>
      </c>
      <c r="H3070" s="1">
        <v>0</v>
      </c>
      <c r="I3070" s="1">
        <v>2.6210529999999999</v>
      </c>
    </row>
    <row r="3071" spans="1:9" x14ac:dyDescent="0.25">
      <c r="A3071" s="1">
        <v>2140110402</v>
      </c>
      <c r="B3071" s="1" t="s">
        <v>1652</v>
      </c>
      <c r="C3071" s="1" t="s">
        <v>130</v>
      </c>
      <c r="D3071" s="1" t="s">
        <v>131</v>
      </c>
      <c r="E3071" s="1">
        <v>0</v>
      </c>
      <c r="F3071" s="1" t="s">
        <v>36</v>
      </c>
      <c r="G3071" s="1">
        <v>0</v>
      </c>
      <c r="H3071" s="1">
        <v>18</v>
      </c>
      <c r="I3071" s="1">
        <v>0</v>
      </c>
    </row>
    <row r="3072" spans="1:9" x14ac:dyDescent="0.25">
      <c r="A3072" s="1">
        <v>2140110402</v>
      </c>
      <c r="B3072" s="1" t="s">
        <v>1652</v>
      </c>
      <c r="C3072" s="1" t="s">
        <v>126</v>
      </c>
      <c r="D3072" s="1" t="s">
        <v>127</v>
      </c>
      <c r="E3072" s="3">
        <v>525</v>
      </c>
      <c r="F3072" s="1" t="s">
        <v>36</v>
      </c>
      <c r="G3072" s="1">
        <v>0</v>
      </c>
      <c r="H3072" s="1">
        <v>0</v>
      </c>
      <c r="I3072" s="1">
        <v>1.921162</v>
      </c>
    </row>
    <row r="3073" spans="1:9" x14ac:dyDescent="0.25">
      <c r="A3073" s="1">
        <v>2140110402</v>
      </c>
      <c r="B3073" s="1" t="s">
        <v>1652</v>
      </c>
      <c r="C3073" s="1" t="s">
        <v>139</v>
      </c>
      <c r="D3073" s="1" t="s">
        <v>140</v>
      </c>
      <c r="E3073" s="1">
        <v>18</v>
      </c>
      <c r="F3073" s="1" t="s">
        <v>36</v>
      </c>
      <c r="G3073" s="1">
        <v>18</v>
      </c>
      <c r="H3073" s="1">
        <v>0</v>
      </c>
      <c r="I3073" s="1">
        <v>1.921111</v>
      </c>
    </row>
    <row r="3074" spans="1:9" x14ac:dyDescent="0.25">
      <c r="A3074" s="1">
        <v>2140110403</v>
      </c>
      <c r="B3074" s="1" t="s">
        <v>1653</v>
      </c>
      <c r="C3074" s="1" t="s">
        <v>130</v>
      </c>
      <c r="D3074" s="1" t="s">
        <v>131</v>
      </c>
      <c r="E3074" s="1">
        <v>198</v>
      </c>
      <c r="F3074" s="1" t="s">
        <v>36</v>
      </c>
      <c r="G3074" s="1">
        <v>0</v>
      </c>
      <c r="H3074" s="1">
        <v>0</v>
      </c>
      <c r="I3074" s="1">
        <v>1.9090400000000001</v>
      </c>
    </row>
    <row r="3075" spans="1:9" x14ac:dyDescent="0.25">
      <c r="A3075" s="1">
        <v>2140110405</v>
      </c>
      <c r="B3075" s="1" t="s">
        <v>1654</v>
      </c>
      <c r="C3075" s="1" t="s">
        <v>130</v>
      </c>
      <c r="D3075" s="1" t="s">
        <v>131</v>
      </c>
      <c r="E3075" s="1">
        <v>125</v>
      </c>
      <c r="F3075" s="1" t="s">
        <v>36</v>
      </c>
      <c r="G3075" s="1">
        <v>0</v>
      </c>
      <c r="H3075" s="1">
        <v>0</v>
      </c>
      <c r="I3075" s="1">
        <v>1.8329599999999999</v>
      </c>
    </row>
    <row r="3076" spans="1:9" x14ac:dyDescent="0.25">
      <c r="A3076" s="1">
        <v>2140110407</v>
      </c>
      <c r="B3076" s="1" t="s">
        <v>1655</v>
      </c>
      <c r="C3076" s="1" t="s">
        <v>130</v>
      </c>
      <c r="D3076" s="1" t="s">
        <v>131</v>
      </c>
      <c r="E3076" s="1">
        <v>9</v>
      </c>
      <c r="F3076" s="1" t="s">
        <v>36</v>
      </c>
      <c r="G3076" s="1">
        <v>0</v>
      </c>
      <c r="H3076" s="1">
        <v>0</v>
      </c>
      <c r="I3076" s="1">
        <v>2.3244440000000002</v>
      </c>
    </row>
    <row r="3077" spans="1:9" x14ac:dyDescent="0.25">
      <c r="A3077" s="1">
        <v>2140110408</v>
      </c>
      <c r="B3077" s="1" t="s">
        <v>1656</v>
      </c>
      <c r="C3077" s="1" t="s">
        <v>130</v>
      </c>
      <c r="D3077" s="1" t="s">
        <v>131</v>
      </c>
      <c r="E3077" s="1">
        <v>39</v>
      </c>
      <c r="F3077" s="1" t="s">
        <v>36</v>
      </c>
      <c r="G3077" s="1">
        <v>0</v>
      </c>
      <c r="H3077" s="1">
        <v>0</v>
      </c>
      <c r="I3077" s="1">
        <v>1.8823080000000001</v>
      </c>
    </row>
    <row r="3078" spans="1:9" x14ac:dyDescent="0.25">
      <c r="A3078" s="1">
        <v>2140110408</v>
      </c>
      <c r="B3078" s="1" t="s">
        <v>1656</v>
      </c>
      <c r="C3078" s="1" t="s">
        <v>126</v>
      </c>
      <c r="D3078" s="1" t="s">
        <v>127</v>
      </c>
      <c r="E3078" s="1">
        <v>236</v>
      </c>
      <c r="F3078" s="1" t="s">
        <v>36</v>
      </c>
      <c r="G3078" s="1">
        <v>0</v>
      </c>
      <c r="H3078" s="1">
        <v>0</v>
      </c>
      <c r="I3078" s="1">
        <v>1.8822030000000001</v>
      </c>
    </row>
    <row r="3079" spans="1:9" x14ac:dyDescent="0.25">
      <c r="A3079" s="1">
        <v>2140110409</v>
      </c>
      <c r="B3079" s="1" t="s">
        <v>1657</v>
      </c>
      <c r="C3079" s="1" t="s">
        <v>130</v>
      </c>
      <c r="D3079" s="1" t="s">
        <v>131</v>
      </c>
      <c r="E3079" s="1">
        <v>431</v>
      </c>
      <c r="F3079" s="1" t="s">
        <v>36</v>
      </c>
      <c r="G3079" s="1">
        <v>0</v>
      </c>
      <c r="H3079" s="1">
        <v>0</v>
      </c>
      <c r="I3079" s="1">
        <v>2.0067520000000001</v>
      </c>
    </row>
    <row r="3080" spans="1:9" x14ac:dyDescent="0.25">
      <c r="A3080" s="1">
        <v>2140110410</v>
      </c>
      <c r="B3080" s="1" t="s">
        <v>1658</v>
      </c>
      <c r="C3080" s="1" t="s">
        <v>130</v>
      </c>
      <c r="D3080" s="1" t="s">
        <v>131</v>
      </c>
      <c r="E3080" s="1">
        <v>167</v>
      </c>
      <c r="F3080" s="1" t="s">
        <v>36</v>
      </c>
      <c r="G3080" s="1">
        <v>0</v>
      </c>
      <c r="H3080" s="1">
        <v>0</v>
      </c>
      <c r="I3080" s="1">
        <v>2.8168859999999998</v>
      </c>
    </row>
    <row r="3081" spans="1:9" x14ac:dyDescent="0.25">
      <c r="A3081" s="1">
        <v>2140110411</v>
      </c>
      <c r="B3081" s="1" t="s">
        <v>1659</v>
      </c>
      <c r="C3081" s="1" t="s">
        <v>130</v>
      </c>
      <c r="D3081" s="1" t="s">
        <v>131</v>
      </c>
      <c r="E3081" s="1">
        <v>1</v>
      </c>
      <c r="F3081" s="1" t="s">
        <v>36</v>
      </c>
      <c r="G3081" s="1">
        <v>0</v>
      </c>
      <c r="H3081" s="1">
        <v>0</v>
      </c>
      <c r="I3081" s="1">
        <v>2.5</v>
      </c>
    </row>
    <row r="3082" spans="1:9" x14ac:dyDescent="0.25">
      <c r="A3082" s="1">
        <v>2140110412</v>
      </c>
      <c r="B3082" s="1" t="s">
        <v>1660</v>
      </c>
      <c r="C3082" s="1" t="s">
        <v>130</v>
      </c>
      <c r="D3082" s="1" t="s">
        <v>131</v>
      </c>
      <c r="E3082" s="3">
        <v>8</v>
      </c>
      <c r="F3082" s="1" t="s">
        <v>36</v>
      </c>
      <c r="G3082" s="1">
        <v>0</v>
      </c>
      <c r="H3082" s="1">
        <v>0</v>
      </c>
      <c r="I3082" s="1">
        <v>2.5212500000000002</v>
      </c>
    </row>
    <row r="3083" spans="1:9" x14ac:dyDescent="0.25">
      <c r="A3083" s="1">
        <v>2140110413</v>
      </c>
      <c r="B3083" s="1" t="s">
        <v>1661</v>
      </c>
      <c r="C3083" s="1" t="s">
        <v>130</v>
      </c>
      <c r="D3083" s="1" t="s">
        <v>131</v>
      </c>
      <c r="E3083" s="1">
        <v>53</v>
      </c>
      <c r="F3083" s="1" t="s">
        <v>36</v>
      </c>
      <c r="G3083" s="1">
        <v>1</v>
      </c>
      <c r="H3083" s="1">
        <v>0</v>
      </c>
      <c r="I3083" s="1">
        <v>2.4533960000000001</v>
      </c>
    </row>
    <row r="3084" spans="1:9" x14ac:dyDescent="0.25">
      <c r="A3084" s="1">
        <v>2140110414</v>
      </c>
      <c r="B3084" s="1" t="s">
        <v>1662</v>
      </c>
      <c r="C3084" s="1" t="s">
        <v>130</v>
      </c>
      <c r="D3084" s="1" t="s">
        <v>131</v>
      </c>
      <c r="E3084" s="1">
        <v>0</v>
      </c>
      <c r="F3084" s="1" t="s">
        <v>36</v>
      </c>
      <c r="G3084" s="1">
        <v>0</v>
      </c>
      <c r="H3084" s="1">
        <v>27</v>
      </c>
      <c r="I3084" s="1">
        <v>2.4849999999999999</v>
      </c>
    </row>
    <row r="3085" spans="1:9" x14ac:dyDescent="0.25">
      <c r="A3085" s="1">
        <v>2140110414</v>
      </c>
      <c r="B3085" s="1" t="s">
        <v>1662</v>
      </c>
      <c r="C3085" s="1" t="s">
        <v>139</v>
      </c>
      <c r="D3085" s="1" t="s">
        <v>140</v>
      </c>
      <c r="E3085" s="1">
        <v>26</v>
      </c>
      <c r="F3085" s="1" t="s">
        <v>36</v>
      </c>
      <c r="G3085" s="1">
        <v>27</v>
      </c>
      <c r="H3085" s="1">
        <v>0</v>
      </c>
      <c r="I3085" s="1">
        <v>2.4838460000000002</v>
      </c>
    </row>
    <row r="3086" spans="1:9" x14ac:dyDescent="0.25">
      <c r="A3086" s="1">
        <v>2140110415</v>
      </c>
      <c r="B3086" s="1" t="s">
        <v>1663</v>
      </c>
      <c r="C3086" s="1" t="s">
        <v>130</v>
      </c>
      <c r="D3086" s="1" t="s">
        <v>131</v>
      </c>
      <c r="E3086" s="1">
        <v>37</v>
      </c>
      <c r="F3086" s="1" t="s">
        <v>36</v>
      </c>
      <c r="G3086" s="1">
        <v>0</v>
      </c>
      <c r="H3086" s="1">
        <v>0</v>
      </c>
      <c r="I3086" s="1">
        <v>1.058378</v>
      </c>
    </row>
    <row r="3087" spans="1:9" x14ac:dyDescent="0.25">
      <c r="A3087" s="1">
        <v>2140110416</v>
      </c>
      <c r="B3087" s="1" t="s">
        <v>1664</v>
      </c>
      <c r="C3087" s="1" t="s">
        <v>130</v>
      </c>
      <c r="D3087" s="1" t="s">
        <v>131</v>
      </c>
      <c r="E3087" s="1">
        <v>30</v>
      </c>
      <c r="F3087" s="1" t="s">
        <v>36</v>
      </c>
      <c r="G3087" s="1">
        <v>600</v>
      </c>
      <c r="H3087" s="1">
        <v>0</v>
      </c>
      <c r="I3087" s="1">
        <v>1.4696670000000001</v>
      </c>
    </row>
    <row r="3088" spans="1:9" x14ac:dyDescent="0.25">
      <c r="A3088" s="1">
        <v>2140110417</v>
      </c>
      <c r="B3088" s="1" t="s">
        <v>1665</v>
      </c>
      <c r="C3088" s="1" t="s">
        <v>130</v>
      </c>
      <c r="D3088" s="1" t="s">
        <v>131</v>
      </c>
      <c r="E3088" s="3">
        <v>3018</v>
      </c>
      <c r="F3088" s="1" t="s">
        <v>36</v>
      </c>
      <c r="G3088" s="1">
        <v>0</v>
      </c>
      <c r="H3088" s="1">
        <v>0</v>
      </c>
      <c r="I3088" s="1">
        <v>1.1436710000000001</v>
      </c>
    </row>
    <row r="3089" spans="1:9" x14ac:dyDescent="0.25">
      <c r="A3089" s="1">
        <v>2140110418</v>
      </c>
      <c r="B3089" s="1" t="s">
        <v>1666</v>
      </c>
      <c r="C3089" s="1" t="s">
        <v>130</v>
      </c>
      <c r="D3089" s="1" t="s">
        <v>131</v>
      </c>
      <c r="E3089" s="1">
        <v>36</v>
      </c>
      <c r="F3089" s="1" t="s">
        <v>36</v>
      </c>
      <c r="G3089" s="1">
        <v>0</v>
      </c>
      <c r="H3089" s="1">
        <v>0</v>
      </c>
      <c r="I3089" s="1">
        <v>1.2324999999999999</v>
      </c>
    </row>
    <row r="3090" spans="1:9" x14ac:dyDescent="0.25">
      <c r="A3090" s="1">
        <v>2140110419</v>
      </c>
      <c r="B3090" s="1" t="s">
        <v>1667</v>
      </c>
      <c r="C3090" s="1" t="s">
        <v>130</v>
      </c>
      <c r="D3090" s="1" t="s">
        <v>131</v>
      </c>
      <c r="E3090" s="1">
        <v>2</v>
      </c>
      <c r="F3090" s="1" t="s">
        <v>36</v>
      </c>
      <c r="G3090" s="1">
        <v>0</v>
      </c>
      <c r="H3090" s="1">
        <v>29</v>
      </c>
      <c r="I3090" s="1">
        <v>1.1200000000000001</v>
      </c>
    </row>
    <row r="3091" spans="1:9" x14ac:dyDescent="0.25">
      <c r="A3091" s="1">
        <v>2140110419</v>
      </c>
      <c r="B3091" s="1" t="s">
        <v>1667</v>
      </c>
      <c r="C3091" s="1" t="s">
        <v>139</v>
      </c>
      <c r="D3091" s="1" t="s">
        <v>140</v>
      </c>
      <c r="E3091" s="1">
        <v>29</v>
      </c>
      <c r="F3091" s="1" t="s">
        <v>36</v>
      </c>
      <c r="G3091" s="1">
        <v>29</v>
      </c>
      <c r="H3091" s="1">
        <v>0</v>
      </c>
      <c r="I3091" s="1">
        <v>1.1189659999999999</v>
      </c>
    </row>
    <row r="3092" spans="1:9" x14ac:dyDescent="0.25">
      <c r="A3092" s="1">
        <v>2140110420</v>
      </c>
      <c r="B3092" s="1" t="s">
        <v>1668</v>
      </c>
      <c r="C3092" s="1" t="s">
        <v>130</v>
      </c>
      <c r="D3092" s="1" t="s">
        <v>131</v>
      </c>
      <c r="E3092" s="1">
        <v>50</v>
      </c>
      <c r="F3092" s="1" t="s">
        <v>36</v>
      </c>
      <c r="G3092" s="1">
        <v>0</v>
      </c>
      <c r="H3092" s="1">
        <v>0</v>
      </c>
      <c r="I3092" s="1">
        <v>0.98399999999999999</v>
      </c>
    </row>
    <row r="3093" spans="1:9" x14ac:dyDescent="0.25">
      <c r="A3093" s="1">
        <v>2140110421</v>
      </c>
      <c r="B3093" s="1" t="s">
        <v>1669</v>
      </c>
      <c r="C3093" s="1" t="s">
        <v>130</v>
      </c>
      <c r="D3093" s="1" t="s">
        <v>131</v>
      </c>
      <c r="E3093" s="1">
        <v>90</v>
      </c>
      <c r="F3093" s="1" t="s">
        <v>36</v>
      </c>
      <c r="G3093" s="1">
        <v>0</v>
      </c>
      <c r="H3093" s="1">
        <v>0</v>
      </c>
      <c r="I3093" s="1">
        <v>2.0032220000000001</v>
      </c>
    </row>
    <row r="3094" spans="1:9" x14ac:dyDescent="0.25">
      <c r="A3094" s="1">
        <v>2140110422</v>
      </c>
      <c r="B3094" s="1" t="s">
        <v>1670</v>
      </c>
      <c r="C3094" s="1" t="s">
        <v>130</v>
      </c>
      <c r="D3094" s="1" t="s">
        <v>131</v>
      </c>
      <c r="E3094" s="3">
        <v>373</v>
      </c>
      <c r="F3094" s="1" t="s">
        <v>36</v>
      </c>
      <c r="G3094" s="1">
        <v>0</v>
      </c>
      <c r="H3094" s="3">
        <v>0</v>
      </c>
      <c r="I3094" s="1">
        <v>1.650509</v>
      </c>
    </row>
    <row r="3095" spans="1:9" x14ac:dyDescent="0.25">
      <c r="A3095" s="1">
        <v>2140110423</v>
      </c>
      <c r="B3095" s="1" t="s">
        <v>1671</v>
      </c>
      <c r="C3095" s="1" t="s">
        <v>130</v>
      </c>
      <c r="D3095" s="1" t="s">
        <v>131</v>
      </c>
      <c r="E3095" s="1">
        <v>9</v>
      </c>
      <c r="F3095" s="1" t="s">
        <v>36</v>
      </c>
      <c r="G3095" s="1">
        <v>0</v>
      </c>
      <c r="H3095" s="1">
        <v>0</v>
      </c>
      <c r="I3095" s="1">
        <v>2.003333</v>
      </c>
    </row>
    <row r="3096" spans="1:9" x14ac:dyDescent="0.25">
      <c r="A3096" s="1">
        <v>2140110424</v>
      </c>
      <c r="B3096" s="1" t="s">
        <v>1672</v>
      </c>
      <c r="C3096" s="1" t="s">
        <v>130</v>
      </c>
      <c r="D3096" s="1" t="s">
        <v>131</v>
      </c>
      <c r="E3096" s="1">
        <v>81</v>
      </c>
      <c r="F3096" s="1" t="s">
        <v>36</v>
      </c>
      <c r="G3096" s="1">
        <v>0</v>
      </c>
      <c r="H3096" s="1">
        <v>0</v>
      </c>
      <c r="I3096" s="1">
        <v>1.39</v>
      </c>
    </row>
    <row r="3097" spans="1:9" x14ac:dyDescent="0.25">
      <c r="A3097" s="1">
        <v>2140110425</v>
      </c>
      <c r="B3097" s="1" t="s">
        <v>1673</v>
      </c>
      <c r="C3097" s="1" t="s">
        <v>130</v>
      </c>
      <c r="D3097" s="1" t="s">
        <v>131</v>
      </c>
      <c r="E3097" s="3">
        <v>1498</v>
      </c>
      <c r="F3097" s="1" t="s">
        <v>36</v>
      </c>
      <c r="G3097" s="1">
        <v>0</v>
      </c>
      <c r="H3097" s="1">
        <v>0</v>
      </c>
      <c r="I3097" s="1">
        <v>1.1276029999999999</v>
      </c>
    </row>
    <row r="3098" spans="1:9" x14ac:dyDescent="0.25">
      <c r="A3098" s="1">
        <v>2140110426</v>
      </c>
      <c r="B3098" s="1" t="s">
        <v>1674</v>
      </c>
      <c r="C3098" s="1" t="s">
        <v>130</v>
      </c>
      <c r="D3098" s="1" t="s">
        <v>131</v>
      </c>
      <c r="E3098" s="1">
        <v>865</v>
      </c>
      <c r="F3098" s="1" t="s">
        <v>36</v>
      </c>
      <c r="G3098" s="1">
        <v>0</v>
      </c>
      <c r="H3098" s="1">
        <v>0</v>
      </c>
      <c r="I3098" s="1">
        <v>1.4831909999999999</v>
      </c>
    </row>
    <row r="3099" spans="1:9" x14ac:dyDescent="0.25">
      <c r="A3099" s="1">
        <v>2140110433</v>
      </c>
      <c r="B3099" s="1" t="s">
        <v>1675</v>
      </c>
      <c r="C3099" s="1" t="s">
        <v>130</v>
      </c>
      <c r="D3099" s="1" t="s">
        <v>131</v>
      </c>
      <c r="E3099" s="1">
        <v>928</v>
      </c>
      <c r="F3099" s="1" t="s">
        <v>36</v>
      </c>
      <c r="G3099" s="1">
        <v>0</v>
      </c>
      <c r="H3099" s="1">
        <v>0</v>
      </c>
      <c r="I3099" s="1">
        <v>1.4098599999999999</v>
      </c>
    </row>
    <row r="3100" spans="1:9" x14ac:dyDescent="0.25">
      <c r="A3100" s="1">
        <v>2140110434</v>
      </c>
      <c r="B3100" s="1" t="s">
        <v>1676</v>
      </c>
      <c r="C3100" s="1" t="s">
        <v>130</v>
      </c>
      <c r="D3100" s="1" t="s">
        <v>131</v>
      </c>
      <c r="E3100" s="1">
        <v>150</v>
      </c>
      <c r="F3100" s="1" t="s">
        <v>36</v>
      </c>
      <c r="G3100" s="1">
        <v>0</v>
      </c>
      <c r="H3100" s="1">
        <v>0</v>
      </c>
      <c r="I3100" s="1">
        <v>1.6981999999999999</v>
      </c>
    </row>
    <row r="3101" spans="1:9" x14ac:dyDescent="0.25">
      <c r="A3101" s="1">
        <v>2140110435</v>
      </c>
      <c r="B3101" s="1" t="s">
        <v>1677</v>
      </c>
      <c r="C3101" s="1" t="s">
        <v>130</v>
      </c>
      <c r="D3101" s="1" t="s">
        <v>131</v>
      </c>
      <c r="E3101" s="3">
        <v>1741</v>
      </c>
      <c r="F3101" s="1" t="s">
        <v>36</v>
      </c>
      <c r="G3101" s="1">
        <v>0</v>
      </c>
      <c r="H3101" s="1">
        <v>0</v>
      </c>
      <c r="I3101" s="1">
        <v>1.565032</v>
      </c>
    </row>
    <row r="3102" spans="1:9" x14ac:dyDescent="0.25">
      <c r="A3102" s="1">
        <v>2140110439</v>
      </c>
      <c r="B3102" s="1" t="s">
        <v>1678</v>
      </c>
      <c r="C3102" s="1" t="s">
        <v>130</v>
      </c>
      <c r="D3102" s="1" t="s">
        <v>131</v>
      </c>
      <c r="E3102" s="1">
        <v>20</v>
      </c>
      <c r="F3102" s="1" t="s">
        <v>36</v>
      </c>
      <c r="G3102" s="1">
        <v>0</v>
      </c>
      <c r="H3102" s="1">
        <v>0</v>
      </c>
      <c r="I3102" s="1">
        <v>1.7035</v>
      </c>
    </row>
    <row r="3103" spans="1:9" x14ac:dyDescent="0.25">
      <c r="A3103" s="1">
        <v>2140110440</v>
      </c>
      <c r="B3103" s="1" t="s">
        <v>1679</v>
      </c>
      <c r="C3103" s="1" t="s">
        <v>130</v>
      </c>
      <c r="D3103" s="1" t="s">
        <v>131</v>
      </c>
      <c r="E3103" s="1">
        <v>46</v>
      </c>
      <c r="F3103" s="1" t="s">
        <v>36</v>
      </c>
      <c r="G3103" s="1">
        <v>0</v>
      </c>
      <c r="H3103" s="1">
        <v>0</v>
      </c>
      <c r="I3103" s="1">
        <v>1.331304</v>
      </c>
    </row>
    <row r="3104" spans="1:9" x14ac:dyDescent="0.25">
      <c r="A3104" s="1">
        <v>2140110441</v>
      </c>
      <c r="B3104" s="1" t="s">
        <v>1680</v>
      </c>
      <c r="C3104" s="1" t="s">
        <v>130</v>
      </c>
      <c r="D3104" s="1" t="s">
        <v>131</v>
      </c>
      <c r="E3104" s="1">
        <v>31</v>
      </c>
      <c r="F3104" s="1" t="s">
        <v>36</v>
      </c>
      <c r="G3104" s="1">
        <v>0</v>
      </c>
      <c r="H3104" s="1">
        <v>0</v>
      </c>
      <c r="I3104" s="1">
        <v>1.5190319999999999</v>
      </c>
    </row>
    <row r="3105" spans="1:9" x14ac:dyDescent="0.25">
      <c r="A3105" s="1">
        <v>2140110447</v>
      </c>
      <c r="B3105" s="1" t="s">
        <v>1681</v>
      </c>
      <c r="C3105" s="1" t="s">
        <v>130</v>
      </c>
      <c r="D3105" s="1" t="s">
        <v>131</v>
      </c>
      <c r="E3105" s="1">
        <v>73</v>
      </c>
      <c r="F3105" s="1" t="s">
        <v>36</v>
      </c>
      <c r="G3105" s="1">
        <v>0</v>
      </c>
      <c r="H3105" s="1">
        <v>0</v>
      </c>
      <c r="I3105" s="1">
        <v>2.1093150000000001</v>
      </c>
    </row>
    <row r="3106" spans="1:9" x14ac:dyDescent="0.25">
      <c r="A3106" s="1">
        <v>2140110448</v>
      </c>
      <c r="B3106" s="1" t="s">
        <v>1682</v>
      </c>
      <c r="C3106" s="1" t="s">
        <v>130</v>
      </c>
      <c r="D3106" s="1" t="s">
        <v>131</v>
      </c>
      <c r="E3106" s="3">
        <v>8</v>
      </c>
      <c r="F3106" s="1" t="s">
        <v>36</v>
      </c>
      <c r="G3106" s="1">
        <v>0</v>
      </c>
      <c r="H3106" s="1">
        <v>0</v>
      </c>
      <c r="I3106" s="1">
        <v>1.83125</v>
      </c>
    </row>
    <row r="3107" spans="1:9" x14ac:dyDescent="0.25">
      <c r="A3107" s="1">
        <v>2140110450</v>
      </c>
      <c r="B3107" s="1" t="s">
        <v>1683</v>
      </c>
      <c r="C3107" s="1" t="s">
        <v>130</v>
      </c>
      <c r="D3107" s="1" t="s">
        <v>131</v>
      </c>
      <c r="E3107" s="3">
        <v>0</v>
      </c>
      <c r="F3107" s="1" t="s">
        <v>36</v>
      </c>
      <c r="G3107" s="1">
        <v>0</v>
      </c>
      <c r="H3107" s="1">
        <v>19</v>
      </c>
      <c r="I3107" s="1">
        <v>0</v>
      </c>
    </row>
    <row r="3108" spans="1:9" x14ac:dyDescent="0.25">
      <c r="A3108" s="1">
        <v>2140110450</v>
      </c>
      <c r="B3108" s="1" t="s">
        <v>1683</v>
      </c>
      <c r="C3108" s="1" t="s">
        <v>139</v>
      </c>
      <c r="D3108" s="1" t="s">
        <v>140</v>
      </c>
      <c r="E3108" s="3">
        <v>19</v>
      </c>
      <c r="F3108" s="1" t="s">
        <v>36</v>
      </c>
      <c r="G3108" s="1">
        <v>19</v>
      </c>
      <c r="H3108" s="1">
        <v>0</v>
      </c>
      <c r="I3108" s="1">
        <v>2.0468419999999998</v>
      </c>
    </row>
    <row r="3109" spans="1:9" x14ac:dyDescent="0.25">
      <c r="A3109" s="1">
        <v>2140110455</v>
      </c>
      <c r="B3109" s="1" t="s">
        <v>1684</v>
      </c>
      <c r="C3109" s="1" t="s">
        <v>130</v>
      </c>
      <c r="D3109" s="1" t="s">
        <v>131</v>
      </c>
      <c r="E3109" s="3">
        <v>5</v>
      </c>
      <c r="F3109" s="1" t="s">
        <v>36</v>
      </c>
      <c r="G3109" s="1">
        <v>0</v>
      </c>
      <c r="H3109" s="1">
        <v>0</v>
      </c>
      <c r="I3109" s="1">
        <v>2.9460000000000002</v>
      </c>
    </row>
    <row r="3110" spans="1:9" x14ac:dyDescent="0.25">
      <c r="A3110" s="1">
        <v>2140110456</v>
      </c>
      <c r="B3110" s="1" t="s">
        <v>1685</v>
      </c>
      <c r="C3110" s="1" t="s">
        <v>130</v>
      </c>
      <c r="D3110" s="1" t="s">
        <v>131</v>
      </c>
      <c r="E3110" s="3">
        <v>95</v>
      </c>
      <c r="F3110" s="1" t="s">
        <v>36</v>
      </c>
      <c r="G3110" s="1">
        <v>0</v>
      </c>
      <c r="H3110" s="1">
        <v>0</v>
      </c>
      <c r="I3110" s="1">
        <v>3.6153680000000001</v>
      </c>
    </row>
    <row r="3111" spans="1:9" x14ac:dyDescent="0.25">
      <c r="A3111" s="1">
        <v>2140110458</v>
      </c>
      <c r="B3111" s="1" t="s">
        <v>1686</v>
      </c>
      <c r="C3111" s="1" t="s">
        <v>130</v>
      </c>
      <c r="D3111" s="1" t="s">
        <v>131</v>
      </c>
      <c r="E3111" s="3">
        <v>97</v>
      </c>
      <c r="F3111" s="1" t="s">
        <v>36</v>
      </c>
      <c r="G3111" s="1">
        <v>0</v>
      </c>
      <c r="H3111" s="1">
        <v>0</v>
      </c>
      <c r="I3111" s="1">
        <v>2.666804</v>
      </c>
    </row>
    <row r="3112" spans="1:9" x14ac:dyDescent="0.25">
      <c r="A3112" s="1">
        <v>2140110511</v>
      </c>
      <c r="B3112" s="1" t="s">
        <v>1687</v>
      </c>
      <c r="C3112" s="1" t="s">
        <v>130</v>
      </c>
      <c r="D3112" s="1" t="s">
        <v>131</v>
      </c>
      <c r="E3112" s="3">
        <v>0</v>
      </c>
      <c r="F3112" s="1" t="s">
        <v>89</v>
      </c>
      <c r="G3112" s="3">
        <v>2147</v>
      </c>
      <c r="H3112" s="1">
        <v>0</v>
      </c>
      <c r="I3112" s="1">
        <v>0</v>
      </c>
    </row>
    <row r="3113" spans="1:9" x14ac:dyDescent="0.25">
      <c r="A3113" s="1">
        <v>2140110512</v>
      </c>
      <c r="B3113" s="1" t="s">
        <v>1688</v>
      </c>
      <c r="C3113" s="1" t="s">
        <v>130</v>
      </c>
      <c r="D3113" s="1" t="s">
        <v>131</v>
      </c>
      <c r="E3113" s="1">
        <v>0</v>
      </c>
      <c r="F3113" s="1" t="s">
        <v>89</v>
      </c>
      <c r="G3113" s="1">
        <v>949</v>
      </c>
      <c r="H3113" s="1">
        <v>0</v>
      </c>
      <c r="I3113" s="1">
        <v>0</v>
      </c>
    </row>
    <row r="3114" spans="1:9" x14ac:dyDescent="0.25">
      <c r="A3114" s="1">
        <v>2140110516</v>
      </c>
      <c r="B3114" s="1" t="s">
        <v>1689</v>
      </c>
      <c r="C3114" s="1" t="s">
        <v>130</v>
      </c>
      <c r="D3114" s="1" t="s">
        <v>131</v>
      </c>
      <c r="E3114" s="3">
        <v>1800</v>
      </c>
      <c r="F3114" s="1" t="s">
        <v>36</v>
      </c>
      <c r="G3114" s="1">
        <v>0</v>
      </c>
      <c r="H3114" s="1">
        <v>0</v>
      </c>
      <c r="I3114" s="1">
        <v>3.484467</v>
      </c>
    </row>
    <row r="3115" spans="1:9" x14ac:dyDescent="0.25">
      <c r="A3115" s="1">
        <v>2140110517</v>
      </c>
      <c r="B3115" s="1" t="s">
        <v>1690</v>
      </c>
      <c r="C3115" s="1" t="s">
        <v>130</v>
      </c>
      <c r="D3115" s="1" t="s">
        <v>131</v>
      </c>
      <c r="E3115" s="3">
        <v>2375</v>
      </c>
      <c r="F3115" s="1" t="s">
        <v>36</v>
      </c>
      <c r="G3115" s="1">
        <v>0</v>
      </c>
      <c r="H3115" s="1">
        <v>0</v>
      </c>
      <c r="I3115" s="1">
        <v>3.4844629999999999</v>
      </c>
    </row>
    <row r="3116" spans="1:9" x14ac:dyDescent="0.25">
      <c r="A3116" s="1">
        <v>2140110518</v>
      </c>
      <c r="B3116" s="1" t="s">
        <v>1691</v>
      </c>
      <c r="C3116" s="1" t="s">
        <v>130</v>
      </c>
      <c r="D3116" s="1" t="s">
        <v>131</v>
      </c>
      <c r="E3116" s="1">
        <v>0</v>
      </c>
      <c r="F3116" s="1" t="s">
        <v>36</v>
      </c>
      <c r="G3116" s="1">
        <v>0</v>
      </c>
      <c r="H3116" s="1">
        <v>825</v>
      </c>
      <c r="I3116" s="1">
        <v>0</v>
      </c>
    </row>
    <row r="3117" spans="1:9" x14ac:dyDescent="0.25">
      <c r="A3117" s="1">
        <v>2140110518</v>
      </c>
      <c r="B3117" s="1" t="s">
        <v>1691</v>
      </c>
      <c r="C3117" s="1" t="s">
        <v>139</v>
      </c>
      <c r="D3117" s="1" t="s">
        <v>140</v>
      </c>
      <c r="E3117" s="1">
        <v>0</v>
      </c>
      <c r="F3117" s="1" t="s">
        <v>36</v>
      </c>
      <c r="G3117" s="1">
        <v>825</v>
      </c>
      <c r="H3117" s="1">
        <v>0</v>
      </c>
      <c r="I3117" s="1">
        <v>3.484461</v>
      </c>
    </row>
    <row r="3118" spans="1:9" x14ac:dyDescent="0.25">
      <c r="A3118" s="1">
        <v>2140110524</v>
      </c>
      <c r="B3118" s="1" t="s">
        <v>1692</v>
      </c>
      <c r="C3118" s="1" t="s">
        <v>130</v>
      </c>
      <c r="D3118" s="1" t="s">
        <v>131</v>
      </c>
      <c r="E3118" s="1">
        <v>4</v>
      </c>
      <c r="F3118" s="1" t="s">
        <v>36</v>
      </c>
      <c r="G3118" s="3">
        <v>3577</v>
      </c>
      <c r="H3118" s="3">
        <v>66150</v>
      </c>
      <c r="I3118" s="1">
        <v>2.4350000000000001</v>
      </c>
    </row>
    <row r="3119" spans="1:9" x14ac:dyDescent="0.25">
      <c r="A3119" s="1">
        <v>2140110524</v>
      </c>
      <c r="B3119" s="1" t="s">
        <v>1692</v>
      </c>
      <c r="C3119" s="1" t="s">
        <v>137</v>
      </c>
      <c r="D3119" s="1" t="s">
        <v>138</v>
      </c>
      <c r="E3119" s="1">
        <v>7</v>
      </c>
      <c r="F3119" s="1" t="s">
        <v>36</v>
      </c>
      <c r="G3119" s="1">
        <v>0</v>
      </c>
      <c r="H3119" s="1">
        <v>0</v>
      </c>
      <c r="I3119" s="1">
        <v>2.402857</v>
      </c>
    </row>
    <row r="3120" spans="1:9" x14ac:dyDescent="0.25">
      <c r="A3120" s="1">
        <v>2140110524</v>
      </c>
      <c r="B3120" s="1" t="s">
        <v>1692</v>
      </c>
      <c r="C3120" s="1" t="s">
        <v>139</v>
      </c>
      <c r="D3120" s="1" t="s">
        <v>140</v>
      </c>
      <c r="E3120" s="1">
        <v>42</v>
      </c>
      <c r="F3120" s="1" t="s">
        <v>36</v>
      </c>
      <c r="G3120" s="3">
        <v>66150</v>
      </c>
      <c r="H3120" s="3">
        <v>527</v>
      </c>
      <c r="I3120" s="1">
        <v>2.4221430000000002</v>
      </c>
    </row>
    <row r="3121" spans="1:9" x14ac:dyDescent="0.25">
      <c r="A3121" s="1">
        <v>2140110526</v>
      </c>
      <c r="B3121" s="1" t="s">
        <v>1693</v>
      </c>
      <c r="C3121" s="1" t="s">
        <v>130</v>
      </c>
      <c r="D3121" s="1" t="s">
        <v>131</v>
      </c>
      <c r="E3121" s="3">
        <v>1584</v>
      </c>
      <c r="F3121" s="1" t="s">
        <v>36</v>
      </c>
      <c r="G3121" s="1">
        <v>0</v>
      </c>
      <c r="H3121" s="3">
        <v>12600</v>
      </c>
      <c r="I3121" s="1">
        <v>2.6986300000000001</v>
      </c>
    </row>
    <row r="3122" spans="1:9" x14ac:dyDescent="0.25">
      <c r="A3122" s="1">
        <v>2140110526</v>
      </c>
      <c r="B3122" s="1" t="s">
        <v>1693</v>
      </c>
      <c r="C3122" s="1" t="s">
        <v>137</v>
      </c>
      <c r="D3122" s="1" t="s">
        <v>138</v>
      </c>
      <c r="E3122" s="3">
        <v>7</v>
      </c>
      <c r="F3122" s="1" t="s">
        <v>36</v>
      </c>
      <c r="G3122" s="1">
        <v>0</v>
      </c>
      <c r="H3122" s="1">
        <v>0</v>
      </c>
      <c r="I3122" s="1">
        <v>2.8285710000000002</v>
      </c>
    </row>
    <row r="3123" spans="1:9" x14ac:dyDescent="0.25">
      <c r="A3123" s="1">
        <v>2140110526</v>
      </c>
      <c r="B3123" s="1" t="s">
        <v>1693</v>
      </c>
      <c r="C3123" s="1" t="s">
        <v>139</v>
      </c>
      <c r="D3123" s="1" t="s">
        <v>140</v>
      </c>
      <c r="E3123" s="3">
        <v>25</v>
      </c>
      <c r="F3123" s="1" t="s">
        <v>36</v>
      </c>
      <c r="G3123" s="3">
        <v>12600</v>
      </c>
      <c r="H3123" s="1">
        <v>0</v>
      </c>
      <c r="I3123" s="1">
        <v>2.8508</v>
      </c>
    </row>
    <row r="3124" spans="1:9" x14ac:dyDescent="0.25">
      <c r="A3124" s="1">
        <v>2140110528</v>
      </c>
      <c r="B3124" s="1" t="s">
        <v>1694</v>
      </c>
      <c r="C3124" s="1" t="s">
        <v>130</v>
      </c>
      <c r="D3124" s="1" t="s">
        <v>131</v>
      </c>
      <c r="E3124" s="1">
        <v>4</v>
      </c>
      <c r="F3124" s="1" t="s">
        <v>36</v>
      </c>
      <c r="G3124" s="1">
        <v>0</v>
      </c>
      <c r="H3124" s="1">
        <v>7</v>
      </c>
      <c r="I3124" s="1">
        <v>1.9125000000000001</v>
      </c>
    </row>
    <row r="3125" spans="1:9" x14ac:dyDescent="0.25">
      <c r="A3125" s="1">
        <v>2140110528</v>
      </c>
      <c r="B3125" s="1" t="s">
        <v>1694</v>
      </c>
      <c r="C3125" s="1" t="s">
        <v>139</v>
      </c>
      <c r="D3125" s="1" t="s">
        <v>140</v>
      </c>
      <c r="E3125" s="1">
        <v>7</v>
      </c>
      <c r="F3125" s="1" t="s">
        <v>36</v>
      </c>
      <c r="G3125" s="1">
        <v>7</v>
      </c>
      <c r="H3125" s="1">
        <v>0</v>
      </c>
      <c r="I3125" s="1">
        <v>1.912857</v>
      </c>
    </row>
    <row r="3126" spans="1:9" x14ac:dyDescent="0.25">
      <c r="A3126" s="1">
        <v>2140110529</v>
      </c>
      <c r="B3126" s="1" t="s">
        <v>1695</v>
      </c>
      <c r="C3126" s="1" t="s">
        <v>130</v>
      </c>
      <c r="D3126" s="1" t="s">
        <v>131</v>
      </c>
      <c r="E3126" s="1">
        <v>23</v>
      </c>
      <c r="F3126" s="1" t="s">
        <v>36</v>
      </c>
      <c r="G3126" s="1">
        <v>0</v>
      </c>
      <c r="H3126" s="1">
        <v>0</v>
      </c>
      <c r="I3126" s="1">
        <v>2.0852170000000001</v>
      </c>
    </row>
    <row r="3127" spans="1:9" x14ac:dyDescent="0.25">
      <c r="A3127" s="1">
        <v>2140110530</v>
      </c>
      <c r="B3127" s="1" t="s">
        <v>1696</v>
      </c>
      <c r="C3127" s="1" t="s">
        <v>130</v>
      </c>
      <c r="D3127" s="1" t="s">
        <v>131</v>
      </c>
      <c r="E3127" s="1">
        <v>25</v>
      </c>
      <c r="F3127" s="1" t="s">
        <v>36</v>
      </c>
      <c r="G3127" s="3">
        <v>0</v>
      </c>
      <c r="H3127" s="1">
        <v>0</v>
      </c>
      <c r="I3127" s="1">
        <v>2.2088000000000001</v>
      </c>
    </row>
    <row r="3128" spans="1:9" x14ac:dyDescent="0.25">
      <c r="A3128" s="1">
        <v>2140110533</v>
      </c>
      <c r="B3128" s="1" t="s">
        <v>1697</v>
      </c>
      <c r="C3128" s="1" t="s">
        <v>130</v>
      </c>
      <c r="D3128" s="1" t="s">
        <v>131</v>
      </c>
      <c r="E3128" s="1">
        <v>69</v>
      </c>
      <c r="F3128" s="1" t="s">
        <v>36</v>
      </c>
      <c r="G3128" s="3">
        <v>1400</v>
      </c>
      <c r="H3128" s="3">
        <v>120000</v>
      </c>
      <c r="I3128" s="1">
        <v>1.2142029999999999</v>
      </c>
    </row>
    <row r="3129" spans="1:9" x14ac:dyDescent="0.25">
      <c r="A3129" s="1">
        <v>2140110533</v>
      </c>
      <c r="B3129" s="1" t="s">
        <v>1697</v>
      </c>
      <c r="C3129" s="1" t="s">
        <v>1698</v>
      </c>
      <c r="D3129" s="1" t="s">
        <v>1699</v>
      </c>
      <c r="E3129" s="3">
        <v>1500</v>
      </c>
      <c r="F3129" s="1" t="s">
        <v>36</v>
      </c>
      <c r="G3129" s="3">
        <v>120000</v>
      </c>
      <c r="H3129" s="1">
        <v>0</v>
      </c>
      <c r="I3129" s="1">
        <v>1.2190270000000001</v>
      </c>
    </row>
    <row r="3130" spans="1:9" x14ac:dyDescent="0.25">
      <c r="A3130" s="1">
        <v>2140110533</v>
      </c>
      <c r="B3130" s="1" t="s">
        <v>1697</v>
      </c>
      <c r="C3130" s="1" t="s">
        <v>137</v>
      </c>
      <c r="D3130" s="1" t="s">
        <v>138</v>
      </c>
      <c r="E3130" s="1">
        <v>4</v>
      </c>
      <c r="F3130" s="1" t="s">
        <v>36</v>
      </c>
      <c r="G3130" s="1">
        <v>0</v>
      </c>
      <c r="H3130" s="1">
        <v>0</v>
      </c>
      <c r="I3130" s="1">
        <v>1.2150000000000001</v>
      </c>
    </row>
    <row r="3131" spans="1:9" x14ac:dyDescent="0.25">
      <c r="A3131" s="1">
        <v>2140110538</v>
      </c>
      <c r="B3131" s="1" t="s">
        <v>1700</v>
      </c>
      <c r="C3131" s="1" t="s">
        <v>130</v>
      </c>
      <c r="D3131" s="1" t="s">
        <v>131</v>
      </c>
      <c r="E3131" s="1">
        <v>0</v>
      </c>
      <c r="F3131" s="1" t="s">
        <v>36</v>
      </c>
      <c r="G3131" s="1">
        <v>0</v>
      </c>
      <c r="H3131" s="1">
        <v>10</v>
      </c>
      <c r="I3131" s="1">
        <v>0</v>
      </c>
    </row>
    <row r="3132" spans="1:9" x14ac:dyDescent="0.25">
      <c r="A3132" s="1">
        <v>2140110538</v>
      </c>
      <c r="B3132" s="1" t="s">
        <v>1700</v>
      </c>
      <c r="C3132" s="1" t="s">
        <v>139</v>
      </c>
      <c r="D3132" s="1" t="s">
        <v>140</v>
      </c>
      <c r="E3132" s="1">
        <v>10</v>
      </c>
      <c r="F3132" s="1" t="s">
        <v>36</v>
      </c>
      <c r="G3132" s="1">
        <v>10</v>
      </c>
      <c r="H3132" s="1">
        <v>0</v>
      </c>
      <c r="I3132" s="1">
        <v>2.4350000000000001</v>
      </c>
    </row>
    <row r="3133" spans="1:9" x14ac:dyDescent="0.25">
      <c r="A3133" s="1">
        <v>2140110541</v>
      </c>
      <c r="B3133" s="1" t="s">
        <v>1701</v>
      </c>
      <c r="C3133" s="1" t="s">
        <v>130</v>
      </c>
      <c r="D3133" s="1" t="s">
        <v>131</v>
      </c>
      <c r="E3133" s="1">
        <v>0</v>
      </c>
      <c r="F3133" s="1" t="s">
        <v>36</v>
      </c>
      <c r="G3133" s="1">
        <v>0</v>
      </c>
      <c r="H3133" s="1">
        <v>7</v>
      </c>
      <c r="I3133" s="1">
        <v>0</v>
      </c>
    </row>
    <row r="3134" spans="1:9" x14ac:dyDescent="0.25">
      <c r="A3134" s="1">
        <v>2140110541</v>
      </c>
      <c r="B3134" s="1" t="s">
        <v>1701</v>
      </c>
      <c r="C3134" s="1" t="s">
        <v>139</v>
      </c>
      <c r="D3134" s="1" t="s">
        <v>140</v>
      </c>
      <c r="E3134" s="1">
        <v>7</v>
      </c>
      <c r="F3134" s="1" t="s">
        <v>36</v>
      </c>
      <c r="G3134" s="1">
        <v>7</v>
      </c>
      <c r="H3134" s="1">
        <v>0</v>
      </c>
      <c r="I3134" s="1">
        <v>2.4342860000000002</v>
      </c>
    </row>
    <row r="3135" spans="1:9" x14ac:dyDescent="0.25">
      <c r="A3135" s="1">
        <v>2140110545</v>
      </c>
      <c r="B3135" s="1" t="s">
        <v>1702</v>
      </c>
      <c r="C3135" s="1" t="s">
        <v>130</v>
      </c>
      <c r="D3135" s="1" t="s">
        <v>131</v>
      </c>
      <c r="E3135" s="3">
        <v>0</v>
      </c>
      <c r="F3135" s="1" t="s">
        <v>36</v>
      </c>
      <c r="G3135" s="1">
        <v>0</v>
      </c>
      <c r="H3135" s="3">
        <v>6</v>
      </c>
      <c r="I3135" s="1">
        <v>0</v>
      </c>
    </row>
    <row r="3136" spans="1:9" x14ac:dyDescent="0.25">
      <c r="A3136" s="1">
        <v>2140110545</v>
      </c>
      <c r="B3136" s="1" t="s">
        <v>1702</v>
      </c>
      <c r="C3136" s="1" t="s">
        <v>139</v>
      </c>
      <c r="D3136" s="1" t="s">
        <v>140</v>
      </c>
      <c r="E3136" s="1">
        <v>6</v>
      </c>
      <c r="F3136" s="1" t="s">
        <v>36</v>
      </c>
      <c r="G3136" s="1">
        <v>6</v>
      </c>
      <c r="H3136" s="1">
        <v>0</v>
      </c>
      <c r="I3136" s="1">
        <v>2.4350000000000001</v>
      </c>
    </row>
    <row r="3137" spans="1:9" x14ac:dyDescent="0.25">
      <c r="A3137" s="1">
        <v>2140110551</v>
      </c>
      <c r="B3137" s="1" t="s">
        <v>1703</v>
      </c>
      <c r="C3137" s="1" t="s">
        <v>130</v>
      </c>
      <c r="D3137" s="1" t="s">
        <v>131</v>
      </c>
      <c r="E3137" s="3">
        <v>22</v>
      </c>
      <c r="F3137" s="1" t="s">
        <v>36</v>
      </c>
      <c r="G3137" s="1">
        <v>0</v>
      </c>
      <c r="H3137" s="1">
        <v>0</v>
      </c>
      <c r="I3137" s="1">
        <v>2.434545</v>
      </c>
    </row>
    <row r="3138" spans="1:9" x14ac:dyDescent="0.25">
      <c r="A3138" s="1">
        <v>2140110553</v>
      </c>
      <c r="B3138" s="1" t="s">
        <v>1704</v>
      </c>
      <c r="C3138" s="1" t="s">
        <v>130</v>
      </c>
      <c r="D3138" s="1" t="s">
        <v>131</v>
      </c>
      <c r="E3138" s="1">
        <v>25</v>
      </c>
      <c r="F3138" s="1" t="s">
        <v>36</v>
      </c>
      <c r="G3138" s="1">
        <v>0</v>
      </c>
      <c r="H3138" s="1">
        <v>0</v>
      </c>
      <c r="I3138" s="1">
        <v>2.4344000000000001</v>
      </c>
    </row>
    <row r="3139" spans="1:9" x14ac:dyDescent="0.25">
      <c r="A3139" s="1">
        <v>2140110558</v>
      </c>
      <c r="B3139" s="1" t="s">
        <v>1705</v>
      </c>
      <c r="C3139" s="1" t="s">
        <v>130</v>
      </c>
      <c r="D3139" s="1" t="s">
        <v>131</v>
      </c>
      <c r="E3139" s="1">
        <v>155</v>
      </c>
      <c r="F3139" s="1" t="s">
        <v>36</v>
      </c>
      <c r="G3139" s="1">
        <v>0</v>
      </c>
      <c r="H3139" s="1">
        <v>0</v>
      </c>
      <c r="I3139" s="1">
        <v>2.4345159999999999</v>
      </c>
    </row>
    <row r="3140" spans="1:9" x14ac:dyDescent="0.25">
      <c r="A3140" s="1">
        <v>2140110561</v>
      </c>
      <c r="B3140" s="1" t="s">
        <v>1706</v>
      </c>
      <c r="C3140" s="1" t="s">
        <v>130</v>
      </c>
      <c r="D3140" s="1" t="s">
        <v>131</v>
      </c>
      <c r="E3140" s="3">
        <v>14000</v>
      </c>
      <c r="F3140" s="1" t="s">
        <v>36</v>
      </c>
      <c r="G3140" s="3">
        <v>14001</v>
      </c>
      <c r="H3140" s="3">
        <v>188755</v>
      </c>
      <c r="I3140" s="1">
        <v>1.5830820000000001</v>
      </c>
    </row>
    <row r="3141" spans="1:9" x14ac:dyDescent="0.25">
      <c r="A3141" s="1">
        <v>2140110561</v>
      </c>
      <c r="B3141" s="1" t="s">
        <v>1706</v>
      </c>
      <c r="C3141" s="1" t="s">
        <v>126</v>
      </c>
      <c r="D3141" s="1" t="s">
        <v>127</v>
      </c>
      <c r="E3141" s="3">
        <v>1134</v>
      </c>
      <c r="F3141" s="1" t="s">
        <v>36</v>
      </c>
      <c r="G3141" s="1">
        <v>0</v>
      </c>
      <c r="H3141" s="1">
        <v>0</v>
      </c>
      <c r="I3141" s="1">
        <v>1.583086</v>
      </c>
    </row>
    <row r="3142" spans="1:9" x14ac:dyDescent="0.25">
      <c r="A3142" s="1">
        <v>2140110561</v>
      </c>
      <c r="B3142" s="1" t="s">
        <v>1706</v>
      </c>
      <c r="C3142" s="1" t="s">
        <v>151</v>
      </c>
      <c r="D3142" s="1" t="s">
        <v>152</v>
      </c>
      <c r="E3142" s="1">
        <v>0</v>
      </c>
      <c r="F3142" s="1" t="s">
        <v>36</v>
      </c>
      <c r="G3142" s="3">
        <v>0</v>
      </c>
      <c r="H3142" s="3">
        <v>12900</v>
      </c>
      <c r="I3142" s="1">
        <v>1.583081</v>
      </c>
    </row>
    <row r="3143" spans="1:9" x14ac:dyDescent="0.25">
      <c r="A3143" s="1">
        <v>2140110561</v>
      </c>
      <c r="B3143" s="1" t="s">
        <v>1706</v>
      </c>
      <c r="C3143" s="1" t="s">
        <v>139</v>
      </c>
      <c r="D3143" s="1" t="s">
        <v>140</v>
      </c>
      <c r="E3143" s="3">
        <v>20000</v>
      </c>
      <c r="F3143" s="1" t="s">
        <v>36</v>
      </c>
      <c r="G3143" s="3">
        <v>168755</v>
      </c>
      <c r="H3143" s="1">
        <v>0</v>
      </c>
      <c r="I3143" s="1">
        <v>1.4840180000000001</v>
      </c>
    </row>
    <row r="3144" spans="1:9" x14ac:dyDescent="0.25">
      <c r="A3144" s="1">
        <v>2140110562</v>
      </c>
      <c r="B3144" s="1" t="s">
        <v>1707</v>
      </c>
      <c r="C3144" s="1" t="s">
        <v>130</v>
      </c>
      <c r="D3144" s="1" t="s">
        <v>131</v>
      </c>
      <c r="E3144" s="1">
        <v>259</v>
      </c>
      <c r="F3144" s="1" t="s">
        <v>36</v>
      </c>
      <c r="G3144" s="1">
        <v>250</v>
      </c>
      <c r="H3144" s="3">
        <v>18000</v>
      </c>
      <c r="I3144" s="1">
        <v>1.5988800000000001</v>
      </c>
    </row>
    <row r="3145" spans="1:9" x14ac:dyDescent="0.25">
      <c r="A3145" s="1">
        <v>2140110562</v>
      </c>
      <c r="B3145" s="1" t="s">
        <v>1707</v>
      </c>
      <c r="C3145" s="1" t="s">
        <v>139</v>
      </c>
      <c r="D3145" s="1" t="s">
        <v>140</v>
      </c>
      <c r="E3145" s="3">
        <v>6000</v>
      </c>
      <c r="F3145" s="1" t="s">
        <v>36</v>
      </c>
      <c r="G3145" s="3">
        <v>18000</v>
      </c>
      <c r="H3145" s="1">
        <v>0</v>
      </c>
      <c r="I3145" s="1">
        <v>1.59935</v>
      </c>
    </row>
    <row r="3146" spans="1:9" x14ac:dyDescent="0.25">
      <c r="A3146" s="1">
        <v>2140110563</v>
      </c>
      <c r="B3146" s="1" t="s">
        <v>1708</v>
      </c>
      <c r="C3146" s="1" t="s">
        <v>130</v>
      </c>
      <c r="D3146" s="1" t="s">
        <v>131</v>
      </c>
      <c r="E3146" s="1">
        <v>83</v>
      </c>
      <c r="F3146" s="1" t="s">
        <v>36</v>
      </c>
      <c r="G3146" s="1">
        <v>450</v>
      </c>
      <c r="H3146" s="3">
        <v>28800</v>
      </c>
      <c r="I3146" s="1">
        <v>1.61988</v>
      </c>
    </row>
    <row r="3147" spans="1:9" x14ac:dyDescent="0.25">
      <c r="A3147" s="1">
        <v>2140110563</v>
      </c>
      <c r="B3147" s="1" t="s">
        <v>1708</v>
      </c>
      <c r="C3147" s="1" t="s">
        <v>139</v>
      </c>
      <c r="D3147" s="1" t="s">
        <v>140</v>
      </c>
      <c r="E3147" s="3">
        <v>17500</v>
      </c>
      <c r="F3147" s="1" t="s">
        <v>36</v>
      </c>
      <c r="G3147" s="3">
        <v>28800</v>
      </c>
      <c r="H3147" s="1">
        <v>0</v>
      </c>
      <c r="I3147" s="1">
        <v>1.619907</v>
      </c>
    </row>
    <row r="3148" spans="1:9" x14ac:dyDescent="0.25">
      <c r="A3148" s="1">
        <v>2140110567</v>
      </c>
      <c r="B3148" s="1" t="s">
        <v>1709</v>
      </c>
      <c r="C3148" s="1" t="s">
        <v>130</v>
      </c>
      <c r="D3148" s="1" t="s">
        <v>131</v>
      </c>
      <c r="E3148" s="1">
        <v>97</v>
      </c>
      <c r="F3148" s="1" t="s">
        <v>36</v>
      </c>
      <c r="G3148" s="1">
        <v>0</v>
      </c>
      <c r="H3148" s="1">
        <v>0</v>
      </c>
      <c r="I3148" s="1">
        <v>1.6390720000000001</v>
      </c>
    </row>
    <row r="3149" spans="1:9" x14ac:dyDescent="0.25">
      <c r="A3149" s="1">
        <v>2140110568</v>
      </c>
      <c r="B3149" s="1" t="s">
        <v>1710</v>
      </c>
      <c r="C3149" s="1" t="s">
        <v>130</v>
      </c>
      <c r="D3149" s="1" t="s">
        <v>131</v>
      </c>
      <c r="E3149" s="1">
        <v>367</v>
      </c>
      <c r="F3149" s="1" t="s">
        <v>36</v>
      </c>
      <c r="G3149" s="1">
        <v>0</v>
      </c>
      <c r="H3149" s="1">
        <v>0</v>
      </c>
      <c r="I3149" s="1">
        <v>1.5044409999999999</v>
      </c>
    </row>
    <row r="3150" spans="1:9" x14ac:dyDescent="0.25">
      <c r="A3150" s="1">
        <v>2140110569</v>
      </c>
      <c r="B3150" s="1" t="s">
        <v>1711</v>
      </c>
      <c r="C3150" s="1" t="s">
        <v>130</v>
      </c>
      <c r="D3150" s="1" t="s">
        <v>131</v>
      </c>
      <c r="E3150" s="3">
        <v>4061</v>
      </c>
      <c r="F3150" s="1" t="s">
        <v>36</v>
      </c>
      <c r="G3150" s="1">
        <v>0</v>
      </c>
      <c r="H3150" s="3">
        <v>14400</v>
      </c>
      <c r="I3150" s="1">
        <v>1.52132</v>
      </c>
    </row>
    <row r="3151" spans="1:9" x14ac:dyDescent="0.25">
      <c r="A3151" s="1">
        <v>2140110569</v>
      </c>
      <c r="B3151" s="1" t="s">
        <v>1711</v>
      </c>
      <c r="C3151" s="1" t="s">
        <v>139</v>
      </c>
      <c r="D3151" s="1" t="s">
        <v>140</v>
      </c>
      <c r="E3151" s="3">
        <v>14400</v>
      </c>
      <c r="F3151" s="1" t="s">
        <v>36</v>
      </c>
      <c r="G3151" s="3">
        <v>14400</v>
      </c>
      <c r="H3151" s="1">
        <v>0</v>
      </c>
      <c r="I3151" s="1">
        <v>1.5213209999999999</v>
      </c>
    </row>
    <row r="3152" spans="1:9" x14ac:dyDescent="0.25">
      <c r="A3152" s="1">
        <v>2140110573</v>
      </c>
      <c r="B3152" s="1" t="s">
        <v>1712</v>
      </c>
      <c r="C3152" s="1" t="s">
        <v>130</v>
      </c>
      <c r="D3152" s="1" t="s">
        <v>131</v>
      </c>
      <c r="E3152" s="1">
        <v>56</v>
      </c>
      <c r="F3152" s="1" t="s">
        <v>36</v>
      </c>
      <c r="G3152" s="3">
        <v>2400</v>
      </c>
      <c r="H3152" s="1">
        <v>0</v>
      </c>
      <c r="I3152" s="1">
        <v>1.92</v>
      </c>
    </row>
    <row r="3153" spans="1:9" x14ac:dyDescent="0.25">
      <c r="A3153" s="1">
        <v>2140110573</v>
      </c>
      <c r="B3153" s="1" t="s">
        <v>1712</v>
      </c>
      <c r="C3153" s="1" t="s">
        <v>126</v>
      </c>
      <c r="D3153" s="1" t="s">
        <v>127</v>
      </c>
      <c r="E3153" s="3">
        <v>2756</v>
      </c>
      <c r="F3153" s="1" t="s">
        <v>36</v>
      </c>
      <c r="G3153" s="3">
        <v>0</v>
      </c>
      <c r="H3153" s="1">
        <v>0</v>
      </c>
      <c r="I3153" s="1">
        <v>1.920094</v>
      </c>
    </row>
    <row r="3154" spans="1:9" x14ac:dyDescent="0.25">
      <c r="A3154" s="1">
        <v>2140110574</v>
      </c>
      <c r="B3154" s="1" t="s">
        <v>1713</v>
      </c>
      <c r="C3154" s="1" t="s">
        <v>130</v>
      </c>
      <c r="D3154" s="1" t="s">
        <v>131</v>
      </c>
      <c r="E3154" s="3">
        <v>1147</v>
      </c>
      <c r="F3154" s="1" t="s">
        <v>36</v>
      </c>
      <c r="G3154" s="1">
        <v>0</v>
      </c>
      <c r="H3154" s="1">
        <v>0</v>
      </c>
      <c r="I3154" s="1">
        <v>2.0070709999999998</v>
      </c>
    </row>
    <row r="3155" spans="1:9" x14ac:dyDescent="0.25">
      <c r="A3155" s="1">
        <v>2140110575</v>
      </c>
      <c r="B3155" s="1" t="s">
        <v>1714</v>
      </c>
      <c r="C3155" s="1" t="s">
        <v>130</v>
      </c>
      <c r="D3155" s="1" t="s">
        <v>131</v>
      </c>
      <c r="E3155" s="1">
        <v>62</v>
      </c>
      <c r="F3155" s="1" t="s">
        <v>36</v>
      </c>
      <c r="G3155" s="1">
        <v>0</v>
      </c>
      <c r="H3155" s="1">
        <v>0</v>
      </c>
      <c r="I3155" s="1">
        <v>1.6670970000000001</v>
      </c>
    </row>
    <row r="3156" spans="1:9" x14ac:dyDescent="0.25">
      <c r="A3156" s="1">
        <v>2140110576</v>
      </c>
      <c r="B3156" s="1" t="s">
        <v>1715</v>
      </c>
      <c r="C3156" s="1" t="s">
        <v>130</v>
      </c>
      <c r="D3156" s="1" t="s">
        <v>131</v>
      </c>
      <c r="E3156" s="1">
        <v>30</v>
      </c>
      <c r="F3156" s="1" t="s">
        <v>36</v>
      </c>
      <c r="G3156" s="1">
        <v>0</v>
      </c>
      <c r="H3156" s="1">
        <v>0</v>
      </c>
      <c r="I3156" s="1">
        <v>1.9366669999999999</v>
      </c>
    </row>
    <row r="3157" spans="1:9" x14ac:dyDescent="0.25">
      <c r="A3157" s="1">
        <v>2140110577</v>
      </c>
      <c r="B3157" s="1" t="s">
        <v>1716</v>
      </c>
      <c r="C3157" s="1" t="s">
        <v>130</v>
      </c>
      <c r="D3157" s="1" t="s">
        <v>131</v>
      </c>
      <c r="E3157" s="1">
        <v>25</v>
      </c>
      <c r="F3157" s="1" t="s">
        <v>36</v>
      </c>
      <c r="G3157" s="1">
        <v>0</v>
      </c>
      <c r="H3157" s="1">
        <v>0</v>
      </c>
      <c r="I3157" s="1">
        <v>1.9283999999999999</v>
      </c>
    </row>
    <row r="3158" spans="1:9" x14ac:dyDescent="0.25">
      <c r="A3158" s="1">
        <v>2140110578</v>
      </c>
      <c r="B3158" s="1" t="s">
        <v>1717</v>
      </c>
      <c r="C3158" s="1" t="s">
        <v>130</v>
      </c>
      <c r="D3158" s="1" t="s">
        <v>131</v>
      </c>
      <c r="E3158" s="1">
        <v>12</v>
      </c>
      <c r="F3158" s="1" t="s">
        <v>36</v>
      </c>
      <c r="G3158" s="1">
        <v>0</v>
      </c>
      <c r="H3158" s="1">
        <v>0</v>
      </c>
      <c r="I3158" s="1">
        <v>1.9275</v>
      </c>
    </row>
    <row r="3159" spans="1:9" x14ac:dyDescent="0.25">
      <c r="A3159" s="1">
        <v>2140110585</v>
      </c>
      <c r="B3159" s="1" t="s">
        <v>1718</v>
      </c>
      <c r="C3159" s="1" t="s">
        <v>130</v>
      </c>
      <c r="D3159" s="1" t="s">
        <v>131</v>
      </c>
      <c r="E3159" s="1">
        <v>42</v>
      </c>
      <c r="F3159" s="1" t="s">
        <v>36</v>
      </c>
      <c r="G3159" s="1">
        <v>0</v>
      </c>
      <c r="H3159" s="1">
        <v>0</v>
      </c>
      <c r="I3159" s="1">
        <v>2.0876190000000001</v>
      </c>
    </row>
    <row r="3160" spans="1:9" x14ac:dyDescent="0.25">
      <c r="A3160" s="1">
        <v>2140110588</v>
      </c>
      <c r="B3160" s="1" t="s">
        <v>1719</v>
      </c>
      <c r="C3160" s="1" t="s">
        <v>130</v>
      </c>
      <c r="D3160" s="1" t="s">
        <v>131</v>
      </c>
      <c r="E3160" s="1">
        <v>0</v>
      </c>
      <c r="F3160" s="1" t="s">
        <v>36</v>
      </c>
      <c r="G3160" s="1">
        <v>0</v>
      </c>
      <c r="H3160" s="1">
        <v>25</v>
      </c>
      <c r="I3160" s="1">
        <v>0</v>
      </c>
    </row>
    <row r="3161" spans="1:9" x14ac:dyDescent="0.25">
      <c r="A3161" s="1">
        <v>2140110588</v>
      </c>
      <c r="B3161" s="1" t="s">
        <v>1719</v>
      </c>
      <c r="C3161" s="1" t="s">
        <v>139</v>
      </c>
      <c r="D3161" s="1" t="s">
        <v>140</v>
      </c>
      <c r="E3161" s="1">
        <v>25</v>
      </c>
      <c r="F3161" s="1" t="s">
        <v>36</v>
      </c>
      <c r="G3161" s="1">
        <v>25</v>
      </c>
      <c r="H3161" s="1">
        <v>0</v>
      </c>
      <c r="I3161" s="1">
        <v>3.1768000000000001</v>
      </c>
    </row>
    <row r="3162" spans="1:9" x14ac:dyDescent="0.25">
      <c r="A3162" s="1">
        <v>2140110589</v>
      </c>
      <c r="B3162" s="1" t="s">
        <v>1720</v>
      </c>
      <c r="C3162" s="1" t="s">
        <v>130</v>
      </c>
      <c r="D3162" s="1" t="s">
        <v>131</v>
      </c>
      <c r="E3162" s="1">
        <v>2</v>
      </c>
      <c r="F3162" s="1" t="s">
        <v>36</v>
      </c>
      <c r="G3162" s="1">
        <v>0</v>
      </c>
      <c r="H3162" s="1">
        <v>0</v>
      </c>
      <c r="I3162" s="1">
        <v>3.1749999999999998</v>
      </c>
    </row>
    <row r="3163" spans="1:9" x14ac:dyDescent="0.25">
      <c r="A3163" s="1">
        <v>2140110591</v>
      </c>
      <c r="B3163" s="1" t="s">
        <v>1721</v>
      </c>
      <c r="C3163" s="1" t="s">
        <v>130</v>
      </c>
      <c r="D3163" s="1" t="s">
        <v>131</v>
      </c>
      <c r="E3163" s="1">
        <v>5</v>
      </c>
      <c r="F3163" s="1" t="s">
        <v>36</v>
      </c>
      <c r="G3163" s="1">
        <v>25</v>
      </c>
      <c r="H3163" s="1">
        <v>0</v>
      </c>
      <c r="I3163" s="1">
        <v>1.3680000000000001</v>
      </c>
    </row>
    <row r="3164" spans="1:9" x14ac:dyDescent="0.25">
      <c r="A3164" s="1">
        <v>2140110592</v>
      </c>
      <c r="B3164" s="1" t="s">
        <v>1722</v>
      </c>
      <c r="C3164" s="1" t="s">
        <v>130</v>
      </c>
      <c r="D3164" s="1" t="s">
        <v>131</v>
      </c>
      <c r="E3164" s="1">
        <v>18</v>
      </c>
      <c r="F3164" s="1" t="s">
        <v>36</v>
      </c>
      <c r="G3164" s="1">
        <v>0</v>
      </c>
      <c r="H3164" s="1">
        <v>0</v>
      </c>
      <c r="I3164" s="1">
        <v>1.476111</v>
      </c>
    </row>
    <row r="3165" spans="1:9" x14ac:dyDescent="0.25">
      <c r="A3165" s="1">
        <v>2140110602</v>
      </c>
      <c r="B3165" s="1" t="s">
        <v>1723</v>
      </c>
      <c r="C3165" s="1" t="s">
        <v>130</v>
      </c>
      <c r="D3165" s="1" t="s">
        <v>131</v>
      </c>
      <c r="E3165" s="3">
        <v>7080</v>
      </c>
      <c r="F3165" s="1" t="s">
        <v>36</v>
      </c>
      <c r="G3165" s="1">
        <v>0</v>
      </c>
      <c r="H3165" s="1">
        <v>0</v>
      </c>
      <c r="I3165" s="1">
        <v>1.555688</v>
      </c>
    </row>
    <row r="3166" spans="1:9" x14ac:dyDescent="0.25">
      <c r="A3166" s="1">
        <v>2140110603</v>
      </c>
      <c r="B3166" s="1" t="s">
        <v>1724</v>
      </c>
      <c r="C3166" s="1" t="s">
        <v>130</v>
      </c>
      <c r="D3166" s="1" t="s">
        <v>131</v>
      </c>
      <c r="E3166" s="1">
        <v>244</v>
      </c>
      <c r="F3166" s="1" t="s">
        <v>36</v>
      </c>
      <c r="G3166" s="1">
        <v>0</v>
      </c>
      <c r="H3166" s="1">
        <v>0</v>
      </c>
      <c r="I3166" s="1">
        <v>1.665656</v>
      </c>
    </row>
    <row r="3167" spans="1:9" x14ac:dyDescent="0.25">
      <c r="A3167" s="1">
        <v>2140110604</v>
      </c>
      <c r="B3167" s="1" t="s">
        <v>1725</v>
      </c>
      <c r="C3167" s="1" t="s">
        <v>130</v>
      </c>
      <c r="D3167" s="1" t="s">
        <v>131</v>
      </c>
      <c r="E3167" s="3">
        <v>90535</v>
      </c>
      <c r="F3167" s="1" t="s">
        <v>36</v>
      </c>
      <c r="G3167" s="3">
        <v>35595</v>
      </c>
      <c r="H3167" s="3">
        <v>142130</v>
      </c>
      <c r="I3167" s="1">
        <v>2.1744840000000001</v>
      </c>
    </row>
    <row r="3168" spans="1:9" x14ac:dyDescent="0.25">
      <c r="A3168" s="1">
        <v>2140110604</v>
      </c>
      <c r="B3168" s="1" t="s">
        <v>1725</v>
      </c>
      <c r="C3168" s="1" t="s">
        <v>142</v>
      </c>
      <c r="D3168" s="1" t="s">
        <v>143</v>
      </c>
      <c r="E3168" s="3">
        <v>9295</v>
      </c>
      <c r="F3168" s="1" t="s">
        <v>36</v>
      </c>
      <c r="G3168" s="1">
        <v>0</v>
      </c>
      <c r="H3168" s="1">
        <v>0</v>
      </c>
      <c r="I3168" s="1">
        <v>2.1744840000000001</v>
      </c>
    </row>
    <row r="3169" spans="1:9" x14ac:dyDescent="0.25">
      <c r="A3169" s="1">
        <v>2140110604</v>
      </c>
      <c r="B3169" s="1" t="s">
        <v>1725</v>
      </c>
      <c r="C3169" s="1" t="s">
        <v>137</v>
      </c>
      <c r="D3169" s="1" t="s">
        <v>138</v>
      </c>
      <c r="E3169" s="1">
        <v>28</v>
      </c>
      <c r="F3169" s="1" t="s">
        <v>36</v>
      </c>
      <c r="G3169" s="1">
        <v>0</v>
      </c>
      <c r="H3169" s="1">
        <v>0</v>
      </c>
      <c r="I3169" s="1">
        <v>2.183929</v>
      </c>
    </row>
    <row r="3170" spans="1:9" x14ac:dyDescent="0.25">
      <c r="A3170" s="1">
        <v>2140110604</v>
      </c>
      <c r="B3170" s="1" t="s">
        <v>1725</v>
      </c>
      <c r="C3170" s="1" t="s">
        <v>151</v>
      </c>
      <c r="D3170" s="1" t="s">
        <v>152</v>
      </c>
      <c r="E3170" s="1">
        <v>0</v>
      </c>
      <c r="F3170" s="1" t="s">
        <v>36</v>
      </c>
      <c r="G3170" s="3">
        <v>6680</v>
      </c>
      <c r="H3170" s="1">
        <v>0</v>
      </c>
      <c r="I3170" s="1">
        <v>2.1744829999999999</v>
      </c>
    </row>
    <row r="3171" spans="1:9" x14ac:dyDescent="0.25">
      <c r="A3171" s="1">
        <v>2140110604</v>
      </c>
      <c r="B3171" s="1" t="s">
        <v>1725</v>
      </c>
      <c r="C3171" s="1" t="s">
        <v>139</v>
      </c>
      <c r="D3171" s="1" t="s">
        <v>140</v>
      </c>
      <c r="E3171" s="1">
        <v>0</v>
      </c>
      <c r="F3171" s="1" t="s">
        <v>36</v>
      </c>
      <c r="G3171" s="3">
        <v>135450</v>
      </c>
      <c r="H3171" s="3">
        <v>32845</v>
      </c>
      <c r="I3171" s="1">
        <v>2.1593100000000001</v>
      </c>
    </row>
    <row r="3172" spans="1:9" x14ac:dyDescent="0.25">
      <c r="A3172" s="1">
        <v>2140110605</v>
      </c>
      <c r="B3172" s="1" t="s">
        <v>1726</v>
      </c>
      <c r="C3172" s="1" t="s">
        <v>130</v>
      </c>
      <c r="D3172" s="1" t="s">
        <v>131</v>
      </c>
      <c r="E3172" s="1">
        <v>64</v>
      </c>
      <c r="F3172" s="1" t="s">
        <v>36</v>
      </c>
      <c r="G3172" s="3">
        <v>2135</v>
      </c>
      <c r="H3172" s="3">
        <v>53550</v>
      </c>
      <c r="I3172" s="1">
        <v>1.925</v>
      </c>
    </row>
    <row r="3173" spans="1:9" x14ac:dyDescent="0.25">
      <c r="A3173" s="1">
        <v>2140110605</v>
      </c>
      <c r="B3173" s="1" t="s">
        <v>1726</v>
      </c>
      <c r="C3173" s="1" t="s">
        <v>137</v>
      </c>
      <c r="D3173" s="1" t="s">
        <v>138</v>
      </c>
      <c r="E3173" s="1">
        <v>10</v>
      </c>
      <c r="F3173" s="1" t="s">
        <v>36</v>
      </c>
      <c r="G3173" s="1">
        <v>0</v>
      </c>
      <c r="H3173" s="1">
        <v>0</v>
      </c>
      <c r="I3173" s="1">
        <v>2.0529999999999999</v>
      </c>
    </row>
    <row r="3174" spans="1:9" x14ac:dyDescent="0.25">
      <c r="A3174" s="1">
        <v>2140110605</v>
      </c>
      <c r="B3174" s="1" t="s">
        <v>1726</v>
      </c>
      <c r="C3174" s="1" t="s">
        <v>151</v>
      </c>
      <c r="D3174" s="1" t="s">
        <v>152</v>
      </c>
      <c r="E3174" s="1">
        <v>275</v>
      </c>
      <c r="F3174" s="1" t="s">
        <v>36</v>
      </c>
      <c r="G3174" s="1">
        <v>0</v>
      </c>
      <c r="H3174" s="1">
        <v>0</v>
      </c>
      <c r="I3174" s="1">
        <v>1.907745</v>
      </c>
    </row>
    <row r="3175" spans="1:9" x14ac:dyDescent="0.25">
      <c r="A3175" s="1">
        <v>2140110605</v>
      </c>
      <c r="B3175" s="1" t="s">
        <v>1726</v>
      </c>
      <c r="C3175" s="1" t="s">
        <v>139</v>
      </c>
      <c r="D3175" s="1" t="s">
        <v>140</v>
      </c>
      <c r="E3175" s="1">
        <v>50</v>
      </c>
      <c r="F3175" s="1" t="s">
        <v>36</v>
      </c>
      <c r="G3175" s="3">
        <v>53550</v>
      </c>
      <c r="H3175" s="1">
        <v>0</v>
      </c>
      <c r="I3175" s="1">
        <v>1.9077999999999999</v>
      </c>
    </row>
    <row r="3176" spans="1:9" x14ac:dyDescent="0.25">
      <c r="A3176" s="1">
        <v>2140110606</v>
      </c>
      <c r="B3176" s="1" t="s">
        <v>1727</v>
      </c>
      <c r="C3176" s="1" t="s">
        <v>130</v>
      </c>
      <c r="D3176" s="1" t="s">
        <v>131</v>
      </c>
      <c r="E3176" s="3">
        <v>10849</v>
      </c>
      <c r="F3176" s="1" t="s">
        <v>36</v>
      </c>
      <c r="G3176" s="3">
        <v>10757</v>
      </c>
      <c r="H3176" s="3">
        <v>59850</v>
      </c>
      <c r="I3176" s="1">
        <v>2.1237599999999999</v>
      </c>
    </row>
    <row r="3177" spans="1:9" x14ac:dyDescent="0.25">
      <c r="A3177" s="1">
        <v>2140110606</v>
      </c>
      <c r="B3177" s="1" t="s">
        <v>1727</v>
      </c>
      <c r="C3177" s="1" t="s">
        <v>137</v>
      </c>
      <c r="D3177" s="1" t="s">
        <v>138</v>
      </c>
      <c r="E3177" s="1">
        <v>2</v>
      </c>
      <c r="F3177" s="1" t="s">
        <v>36</v>
      </c>
      <c r="G3177" s="1">
        <v>0</v>
      </c>
      <c r="H3177" s="1">
        <v>0</v>
      </c>
      <c r="I3177" s="1">
        <v>1.99</v>
      </c>
    </row>
    <row r="3178" spans="1:9" x14ac:dyDescent="0.25">
      <c r="A3178" s="1">
        <v>2140110606</v>
      </c>
      <c r="B3178" s="1" t="s">
        <v>1727</v>
      </c>
      <c r="C3178" s="1" t="s">
        <v>151</v>
      </c>
      <c r="D3178" s="1" t="s">
        <v>152</v>
      </c>
      <c r="E3178" s="3">
        <v>2320</v>
      </c>
      <c r="F3178" s="1" t="s">
        <v>36</v>
      </c>
      <c r="G3178" s="1">
        <v>0</v>
      </c>
      <c r="H3178" s="1">
        <v>0</v>
      </c>
      <c r="I3178" s="1">
        <v>2.054392</v>
      </c>
    </row>
    <row r="3179" spans="1:9" x14ac:dyDescent="0.25">
      <c r="A3179" s="1">
        <v>2140110606</v>
      </c>
      <c r="B3179" s="1" t="s">
        <v>1727</v>
      </c>
      <c r="C3179" s="1" t="s">
        <v>139</v>
      </c>
      <c r="D3179" s="1" t="s">
        <v>140</v>
      </c>
      <c r="E3179" s="1">
        <v>2</v>
      </c>
      <c r="F3179" s="1" t="s">
        <v>36</v>
      </c>
      <c r="G3179" s="3">
        <v>59850</v>
      </c>
      <c r="H3179" s="3">
        <v>10632</v>
      </c>
      <c r="I3179" s="1">
        <v>1.9650000000000001</v>
      </c>
    </row>
    <row r="3180" spans="1:9" x14ac:dyDescent="0.25">
      <c r="A3180" s="1">
        <v>2140110610</v>
      </c>
      <c r="B3180" s="1" t="s">
        <v>1728</v>
      </c>
      <c r="C3180" s="1" t="s">
        <v>130</v>
      </c>
      <c r="D3180" s="1" t="s">
        <v>131</v>
      </c>
      <c r="E3180" s="3">
        <v>36964</v>
      </c>
      <c r="F3180" s="1" t="s">
        <v>36</v>
      </c>
      <c r="G3180" s="3">
        <v>1725</v>
      </c>
      <c r="H3180" s="3">
        <v>554457</v>
      </c>
      <c r="I3180" s="1">
        <v>2.1665760000000001</v>
      </c>
    </row>
    <row r="3181" spans="1:9" x14ac:dyDescent="0.25">
      <c r="A3181" s="1">
        <v>2140110610</v>
      </c>
      <c r="B3181" s="1" t="s">
        <v>1728</v>
      </c>
      <c r="C3181" s="1" t="s">
        <v>126</v>
      </c>
      <c r="D3181" s="1" t="s">
        <v>127</v>
      </c>
      <c r="E3181" s="3">
        <v>1835</v>
      </c>
      <c r="F3181" s="1" t="s">
        <v>36</v>
      </c>
      <c r="G3181" s="1">
        <v>0</v>
      </c>
      <c r="H3181" s="1">
        <v>0</v>
      </c>
      <c r="I3181" s="1">
        <v>2.3164690000000001</v>
      </c>
    </row>
    <row r="3182" spans="1:9" x14ac:dyDescent="0.25">
      <c r="A3182" s="1">
        <v>2140110610</v>
      </c>
      <c r="B3182" s="1" t="s">
        <v>1728</v>
      </c>
      <c r="C3182" s="1" t="s">
        <v>137</v>
      </c>
      <c r="D3182" s="1" t="s">
        <v>138</v>
      </c>
      <c r="E3182" s="3">
        <v>13</v>
      </c>
      <c r="F3182" s="1" t="s">
        <v>36</v>
      </c>
      <c r="G3182" s="1">
        <v>0</v>
      </c>
      <c r="H3182" s="1">
        <v>0</v>
      </c>
      <c r="I3182" s="1">
        <v>2.1961539999999999</v>
      </c>
    </row>
    <row r="3183" spans="1:9" x14ac:dyDescent="0.25">
      <c r="A3183" s="1">
        <v>2140110610</v>
      </c>
      <c r="B3183" s="1" t="s">
        <v>1728</v>
      </c>
      <c r="C3183" s="1" t="s">
        <v>151</v>
      </c>
      <c r="D3183" s="1" t="s">
        <v>152</v>
      </c>
      <c r="E3183" s="1">
        <v>0</v>
      </c>
      <c r="F3183" s="1" t="s">
        <v>36</v>
      </c>
      <c r="G3183" s="3">
        <v>12657</v>
      </c>
      <c r="H3183" s="1">
        <v>0</v>
      </c>
      <c r="I3183" s="1">
        <v>2.16554</v>
      </c>
    </row>
    <row r="3184" spans="1:9" x14ac:dyDescent="0.25">
      <c r="A3184" s="1">
        <v>2140110610</v>
      </c>
      <c r="B3184" s="1" t="s">
        <v>1728</v>
      </c>
      <c r="C3184" s="1" t="s">
        <v>139</v>
      </c>
      <c r="D3184" s="1" t="s">
        <v>140</v>
      </c>
      <c r="E3184" s="3">
        <v>44500</v>
      </c>
      <c r="F3184" s="1" t="s">
        <v>36</v>
      </c>
      <c r="G3184" s="3">
        <v>541800</v>
      </c>
      <c r="H3184" s="1">
        <v>0</v>
      </c>
      <c r="I3184" s="1">
        <v>2.16554</v>
      </c>
    </row>
    <row r="3185" spans="1:9" x14ac:dyDescent="0.25">
      <c r="A3185" s="1">
        <v>2140110613</v>
      </c>
      <c r="B3185" s="1" t="s">
        <v>1729</v>
      </c>
      <c r="C3185" s="1" t="s">
        <v>130</v>
      </c>
      <c r="D3185" s="1" t="s">
        <v>131</v>
      </c>
      <c r="E3185" s="3">
        <v>83</v>
      </c>
      <c r="F3185" s="1" t="s">
        <v>36</v>
      </c>
      <c r="G3185" s="3">
        <v>3150</v>
      </c>
      <c r="H3185" s="3">
        <v>59783</v>
      </c>
      <c r="I3185" s="1">
        <v>2.2625299999999999</v>
      </c>
    </row>
    <row r="3186" spans="1:9" x14ac:dyDescent="0.25">
      <c r="A3186" s="1">
        <v>2140110613</v>
      </c>
      <c r="B3186" s="1" t="s">
        <v>1729</v>
      </c>
      <c r="C3186" s="1" t="s">
        <v>137</v>
      </c>
      <c r="D3186" s="1" t="s">
        <v>138</v>
      </c>
      <c r="E3186" s="1">
        <v>3</v>
      </c>
      <c r="F3186" s="1" t="s">
        <v>36</v>
      </c>
      <c r="G3186" s="1">
        <v>0</v>
      </c>
      <c r="H3186" s="1">
        <v>0</v>
      </c>
      <c r="I3186" s="1">
        <v>2.3833329999999999</v>
      </c>
    </row>
    <row r="3187" spans="1:9" x14ac:dyDescent="0.25">
      <c r="A3187" s="1">
        <v>2140110613</v>
      </c>
      <c r="B3187" s="1" t="s">
        <v>1729</v>
      </c>
      <c r="C3187" s="1" t="s">
        <v>151</v>
      </c>
      <c r="D3187" s="1" t="s">
        <v>152</v>
      </c>
      <c r="E3187" s="1">
        <v>575</v>
      </c>
      <c r="F3187" s="1" t="s">
        <v>36</v>
      </c>
      <c r="G3187" s="1">
        <v>0</v>
      </c>
      <c r="H3187" s="1">
        <v>0</v>
      </c>
      <c r="I3187" s="1">
        <v>2.263687</v>
      </c>
    </row>
    <row r="3188" spans="1:9" x14ac:dyDescent="0.25">
      <c r="A3188" s="1">
        <v>2140110613</v>
      </c>
      <c r="B3188" s="1" t="s">
        <v>1729</v>
      </c>
      <c r="C3188" s="1" t="s">
        <v>139</v>
      </c>
      <c r="D3188" s="1" t="s">
        <v>140</v>
      </c>
      <c r="E3188" s="3">
        <v>34358</v>
      </c>
      <c r="F3188" s="1" t="s">
        <v>36</v>
      </c>
      <c r="G3188" s="3">
        <v>59783</v>
      </c>
      <c r="H3188" s="3">
        <v>3150</v>
      </c>
      <c r="I3188" s="1">
        <v>2.2952050000000002</v>
      </c>
    </row>
    <row r="3189" spans="1:9" x14ac:dyDescent="0.25">
      <c r="A3189" s="1">
        <v>2140110614</v>
      </c>
      <c r="B3189" s="1" t="s">
        <v>1730</v>
      </c>
      <c r="C3189" s="1" t="s">
        <v>130</v>
      </c>
      <c r="D3189" s="1" t="s">
        <v>131</v>
      </c>
      <c r="E3189" s="3">
        <v>0</v>
      </c>
      <c r="F3189" s="1" t="s">
        <v>36</v>
      </c>
      <c r="G3189" s="1">
        <v>0</v>
      </c>
      <c r="H3189" s="3">
        <v>31500</v>
      </c>
      <c r="I3189" s="1">
        <v>2.1836000000000002</v>
      </c>
    </row>
    <row r="3190" spans="1:9" x14ac:dyDescent="0.25">
      <c r="A3190" s="1">
        <v>2140110614</v>
      </c>
      <c r="B3190" s="1" t="s">
        <v>1730</v>
      </c>
      <c r="C3190" s="1" t="s">
        <v>137</v>
      </c>
      <c r="D3190" s="1" t="s">
        <v>138</v>
      </c>
      <c r="E3190" s="1">
        <v>2</v>
      </c>
      <c r="F3190" s="1" t="s">
        <v>36</v>
      </c>
      <c r="G3190" s="1">
        <v>0</v>
      </c>
      <c r="H3190" s="3">
        <v>0</v>
      </c>
      <c r="I3190" s="1">
        <v>2.69</v>
      </c>
    </row>
    <row r="3191" spans="1:9" x14ac:dyDescent="0.25">
      <c r="A3191" s="1">
        <v>2140110614</v>
      </c>
      <c r="B3191" s="1" t="s">
        <v>1730</v>
      </c>
      <c r="C3191" s="1" t="s">
        <v>139</v>
      </c>
      <c r="D3191" s="1" t="s">
        <v>140</v>
      </c>
      <c r="E3191" s="3">
        <v>13200</v>
      </c>
      <c r="F3191" s="1" t="s">
        <v>36</v>
      </c>
      <c r="G3191" s="3">
        <v>31500</v>
      </c>
      <c r="H3191" s="1">
        <v>0</v>
      </c>
      <c r="I3191" s="1">
        <v>2.1835</v>
      </c>
    </row>
    <row r="3192" spans="1:9" x14ac:dyDescent="0.25">
      <c r="A3192" s="1">
        <v>2140110615</v>
      </c>
      <c r="B3192" s="1" t="s">
        <v>1731</v>
      </c>
      <c r="C3192" s="1" t="s">
        <v>130</v>
      </c>
      <c r="D3192" s="1" t="s">
        <v>131</v>
      </c>
      <c r="E3192" s="3">
        <v>11</v>
      </c>
      <c r="F3192" s="1" t="s">
        <v>36</v>
      </c>
      <c r="G3192" s="3">
        <v>22050</v>
      </c>
      <c r="H3192" s="3">
        <v>25200</v>
      </c>
      <c r="I3192" s="1">
        <v>2.2909090000000001</v>
      </c>
    </row>
    <row r="3193" spans="1:9" x14ac:dyDescent="0.25">
      <c r="A3193" s="1">
        <v>2140110615</v>
      </c>
      <c r="B3193" s="1" t="s">
        <v>1731</v>
      </c>
      <c r="C3193" s="1" t="s">
        <v>137</v>
      </c>
      <c r="D3193" s="1" t="s">
        <v>138</v>
      </c>
      <c r="E3193" s="1">
        <v>2</v>
      </c>
      <c r="F3193" s="1" t="s">
        <v>36</v>
      </c>
      <c r="G3193" s="1">
        <v>0</v>
      </c>
      <c r="H3193" s="1">
        <v>0</v>
      </c>
      <c r="I3193" s="1">
        <v>2.7949999999999999</v>
      </c>
    </row>
    <row r="3194" spans="1:9" x14ac:dyDescent="0.25">
      <c r="A3194" s="1">
        <v>2140110615</v>
      </c>
      <c r="B3194" s="1" t="s">
        <v>1731</v>
      </c>
      <c r="C3194" s="1" t="s">
        <v>139</v>
      </c>
      <c r="D3194" s="1" t="s">
        <v>140</v>
      </c>
      <c r="E3194" s="3">
        <v>4050</v>
      </c>
      <c r="F3194" s="1" t="s">
        <v>36</v>
      </c>
      <c r="G3194" s="3">
        <v>25200</v>
      </c>
      <c r="H3194" s="3">
        <v>22050</v>
      </c>
      <c r="I3194" s="1">
        <v>2.4648099999999999</v>
      </c>
    </row>
    <row r="3195" spans="1:9" x14ac:dyDescent="0.25">
      <c r="A3195" s="1">
        <v>2140110616</v>
      </c>
      <c r="B3195" s="1" t="s">
        <v>1732</v>
      </c>
      <c r="C3195" s="1" t="s">
        <v>130</v>
      </c>
      <c r="D3195" s="1" t="s">
        <v>131</v>
      </c>
      <c r="E3195" s="3">
        <v>1004</v>
      </c>
      <c r="F3195" s="1" t="s">
        <v>36</v>
      </c>
      <c r="G3195" s="1">
        <v>0</v>
      </c>
      <c r="H3195" s="3">
        <v>22050</v>
      </c>
      <c r="I3195" s="1">
        <v>1.9824999999999999</v>
      </c>
    </row>
    <row r="3196" spans="1:9" x14ac:dyDescent="0.25">
      <c r="A3196" s="1">
        <v>2140110616</v>
      </c>
      <c r="B3196" s="1" t="s">
        <v>1732</v>
      </c>
      <c r="C3196" s="1" t="s">
        <v>137</v>
      </c>
      <c r="D3196" s="1" t="s">
        <v>138</v>
      </c>
      <c r="E3196" s="1">
        <v>3</v>
      </c>
      <c r="F3196" s="1" t="s">
        <v>36</v>
      </c>
      <c r="G3196" s="3">
        <v>0</v>
      </c>
      <c r="H3196" s="1">
        <v>0</v>
      </c>
      <c r="I3196" s="1">
        <v>2.15</v>
      </c>
    </row>
    <row r="3197" spans="1:9" x14ac:dyDescent="0.25">
      <c r="A3197" s="1">
        <v>2140110616</v>
      </c>
      <c r="B3197" s="1" t="s">
        <v>1732</v>
      </c>
      <c r="C3197" s="1" t="s">
        <v>139</v>
      </c>
      <c r="D3197" s="1" t="s">
        <v>140</v>
      </c>
      <c r="E3197" s="3">
        <v>7525</v>
      </c>
      <c r="F3197" s="1" t="s">
        <v>36</v>
      </c>
      <c r="G3197" s="3">
        <v>22050</v>
      </c>
      <c r="H3197" s="1">
        <v>0</v>
      </c>
      <c r="I3197" s="1">
        <v>1.980999</v>
      </c>
    </row>
    <row r="3198" spans="1:9" x14ac:dyDescent="0.25">
      <c r="A3198" s="1">
        <v>2140110617</v>
      </c>
      <c r="B3198" s="1" t="s">
        <v>1733</v>
      </c>
      <c r="C3198" s="1" t="s">
        <v>130</v>
      </c>
      <c r="D3198" s="1" t="s">
        <v>131</v>
      </c>
      <c r="E3198" s="1">
        <v>487</v>
      </c>
      <c r="F3198" s="1" t="s">
        <v>36</v>
      </c>
      <c r="G3198" s="1">
        <v>0</v>
      </c>
      <c r="H3198" s="3">
        <v>44100</v>
      </c>
      <c r="I3198" s="1">
        <v>2.3157700000000001</v>
      </c>
    </row>
    <row r="3199" spans="1:9" x14ac:dyDescent="0.25">
      <c r="A3199" s="1">
        <v>2140110617</v>
      </c>
      <c r="B3199" s="1" t="s">
        <v>1733</v>
      </c>
      <c r="C3199" s="1" t="s">
        <v>137</v>
      </c>
      <c r="D3199" s="1" t="s">
        <v>138</v>
      </c>
      <c r="E3199" s="1">
        <v>2</v>
      </c>
      <c r="F3199" s="1" t="s">
        <v>36</v>
      </c>
      <c r="G3199" s="1">
        <v>0</v>
      </c>
      <c r="H3199" s="1">
        <v>0</v>
      </c>
      <c r="I3199" s="1">
        <v>2.2349999999999999</v>
      </c>
    </row>
    <row r="3200" spans="1:9" x14ac:dyDescent="0.25">
      <c r="A3200" s="1">
        <v>2140110617</v>
      </c>
      <c r="B3200" s="1" t="s">
        <v>1733</v>
      </c>
      <c r="C3200" s="1" t="s">
        <v>139</v>
      </c>
      <c r="D3200" s="1" t="s">
        <v>140</v>
      </c>
      <c r="E3200" s="3">
        <v>3919</v>
      </c>
      <c r="F3200" s="1" t="s">
        <v>36</v>
      </c>
      <c r="G3200" s="3">
        <v>44100</v>
      </c>
      <c r="H3200" s="1">
        <v>0</v>
      </c>
      <c r="I3200" s="1">
        <v>2.3156750000000001</v>
      </c>
    </row>
    <row r="3201" spans="1:9" x14ac:dyDescent="0.25">
      <c r="A3201" s="1">
        <v>2140110618</v>
      </c>
      <c r="B3201" s="1" t="s">
        <v>1734</v>
      </c>
      <c r="C3201" s="1" t="s">
        <v>130</v>
      </c>
      <c r="D3201" s="1" t="s">
        <v>131</v>
      </c>
      <c r="E3201" s="1">
        <v>0</v>
      </c>
      <c r="F3201" s="1" t="s">
        <v>36</v>
      </c>
      <c r="G3201" s="1">
        <v>678</v>
      </c>
      <c r="H3201" s="3">
        <v>25200</v>
      </c>
      <c r="I3201" s="1">
        <v>2.2400000000000002</v>
      </c>
    </row>
    <row r="3202" spans="1:9" x14ac:dyDescent="0.25">
      <c r="A3202" s="1">
        <v>2140110618</v>
      </c>
      <c r="B3202" s="1" t="s">
        <v>1734</v>
      </c>
      <c r="C3202" s="1" t="s">
        <v>137</v>
      </c>
      <c r="D3202" s="1" t="s">
        <v>138</v>
      </c>
      <c r="E3202" s="1">
        <v>6</v>
      </c>
      <c r="F3202" s="1" t="s">
        <v>36</v>
      </c>
      <c r="G3202" s="1">
        <v>0</v>
      </c>
      <c r="H3202" s="1">
        <v>3</v>
      </c>
      <c r="I3202" s="1">
        <v>2.2599999999999998</v>
      </c>
    </row>
    <row r="3203" spans="1:9" x14ac:dyDescent="0.25">
      <c r="A3203" s="1">
        <v>2140110618</v>
      </c>
      <c r="B3203" s="1" t="s">
        <v>1734</v>
      </c>
      <c r="C3203" s="1" t="s">
        <v>139</v>
      </c>
      <c r="D3203" s="1" t="s">
        <v>140</v>
      </c>
      <c r="E3203" s="1">
        <v>0</v>
      </c>
      <c r="F3203" s="1" t="s">
        <v>36</v>
      </c>
      <c r="G3203" s="3">
        <v>25200</v>
      </c>
      <c r="H3203" s="1">
        <v>0</v>
      </c>
      <c r="I3203" s="1">
        <v>2.6196000000000002</v>
      </c>
    </row>
    <row r="3204" spans="1:9" x14ac:dyDescent="0.25">
      <c r="A3204" s="1">
        <v>2140110619</v>
      </c>
      <c r="B3204" s="1" t="s">
        <v>1735</v>
      </c>
      <c r="C3204" s="1" t="s">
        <v>130</v>
      </c>
      <c r="D3204" s="1" t="s">
        <v>131</v>
      </c>
      <c r="E3204" s="1">
        <v>35</v>
      </c>
      <c r="F3204" s="1" t="s">
        <v>36</v>
      </c>
      <c r="G3204" s="3">
        <v>15750</v>
      </c>
      <c r="H3204" s="3">
        <v>9450</v>
      </c>
      <c r="I3204" s="1">
        <v>2.188571</v>
      </c>
    </row>
    <row r="3205" spans="1:9" x14ac:dyDescent="0.25">
      <c r="A3205" s="1">
        <v>2140110619</v>
      </c>
      <c r="B3205" s="1" t="s">
        <v>1735</v>
      </c>
      <c r="C3205" s="1" t="s">
        <v>137</v>
      </c>
      <c r="D3205" s="1" t="s">
        <v>138</v>
      </c>
      <c r="E3205" s="1">
        <v>10</v>
      </c>
      <c r="F3205" s="1" t="s">
        <v>36</v>
      </c>
      <c r="G3205" s="1">
        <v>0</v>
      </c>
      <c r="H3205" s="1">
        <v>0</v>
      </c>
      <c r="I3205" s="1">
        <v>2.2080000000000002</v>
      </c>
    </row>
    <row r="3206" spans="1:9" x14ac:dyDescent="0.25">
      <c r="A3206" s="1">
        <v>2140110619</v>
      </c>
      <c r="B3206" s="1" t="s">
        <v>1735</v>
      </c>
      <c r="C3206" s="1" t="s">
        <v>139</v>
      </c>
      <c r="D3206" s="1" t="s">
        <v>140</v>
      </c>
      <c r="E3206" s="3">
        <v>3451</v>
      </c>
      <c r="F3206" s="1" t="s">
        <v>36</v>
      </c>
      <c r="G3206" s="3">
        <v>9450</v>
      </c>
      <c r="H3206" s="3">
        <v>15750</v>
      </c>
      <c r="I3206" s="1">
        <v>2.2097159999999998</v>
      </c>
    </row>
    <row r="3207" spans="1:9" x14ac:dyDescent="0.25">
      <c r="A3207" s="1">
        <v>2140110620</v>
      </c>
      <c r="B3207" s="1" t="s">
        <v>1736</v>
      </c>
      <c r="C3207" s="1" t="s">
        <v>130</v>
      </c>
      <c r="D3207" s="1" t="s">
        <v>131</v>
      </c>
      <c r="E3207" s="1">
        <v>5</v>
      </c>
      <c r="F3207" s="1" t="s">
        <v>36</v>
      </c>
      <c r="G3207" s="1">
        <v>500</v>
      </c>
      <c r="H3207" s="3">
        <v>69300</v>
      </c>
      <c r="I3207" s="1">
        <v>2.3639999999999999</v>
      </c>
    </row>
    <row r="3208" spans="1:9" x14ac:dyDescent="0.25">
      <c r="A3208" s="1">
        <v>2140110620</v>
      </c>
      <c r="B3208" s="1" t="s">
        <v>1736</v>
      </c>
      <c r="C3208" s="1" t="s">
        <v>137</v>
      </c>
      <c r="D3208" s="1" t="s">
        <v>138</v>
      </c>
      <c r="E3208" s="1">
        <v>11</v>
      </c>
      <c r="F3208" s="1" t="s">
        <v>36</v>
      </c>
      <c r="G3208" s="1">
        <v>0</v>
      </c>
      <c r="H3208" s="1">
        <v>0</v>
      </c>
      <c r="I3208" s="1">
        <v>2.328182</v>
      </c>
    </row>
    <row r="3209" spans="1:9" x14ac:dyDescent="0.25">
      <c r="A3209" s="1">
        <v>2140110620</v>
      </c>
      <c r="B3209" s="1" t="s">
        <v>1736</v>
      </c>
      <c r="C3209" s="1" t="s">
        <v>139</v>
      </c>
      <c r="D3209" s="1" t="s">
        <v>140</v>
      </c>
      <c r="E3209" s="3">
        <v>17026</v>
      </c>
      <c r="F3209" s="1" t="s">
        <v>36</v>
      </c>
      <c r="G3209" s="3">
        <v>69300</v>
      </c>
      <c r="H3209" s="1">
        <v>0</v>
      </c>
      <c r="I3209" s="1">
        <v>2.346787</v>
      </c>
    </row>
    <row r="3210" spans="1:9" x14ac:dyDescent="0.25">
      <c r="A3210" s="1">
        <v>2140110621</v>
      </c>
      <c r="B3210" s="1" t="s">
        <v>1737</v>
      </c>
      <c r="C3210" s="1" t="s">
        <v>130</v>
      </c>
      <c r="D3210" s="1" t="s">
        <v>131</v>
      </c>
      <c r="E3210" s="1">
        <v>248</v>
      </c>
      <c r="F3210" s="1" t="s">
        <v>36</v>
      </c>
      <c r="G3210" s="1">
        <v>0</v>
      </c>
      <c r="H3210" s="1">
        <v>0</v>
      </c>
      <c r="I3210" s="1">
        <v>2.5039920000000002</v>
      </c>
    </row>
    <row r="3211" spans="1:9" x14ac:dyDescent="0.25">
      <c r="A3211" s="1">
        <v>2140110622</v>
      </c>
      <c r="B3211" s="1" t="s">
        <v>1738</v>
      </c>
      <c r="C3211" s="1" t="s">
        <v>130</v>
      </c>
      <c r="D3211" s="1" t="s">
        <v>131</v>
      </c>
      <c r="E3211" s="3">
        <v>4558</v>
      </c>
      <c r="F3211" s="1" t="s">
        <v>36</v>
      </c>
      <c r="G3211" s="3">
        <v>31501</v>
      </c>
      <c r="H3211" s="3">
        <v>13397</v>
      </c>
      <c r="I3211" s="1">
        <v>2.609607</v>
      </c>
    </row>
    <row r="3212" spans="1:9" x14ac:dyDescent="0.25">
      <c r="A3212" s="1">
        <v>2140110622</v>
      </c>
      <c r="B3212" s="1" t="s">
        <v>1738</v>
      </c>
      <c r="C3212" s="1" t="s">
        <v>137</v>
      </c>
      <c r="D3212" s="1" t="s">
        <v>138</v>
      </c>
      <c r="E3212" s="1">
        <v>12</v>
      </c>
      <c r="F3212" s="1" t="s">
        <v>36</v>
      </c>
      <c r="G3212" s="1">
        <v>0</v>
      </c>
      <c r="H3212" s="1">
        <v>1</v>
      </c>
      <c r="I3212" s="1">
        <v>2.628333</v>
      </c>
    </row>
    <row r="3213" spans="1:9" x14ac:dyDescent="0.25">
      <c r="A3213" s="1">
        <v>2140110622</v>
      </c>
      <c r="B3213" s="1" t="s">
        <v>1738</v>
      </c>
      <c r="C3213" s="1" t="s">
        <v>139</v>
      </c>
      <c r="D3213" s="1" t="s">
        <v>140</v>
      </c>
      <c r="E3213" s="3">
        <v>1516</v>
      </c>
      <c r="F3213" s="1" t="s">
        <v>36</v>
      </c>
      <c r="G3213" s="3">
        <v>13397</v>
      </c>
      <c r="H3213" s="3">
        <v>31500</v>
      </c>
      <c r="I3213" s="1">
        <v>2.7057980000000001</v>
      </c>
    </row>
    <row r="3214" spans="1:9" x14ac:dyDescent="0.25">
      <c r="A3214" s="1">
        <v>2140110623</v>
      </c>
      <c r="B3214" s="1" t="s">
        <v>1739</v>
      </c>
      <c r="C3214" s="1" t="s">
        <v>130</v>
      </c>
      <c r="D3214" s="1" t="s">
        <v>131</v>
      </c>
      <c r="E3214" s="1">
        <v>50</v>
      </c>
      <c r="F3214" s="1" t="s">
        <v>36</v>
      </c>
      <c r="G3214" s="3">
        <v>1224</v>
      </c>
      <c r="H3214" s="3">
        <v>40048</v>
      </c>
      <c r="I3214" s="1">
        <v>7.3029999999999999</v>
      </c>
    </row>
    <row r="3215" spans="1:9" x14ac:dyDescent="0.25">
      <c r="A3215" s="1">
        <v>2140110623</v>
      </c>
      <c r="B3215" s="1" t="s">
        <v>1739</v>
      </c>
      <c r="C3215" s="1" t="s">
        <v>142</v>
      </c>
      <c r="D3215" s="1" t="s">
        <v>143</v>
      </c>
      <c r="E3215" s="1">
        <v>0</v>
      </c>
      <c r="F3215" s="1" t="s">
        <v>36</v>
      </c>
      <c r="G3215" s="1">
        <v>1</v>
      </c>
      <c r="H3215" s="1">
        <v>0</v>
      </c>
      <c r="I3215" s="1">
        <v>7.3022220000000004</v>
      </c>
    </row>
    <row r="3216" spans="1:9" x14ac:dyDescent="0.25">
      <c r="A3216" s="1">
        <v>2140110623</v>
      </c>
      <c r="B3216" s="1" t="s">
        <v>1739</v>
      </c>
      <c r="C3216" s="1" t="s">
        <v>139</v>
      </c>
      <c r="D3216" s="1" t="s">
        <v>140</v>
      </c>
      <c r="E3216" s="3">
        <v>35912</v>
      </c>
      <c r="F3216" s="1" t="s">
        <v>36</v>
      </c>
      <c r="G3216" s="3">
        <v>40047</v>
      </c>
      <c r="H3216" s="1">
        <v>0</v>
      </c>
      <c r="I3216" s="1">
        <v>7.3027119999999996</v>
      </c>
    </row>
    <row r="3217" spans="1:9" x14ac:dyDescent="0.25">
      <c r="A3217" s="1">
        <v>2140110623</v>
      </c>
      <c r="B3217" s="1" t="s">
        <v>1739</v>
      </c>
      <c r="C3217" s="1" t="s">
        <v>144</v>
      </c>
      <c r="D3217" s="1" t="s">
        <v>145</v>
      </c>
      <c r="E3217" s="1">
        <v>420</v>
      </c>
      <c r="F3217" s="1" t="s">
        <v>36</v>
      </c>
      <c r="G3217" s="1">
        <v>0</v>
      </c>
      <c r="H3217" s="1">
        <v>0</v>
      </c>
      <c r="I3217" s="1">
        <v>7.3027139999999999</v>
      </c>
    </row>
    <row r="3218" spans="1:9" x14ac:dyDescent="0.25">
      <c r="A3218" s="1">
        <v>2140110624</v>
      </c>
      <c r="B3218" s="1" t="s">
        <v>1740</v>
      </c>
      <c r="C3218" s="1" t="s">
        <v>130</v>
      </c>
      <c r="D3218" s="1" t="s">
        <v>131</v>
      </c>
      <c r="E3218" s="3">
        <v>1161</v>
      </c>
      <c r="F3218" s="1" t="s">
        <v>36</v>
      </c>
      <c r="G3218" s="3">
        <v>1104</v>
      </c>
      <c r="H3218" s="1">
        <v>0</v>
      </c>
      <c r="I3218" s="1">
        <v>5.8958050000000002</v>
      </c>
    </row>
    <row r="3219" spans="1:9" x14ac:dyDescent="0.25">
      <c r="A3219" s="1">
        <v>2140110624</v>
      </c>
      <c r="B3219" s="1" t="s">
        <v>1740</v>
      </c>
      <c r="C3219" s="1" t="s">
        <v>139</v>
      </c>
      <c r="D3219" s="1" t="s">
        <v>140</v>
      </c>
      <c r="E3219" s="1">
        <v>216</v>
      </c>
      <c r="F3219" s="1" t="s">
        <v>36</v>
      </c>
      <c r="G3219" s="1">
        <v>0</v>
      </c>
      <c r="H3219" s="1">
        <v>0</v>
      </c>
      <c r="I3219" s="1">
        <v>5.8957870000000003</v>
      </c>
    </row>
    <row r="3220" spans="1:9" x14ac:dyDescent="0.25">
      <c r="A3220" s="1">
        <v>2140110625</v>
      </c>
      <c r="B3220" s="1" t="s">
        <v>1741</v>
      </c>
      <c r="C3220" s="1" t="s">
        <v>130</v>
      </c>
      <c r="D3220" s="1" t="s">
        <v>131</v>
      </c>
      <c r="E3220" s="1">
        <v>8</v>
      </c>
      <c r="F3220" s="1" t="s">
        <v>36</v>
      </c>
      <c r="G3220" s="1">
        <v>625</v>
      </c>
      <c r="H3220" s="1">
        <v>0</v>
      </c>
      <c r="I3220" s="1">
        <v>7.54</v>
      </c>
    </row>
    <row r="3221" spans="1:9" x14ac:dyDescent="0.25">
      <c r="A3221" s="1">
        <v>2140110625</v>
      </c>
      <c r="B3221" s="1" t="s">
        <v>1741</v>
      </c>
      <c r="C3221" s="1" t="s">
        <v>137</v>
      </c>
      <c r="D3221" s="1" t="s">
        <v>138</v>
      </c>
      <c r="E3221" s="1">
        <v>0</v>
      </c>
      <c r="F3221" s="1" t="s">
        <v>36</v>
      </c>
      <c r="G3221" s="1">
        <v>0</v>
      </c>
      <c r="H3221" s="1">
        <v>1</v>
      </c>
      <c r="I3221" s="1">
        <v>7.54</v>
      </c>
    </row>
    <row r="3222" spans="1:9" x14ac:dyDescent="0.25">
      <c r="A3222" s="1">
        <v>2140110626</v>
      </c>
      <c r="B3222" s="1" t="s">
        <v>1742</v>
      </c>
      <c r="C3222" s="1" t="s">
        <v>130</v>
      </c>
      <c r="D3222" s="1" t="s">
        <v>131</v>
      </c>
      <c r="E3222" s="1">
        <v>20</v>
      </c>
      <c r="F3222" s="1" t="s">
        <v>36</v>
      </c>
      <c r="G3222" s="3">
        <v>1396</v>
      </c>
      <c r="H3222" s="1">
        <v>306</v>
      </c>
      <c r="I3222" s="1">
        <v>6.0679999999999996</v>
      </c>
    </row>
    <row r="3223" spans="1:9" x14ac:dyDescent="0.25">
      <c r="A3223" s="1">
        <v>2140110626</v>
      </c>
      <c r="B3223" s="1" t="s">
        <v>1742</v>
      </c>
      <c r="C3223" s="1" t="s">
        <v>142</v>
      </c>
      <c r="D3223" s="1" t="s">
        <v>143</v>
      </c>
      <c r="E3223" s="1">
        <v>0</v>
      </c>
      <c r="F3223" s="1" t="s">
        <v>36</v>
      </c>
      <c r="G3223" s="1">
        <v>0</v>
      </c>
      <c r="H3223" s="1">
        <v>715</v>
      </c>
      <c r="I3223" s="1">
        <v>6.0674999999999999</v>
      </c>
    </row>
    <row r="3224" spans="1:9" x14ac:dyDescent="0.25">
      <c r="A3224" s="1">
        <v>2140110626</v>
      </c>
      <c r="B3224" s="1" t="s">
        <v>1742</v>
      </c>
      <c r="C3224" s="1" t="s">
        <v>137</v>
      </c>
      <c r="D3224" s="1" t="s">
        <v>138</v>
      </c>
      <c r="E3224" s="1">
        <v>0</v>
      </c>
      <c r="F3224" s="1" t="s">
        <v>36</v>
      </c>
      <c r="G3224" s="1">
        <v>0</v>
      </c>
      <c r="H3224" s="1">
        <v>1</v>
      </c>
      <c r="I3224" s="1">
        <v>6.07</v>
      </c>
    </row>
    <row r="3225" spans="1:9" x14ac:dyDescent="0.25">
      <c r="A3225" s="1">
        <v>2140110626</v>
      </c>
      <c r="B3225" s="1" t="s">
        <v>1742</v>
      </c>
      <c r="C3225" s="1" t="s">
        <v>151</v>
      </c>
      <c r="D3225" s="1" t="s">
        <v>152</v>
      </c>
      <c r="E3225" s="3">
        <v>1900</v>
      </c>
      <c r="F3225" s="1" t="s">
        <v>36</v>
      </c>
      <c r="G3225" s="1">
        <v>0</v>
      </c>
      <c r="H3225" s="1">
        <v>0</v>
      </c>
      <c r="I3225" s="1">
        <v>6.0679999999999996</v>
      </c>
    </row>
    <row r="3226" spans="1:9" x14ac:dyDescent="0.25">
      <c r="A3226" s="1">
        <v>2140110627</v>
      </c>
      <c r="B3226" s="1" t="s">
        <v>1743</v>
      </c>
      <c r="C3226" s="1" t="s">
        <v>130</v>
      </c>
      <c r="D3226" s="1" t="s">
        <v>131</v>
      </c>
      <c r="E3226" s="1">
        <v>974</v>
      </c>
      <c r="F3226" s="1" t="s">
        <v>36</v>
      </c>
      <c r="G3226" s="1">
        <v>0</v>
      </c>
      <c r="H3226" s="1">
        <v>0</v>
      </c>
      <c r="I3226" s="1">
        <v>11.164795</v>
      </c>
    </row>
    <row r="3227" spans="1:9" x14ac:dyDescent="0.25">
      <c r="A3227" s="1">
        <v>2140110628</v>
      </c>
      <c r="B3227" s="1" t="s">
        <v>1744</v>
      </c>
      <c r="C3227" s="1" t="s">
        <v>130</v>
      </c>
      <c r="D3227" s="1" t="s">
        <v>131</v>
      </c>
      <c r="E3227" s="1">
        <v>12</v>
      </c>
      <c r="F3227" s="1" t="s">
        <v>36</v>
      </c>
      <c r="G3227" s="3">
        <v>0</v>
      </c>
      <c r="H3227" s="3">
        <v>15288</v>
      </c>
      <c r="I3227" s="1">
        <v>5.8616669999999997</v>
      </c>
    </row>
    <row r="3228" spans="1:9" x14ac:dyDescent="0.25">
      <c r="A3228" s="1">
        <v>2140110628</v>
      </c>
      <c r="B3228" s="1" t="s">
        <v>1744</v>
      </c>
      <c r="C3228" s="1" t="s">
        <v>258</v>
      </c>
      <c r="D3228" s="1" t="s">
        <v>259</v>
      </c>
      <c r="E3228" s="1">
        <v>40</v>
      </c>
      <c r="F3228" s="1" t="s">
        <v>36</v>
      </c>
      <c r="G3228" s="1">
        <v>0</v>
      </c>
      <c r="H3228" s="1">
        <v>0</v>
      </c>
      <c r="I3228" s="1">
        <v>5.8615000000000004</v>
      </c>
    </row>
    <row r="3229" spans="1:9" x14ac:dyDescent="0.25">
      <c r="A3229" s="1">
        <v>2140110628</v>
      </c>
      <c r="B3229" s="1" t="s">
        <v>1744</v>
      </c>
      <c r="C3229" s="1" t="s">
        <v>137</v>
      </c>
      <c r="D3229" s="1" t="s">
        <v>138</v>
      </c>
      <c r="E3229" s="1">
        <v>90</v>
      </c>
      <c r="F3229" s="1" t="s">
        <v>36</v>
      </c>
      <c r="G3229" s="3">
        <v>0</v>
      </c>
      <c r="H3229" s="1">
        <v>0</v>
      </c>
      <c r="I3229" s="1">
        <v>5.8614439999999997</v>
      </c>
    </row>
    <row r="3230" spans="1:9" x14ac:dyDescent="0.25">
      <c r="A3230" s="1">
        <v>2140110628</v>
      </c>
      <c r="B3230" s="1" t="s">
        <v>1744</v>
      </c>
      <c r="C3230" s="1" t="s">
        <v>139</v>
      </c>
      <c r="D3230" s="1" t="s">
        <v>140</v>
      </c>
      <c r="E3230" s="3">
        <v>13559</v>
      </c>
      <c r="F3230" s="1" t="s">
        <v>36</v>
      </c>
      <c r="G3230" s="3">
        <v>15288</v>
      </c>
      <c r="H3230" s="1">
        <v>0</v>
      </c>
      <c r="I3230" s="1">
        <v>5.8614300000000004</v>
      </c>
    </row>
    <row r="3231" spans="1:9" x14ac:dyDescent="0.25">
      <c r="A3231" s="1">
        <v>2140110629</v>
      </c>
      <c r="B3231" s="1" t="s">
        <v>1745</v>
      </c>
      <c r="C3231" s="1" t="s">
        <v>130</v>
      </c>
      <c r="D3231" s="1" t="s">
        <v>131</v>
      </c>
      <c r="E3231" s="3">
        <v>7337</v>
      </c>
      <c r="F3231" s="1" t="s">
        <v>36</v>
      </c>
      <c r="G3231" s="1">
        <v>0</v>
      </c>
      <c r="H3231" s="3">
        <v>1152</v>
      </c>
      <c r="I3231" s="1">
        <v>7.2520350000000002</v>
      </c>
    </row>
    <row r="3232" spans="1:9" x14ac:dyDescent="0.25">
      <c r="A3232" s="1">
        <v>2140110629</v>
      </c>
      <c r="B3232" s="1" t="s">
        <v>1745</v>
      </c>
      <c r="C3232" s="1" t="s">
        <v>139</v>
      </c>
      <c r="D3232" s="1" t="s">
        <v>140</v>
      </c>
      <c r="E3232" s="3">
        <v>1127</v>
      </c>
      <c r="F3232" s="1" t="s">
        <v>36</v>
      </c>
      <c r="G3232" s="3">
        <v>1152</v>
      </c>
      <c r="H3232" s="3">
        <v>0</v>
      </c>
      <c r="I3232" s="1">
        <v>7.2520319999999998</v>
      </c>
    </row>
    <row r="3233" spans="1:9" x14ac:dyDescent="0.25">
      <c r="A3233" s="1">
        <v>2140110630</v>
      </c>
      <c r="B3233" s="1" t="s">
        <v>1746</v>
      </c>
      <c r="C3233" s="1" t="s">
        <v>130</v>
      </c>
      <c r="D3233" s="1" t="s">
        <v>131</v>
      </c>
      <c r="E3233" s="1">
        <v>0</v>
      </c>
      <c r="F3233" s="1" t="s">
        <v>89</v>
      </c>
      <c r="G3233" s="1">
        <v>256.3</v>
      </c>
      <c r="H3233" s="1">
        <v>0</v>
      </c>
      <c r="I3233" s="1">
        <v>0</v>
      </c>
    </row>
    <row r="3234" spans="1:9" x14ac:dyDescent="0.25">
      <c r="A3234" s="1">
        <v>2140110631</v>
      </c>
      <c r="B3234" s="1" t="s">
        <v>1747</v>
      </c>
      <c r="C3234" s="1" t="s">
        <v>130</v>
      </c>
      <c r="D3234" s="1" t="s">
        <v>131</v>
      </c>
      <c r="E3234" s="3">
        <v>49258</v>
      </c>
      <c r="F3234" s="1" t="s">
        <v>36</v>
      </c>
      <c r="G3234" s="1">
        <v>0</v>
      </c>
      <c r="H3234" s="1">
        <v>0</v>
      </c>
      <c r="I3234" s="1">
        <v>1.5887899999999999</v>
      </c>
    </row>
    <row r="3235" spans="1:9" x14ac:dyDescent="0.25">
      <c r="A3235" s="1">
        <v>2140110632</v>
      </c>
      <c r="B3235" s="1" t="s">
        <v>1748</v>
      </c>
      <c r="C3235" s="1" t="s">
        <v>130</v>
      </c>
      <c r="D3235" s="1" t="s">
        <v>131</v>
      </c>
      <c r="E3235" s="3">
        <v>15659</v>
      </c>
      <c r="F3235" s="1" t="s">
        <v>36</v>
      </c>
      <c r="G3235" s="1">
        <v>0</v>
      </c>
      <c r="H3235" s="1">
        <v>50</v>
      </c>
      <c r="I3235" s="1">
        <v>1.7891729999999999</v>
      </c>
    </row>
    <row r="3236" spans="1:9" x14ac:dyDescent="0.25">
      <c r="A3236" s="1">
        <v>2140110632</v>
      </c>
      <c r="B3236" s="1" t="s">
        <v>1748</v>
      </c>
      <c r="C3236" s="1" t="s">
        <v>139</v>
      </c>
      <c r="D3236" s="1" t="s">
        <v>140</v>
      </c>
      <c r="E3236" s="1">
        <v>0</v>
      </c>
      <c r="F3236" s="1" t="s">
        <v>36</v>
      </c>
      <c r="G3236" s="1">
        <v>50</v>
      </c>
      <c r="H3236" s="1">
        <v>0</v>
      </c>
      <c r="I3236" s="1">
        <v>1.5768409999999999</v>
      </c>
    </row>
    <row r="3237" spans="1:9" x14ac:dyDescent="0.25">
      <c r="A3237" s="1">
        <v>2140110633</v>
      </c>
      <c r="B3237" s="1" t="s">
        <v>1749</v>
      </c>
      <c r="C3237" s="1" t="s">
        <v>130</v>
      </c>
      <c r="D3237" s="1" t="s">
        <v>131</v>
      </c>
      <c r="E3237" s="3">
        <v>30275</v>
      </c>
      <c r="F3237" s="1" t="s">
        <v>36</v>
      </c>
      <c r="G3237" s="1">
        <v>0</v>
      </c>
      <c r="H3237" s="3">
        <v>29750</v>
      </c>
      <c r="I3237" s="1">
        <v>1.5843400000000001</v>
      </c>
    </row>
    <row r="3238" spans="1:9" x14ac:dyDescent="0.25">
      <c r="A3238" s="1">
        <v>2140110633</v>
      </c>
      <c r="B3238" s="1" t="s">
        <v>1749</v>
      </c>
      <c r="C3238" s="1" t="s">
        <v>1698</v>
      </c>
      <c r="D3238" s="1" t="s">
        <v>1699</v>
      </c>
      <c r="E3238" s="3">
        <v>0</v>
      </c>
      <c r="F3238" s="1" t="s">
        <v>36</v>
      </c>
      <c r="G3238" s="3">
        <v>29700</v>
      </c>
      <c r="H3238" s="1">
        <v>0</v>
      </c>
      <c r="I3238" s="1">
        <v>17.647099999999998</v>
      </c>
    </row>
    <row r="3239" spans="1:9" x14ac:dyDescent="0.25">
      <c r="A3239" s="1">
        <v>2140110633</v>
      </c>
      <c r="B3239" s="1" t="s">
        <v>1749</v>
      </c>
      <c r="C3239" s="1" t="s">
        <v>139</v>
      </c>
      <c r="D3239" s="1" t="s">
        <v>140</v>
      </c>
      <c r="E3239" s="1">
        <v>250</v>
      </c>
      <c r="F3239" s="1" t="s">
        <v>36</v>
      </c>
      <c r="G3239" s="1">
        <v>50</v>
      </c>
      <c r="H3239" s="1">
        <v>0</v>
      </c>
      <c r="I3239" s="1">
        <v>1.8570800000000001</v>
      </c>
    </row>
    <row r="3240" spans="1:9" x14ac:dyDescent="0.25">
      <c r="A3240" s="1">
        <v>2140110637</v>
      </c>
      <c r="B3240" s="1" t="s">
        <v>1750</v>
      </c>
      <c r="C3240" s="1" t="s">
        <v>130</v>
      </c>
      <c r="D3240" s="1" t="s">
        <v>131</v>
      </c>
      <c r="E3240" s="1">
        <v>32</v>
      </c>
      <c r="F3240" s="1" t="s">
        <v>36</v>
      </c>
      <c r="G3240" s="3">
        <v>6550</v>
      </c>
      <c r="H3240" s="3">
        <v>28350</v>
      </c>
      <c r="I3240" s="1">
        <v>1.849375</v>
      </c>
    </row>
    <row r="3241" spans="1:9" x14ac:dyDescent="0.25">
      <c r="A3241" s="1">
        <v>2140110637</v>
      </c>
      <c r="B3241" s="1" t="s">
        <v>1750</v>
      </c>
      <c r="C3241" s="1" t="s">
        <v>137</v>
      </c>
      <c r="D3241" s="1" t="s">
        <v>138</v>
      </c>
      <c r="E3241" s="1">
        <v>2</v>
      </c>
      <c r="F3241" s="1" t="s">
        <v>36</v>
      </c>
      <c r="G3241" s="1">
        <v>0</v>
      </c>
      <c r="H3241" s="1">
        <v>0</v>
      </c>
      <c r="I3241" s="1">
        <v>1.85</v>
      </c>
    </row>
    <row r="3242" spans="1:9" x14ac:dyDescent="0.25">
      <c r="A3242" s="1">
        <v>2140110637</v>
      </c>
      <c r="B3242" s="1" t="s">
        <v>1750</v>
      </c>
      <c r="C3242" s="1" t="s">
        <v>139</v>
      </c>
      <c r="D3242" s="1" t="s">
        <v>140</v>
      </c>
      <c r="E3242" s="1">
        <v>0</v>
      </c>
      <c r="F3242" s="1" t="s">
        <v>36</v>
      </c>
      <c r="G3242" s="3">
        <v>28350</v>
      </c>
      <c r="H3242" s="1">
        <v>0</v>
      </c>
      <c r="I3242" s="1">
        <v>1.849485</v>
      </c>
    </row>
    <row r="3243" spans="1:9" x14ac:dyDescent="0.25">
      <c r="A3243" s="1">
        <v>2140110642</v>
      </c>
      <c r="B3243" s="1" t="s">
        <v>1751</v>
      </c>
      <c r="C3243" s="1" t="s">
        <v>130</v>
      </c>
      <c r="D3243" s="1" t="s">
        <v>131</v>
      </c>
      <c r="E3243" s="1">
        <v>71</v>
      </c>
      <c r="F3243" s="1" t="s">
        <v>36</v>
      </c>
      <c r="G3243" s="1">
        <v>0</v>
      </c>
      <c r="H3243" s="3">
        <v>18900</v>
      </c>
      <c r="I3243" s="1">
        <v>2.5201410000000002</v>
      </c>
    </row>
    <row r="3244" spans="1:9" x14ac:dyDescent="0.25">
      <c r="A3244" s="1">
        <v>2140110642</v>
      </c>
      <c r="B3244" s="1" t="s">
        <v>1751</v>
      </c>
      <c r="C3244" s="1" t="s">
        <v>137</v>
      </c>
      <c r="D3244" s="1" t="s">
        <v>138</v>
      </c>
      <c r="E3244" s="1">
        <v>3</v>
      </c>
      <c r="F3244" s="1" t="s">
        <v>36</v>
      </c>
      <c r="G3244" s="1">
        <v>0</v>
      </c>
      <c r="H3244" s="1">
        <v>0</v>
      </c>
      <c r="I3244" s="1">
        <v>2.52</v>
      </c>
    </row>
    <row r="3245" spans="1:9" x14ac:dyDescent="0.25">
      <c r="A3245" s="1">
        <v>2140110642</v>
      </c>
      <c r="B3245" s="1" t="s">
        <v>1751</v>
      </c>
      <c r="C3245" s="1" t="s">
        <v>139</v>
      </c>
      <c r="D3245" s="1" t="s">
        <v>140</v>
      </c>
      <c r="E3245" s="3">
        <v>2700</v>
      </c>
      <c r="F3245" s="1" t="s">
        <v>36</v>
      </c>
      <c r="G3245" s="3">
        <v>18900</v>
      </c>
      <c r="H3245" s="1">
        <v>0</v>
      </c>
      <c r="I3245" s="1">
        <v>2.917519</v>
      </c>
    </row>
    <row r="3246" spans="1:9" x14ac:dyDescent="0.25">
      <c r="A3246" s="1">
        <v>2140110643</v>
      </c>
      <c r="B3246" s="1" t="s">
        <v>1752</v>
      </c>
      <c r="C3246" s="1" t="s">
        <v>130</v>
      </c>
      <c r="D3246" s="1" t="s">
        <v>131</v>
      </c>
      <c r="E3246" s="3">
        <v>24</v>
      </c>
      <c r="F3246" s="1" t="s">
        <v>36</v>
      </c>
      <c r="G3246" s="1">
        <v>500</v>
      </c>
      <c r="H3246" s="3">
        <v>34650</v>
      </c>
      <c r="I3246" s="1">
        <v>2.0754169999999998</v>
      </c>
    </row>
    <row r="3247" spans="1:9" x14ac:dyDescent="0.25">
      <c r="A3247" s="1">
        <v>2140110643</v>
      </c>
      <c r="B3247" s="1" t="s">
        <v>1752</v>
      </c>
      <c r="C3247" s="1" t="s">
        <v>137</v>
      </c>
      <c r="D3247" s="1" t="s">
        <v>138</v>
      </c>
      <c r="E3247" s="1">
        <v>5</v>
      </c>
      <c r="F3247" s="1" t="s">
        <v>36</v>
      </c>
      <c r="G3247" s="1">
        <v>0</v>
      </c>
      <c r="H3247" s="1">
        <v>0</v>
      </c>
      <c r="I3247" s="1">
        <v>2.1379999999999999</v>
      </c>
    </row>
    <row r="3248" spans="1:9" x14ac:dyDescent="0.25">
      <c r="A3248" s="1">
        <v>2140110643</v>
      </c>
      <c r="B3248" s="1" t="s">
        <v>1752</v>
      </c>
      <c r="C3248" s="1" t="s">
        <v>139</v>
      </c>
      <c r="D3248" s="1" t="s">
        <v>140</v>
      </c>
      <c r="E3248" s="3">
        <v>1175</v>
      </c>
      <c r="F3248" s="1" t="s">
        <v>36</v>
      </c>
      <c r="G3248" s="3">
        <v>34650</v>
      </c>
      <c r="H3248" s="1">
        <v>0</v>
      </c>
      <c r="I3248" s="1">
        <v>2.0664509999999998</v>
      </c>
    </row>
    <row r="3249" spans="1:9" x14ac:dyDescent="0.25">
      <c r="A3249" s="1">
        <v>2140110644</v>
      </c>
      <c r="B3249" s="1" t="s">
        <v>1753</v>
      </c>
      <c r="C3249" s="1" t="s">
        <v>130</v>
      </c>
      <c r="D3249" s="1" t="s">
        <v>131</v>
      </c>
      <c r="E3249" s="1">
        <v>2</v>
      </c>
      <c r="F3249" s="1" t="s">
        <v>36</v>
      </c>
      <c r="G3249" s="1">
        <v>500</v>
      </c>
      <c r="H3249" s="3">
        <v>56712</v>
      </c>
      <c r="I3249" s="1">
        <v>2.87</v>
      </c>
    </row>
    <row r="3250" spans="1:9" x14ac:dyDescent="0.25">
      <c r="A3250" s="1">
        <v>2140110644</v>
      </c>
      <c r="B3250" s="1" t="s">
        <v>1753</v>
      </c>
      <c r="C3250" s="1" t="s">
        <v>137</v>
      </c>
      <c r="D3250" s="1" t="s">
        <v>138</v>
      </c>
      <c r="E3250" s="3">
        <v>11</v>
      </c>
      <c r="F3250" s="1" t="s">
        <v>36</v>
      </c>
      <c r="G3250" s="1">
        <v>0</v>
      </c>
      <c r="H3250" s="1">
        <v>0</v>
      </c>
      <c r="I3250" s="1">
        <v>2.7409089999999998</v>
      </c>
    </row>
    <row r="3251" spans="1:9" x14ac:dyDescent="0.25">
      <c r="A3251" s="1">
        <v>2140110644</v>
      </c>
      <c r="B3251" s="1" t="s">
        <v>1753</v>
      </c>
      <c r="C3251" s="1" t="s">
        <v>139</v>
      </c>
      <c r="D3251" s="1" t="s">
        <v>140</v>
      </c>
      <c r="E3251" s="3">
        <v>20391</v>
      </c>
      <c r="F3251" s="1" t="s">
        <v>36</v>
      </c>
      <c r="G3251" s="3">
        <v>56712</v>
      </c>
      <c r="H3251" s="1">
        <v>0</v>
      </c>
      <c r="I3251" s="1">
        <v>2.8674849999999998</v>
      </c>
    </row>
    <row r="3252" spans="1:9" x14ac:dyDescent="0.25">
      <c r="A3252" s="1">
        <v>2140110645</v>
      </c>
      <c r="B3252" s="1" t="s">
        <v>1754</v>
      </c>
      <c r="C3252" s="1" t="s">
        <v>130</v>
      </c>
      <c r="D3252" s="1" t="s">
        <v>131</v>
      </c>
      <c r="E3252" s="1">
        <v>10</v>
      </c>
      <c r="F3252" s="1" t="s">
        <v>36</v>
      </c>
      <c r="G3252" s="1">
        <v>0</v>
      </c>
      <c r="H3252" s="3">
        <v>18000</v>
      </c>
      <c r="I3252" s="1">
        <v>1.768</v>
      </c>
    </row>
    <row r="3253" spans="1:9" x14ac:dyDescent="0.25">
      <c r="A3253" s="1">
        <v>2140110645</v>
      </c>
      <c r="B3253" s="1" t="s">
        <v>1754</v>
      </c>
      <c r="C3253" s="1" t="s">
        <v>139</v>
      </c>
      <c r="D3253" s="1" t="s">
        <v>140</v>
      </c>
      <c r="E3253" s="1">
        <v>0</v>
      </c>
      <c r="F3253" s="1" t="s">
        <v>36</v>
      </c>
      <c r="G3253" s="3">
        <v>18000</v>
      </c>
      <c r="H3253" s="1">
        <v>0</v>
      </c>
      <c r="I3253" s="1">
        <v>1.76756</v>
      </c>
    </row>
    <row r="3254" spans="1:9" x14ac:dyDescent="0.25">
      <c r="A3254" s="1">
        <v>2140110646</v>
      </c>
      <c r="B3254" s="1" t="s">
        <v>1755</v>
      </c>
      <c r="C3254" s="1" t="s">
        <v>130</v>
      </c>
      <c r="D3254" s="1" t="s">
        <v>131</v>
      </c>
      <c r="E3254" s="3">
        <v>1576</v>
      </c>
      <c r="F3254" s="1" t="s">
        <v>36</v>
      </c>
      <c r="G3254" s="1">
        <v>0</v>
      </c>
      <c r="H3254" s="1">
        <v>0</v>
      </c>
      <c r="I3254" s="1">
        <v>1.7695430000000001</v>
      </c>
    </row>
    <row r="3255" spans="1:9" x14ac:dyDescent="0.25">
      <c r="A3255" s="1">
        <v>2140110647</v>
      </c>
      <c r="B3255" s="1" t="s">
        <v>1756</v>
      </c>
      <c r="C3255" s="1" t="s">
        <v>130</v>
      </c>
      <c r="D3255" s="1" t="s">
        <v>131</v>
      </c>
      <c r="E3255" s="1">
        <v>38</v>
      </c>
      <c r="F3255" s="1" t="s">
        <v>36</v>
      </c>
      <c r="G3255" s="1">
        <v>0</v>
      </c>
      <c r="H3255" s="3">
        <v>26050</v>
      </c>
      <c r="I3255" s="1">
        <v>1.4107890000000001</v>
      </c>
    </row>
    <row r="3256" spans="1:9" x14ac:dyDescent="0.25">
      <c r="A3256" s="1">
        <v>2140110647</v>
      </c>
      <c r="B3256" s="1" t="s">
        <v>1756</v>
      </c>
      <c r="C3256" s="1" t="s">
        <v>139</v>
      </c>
      <c r="D3256" s="1" t="s">
        <v>140</v>
      </c>
      <c r="E3256" s="3">
        <v>21050</v>
      </c>
      <c r="F3256" s="1" t="s">
        <v>36</v>
      </c>
      <c r="G3256" s="3">
        <v>26050</v>
      </c>
      <c r="H3256" s="1">
        <v>0</v>
      </c>
      <c r="I3256" s="1">
        <v>1.4108179999999999</v>
      </c>
    </row>
    <row r="3257" spans="1:9" x14ac:dyDescent="0.25">
      <c r="A3257" s="1">
        <v>2140110648</v>
      </c>
      <c r="B3257" s="1" t="s">
        <v>1757</v>
      </c>
      <c r="C3257" s="1" t="s">
        <v>130</v>
      </c>
      <c r="D3257" s="1" t="s">
        <v>131</v>
      </c>
      <c r="E3257" s="1">
        <v>94</v>
      </c>
      <c r="F3257" s="1" t="s">
        <v>36</v>
      </c>
      <c r="G3257" s="1">
        <v>0</v>
      </c>
      <c r="H3257" s="3">
        <v>3600</v>
      </c>
      <c r="I3257" s="1">
        <v>1.769468</v>
      </c>
    </row>
    <row r="3258" spans="1:9" x14ac:dyDescent="0.25">
      <c r="A3258" s="1">
        <v>2140110648</v>
      </c>
      <c r="B3258" s="1" t="s">
        <v>1757</v>
      </c>
      <c r="C3258" s="1" t="s">
        <v>139</v>
      </c>
      <c r="D3258" s="1" t="s">
        <v>140</v>
      </c>
      <c r="E3258" s="1">
        <v>0</v>
      </c>
      <c r="F3258" s="1" t="s">
        <v>36</v>
      </c>
      <c r="G3258" s="3">
        <v>3600</v>
      </c>
      <c r="H3258" s="1">
        <v>0</v>
      </c>
      <c r="I3258" s="1">
        <v>1.769433</v>
      </c>
    </row>
    <row r="3259" spans="1:9" x14ac:dyDescent="0.25">
      <c r="A3259" s="1">
        <v>2140110649</v>
      </c>
      <c r="B3259" s="1" t="s">
        <v>1758</v>
      </c>
      <c r="C3259" s="1" t="s">
        <v>130</v>
      </c>
      <c r="D3259" s="1" t="s">
        <v>131</v>
      </c>
      <c r="E3259" s="3">
        <v>1096</v>
      </c>
      <c r="F3259" s="1" t="s">
        <v>36</v>
      </c>
      <c r="G3259" s="1">
        <v>0</v>
      </c>
      <c r="H3259" s="1">
        <v>0</v>
      </c>
      <c r="I3259" s="1">
        <v>1.7697080000000001</v>
      </c>
    </row>
    <row r="3260" spans="1:9" x14ac:dyDescent="0.25">
      <c r="A3260" s="1">
        <v>2140110650</v>
      </c>
      <c r="B3260" s="1" t="s">
        <v>1759</v>
      </c>
      <c r="C3260" s="1" t="s">
        <v>130</v>
      </c>
      <c r="D3260" s="1" t="s">
        <v>131</v>
      </c>
      <c r="E3260" s="1">
        <v>357</v>
      </c>
      <c r="F3260" s="1" t="s">
        <v>36</v>
      </c>
      <c r="G3260" s="3">
        <v>0</v>
      </c>
      <c r="H3260" s="1">
        <v>0</v>
      </c>
      <c r="I3260" s="1">
        <v>1.455406</v>
      </c>
    </row>
    <row r="3261" spans="1:9" x14ac:dyDescent="0.25">
      <c r="A3261" s="1">
        <v>2140110651</v>
      </c>
      <c r="B3261" s="1" t="s">
        <v>1760</v>
      </c>
      <c r="C3261" s="1" t="s">
        <v>130</v>
      </c>
      <c r="D3261" s="1" t="s">
        <v>131</v>
      </c>
      <c r="E3261" s="1">
        <v>49</v>
      </c>
      <c r="F3261" s="1" t="s">
        <v>36</v>
      </c>
      <c r="G3261" s="1">
        <v>802</v>
      </c>
      <c r="H3261" s="3">
        <v>0</v>
      </c>
      <c r="I3261" s="1">
        <v>2.7697959999999999</v>
      </c>
    </row>
    <row r="3262" spans="1:9" x14ac:dyDescent="0.25">
      <c r="A3262" s="1">
        <v>2140110651</v>
      </c>
      <c r="B3262" s="1" t="s">
        <v>1760</v>
      </c>
      <c r="C3262" s="1" t="s">
        <v>137</v>
      </c>
      <c r="D3262" s="1" t="s">
        <v>138</v>
      </c>
      <c r="E3262" s="3">
        <v>0</v>
      </c>
      <c r="F3262" s="1" t="s">
        <v>36</v>
      </c>
      <c r="G3262" s="1">
        <v>0</v>
      </c>
      <c r="H3262" s="1">
        <v>2</v>
      </c>
      <c r="I3262" s="1">
        <v>2.495806</v>
      </c>
    </row>
    <row r="3263" spans="1:9" x14ac:dyDescent="0.25">
      <c r="A3263" s="1">
        <v>2140110652</v>
      </c>
      <c r="B3263" s="1" t="s">
        <v>1761</v>
      </c>
      <c r="C3263" s="1" t="s">
        <v>130</v>
      </c>
      <c r="D3263" s="1" t="s">
        <v>131</v>
      </c>
      <c r="E3263" s="3">
        <v>37</v>
      </c>
      <c r="F3263" s="1" t="s">
        <v>36</v>
      </c>
      <c r="G3263" s="1">
        <v>400</v>
      </c>
      <c r="H3263" s="3">
        <v>3150</v>
      </c>
      <c r="I3263" s="1">
        <v>1.477568</v>
      </c>
    </row>
    <row r="3264" spans="1:9" x14ac:dyDescent="0.25">
      <c r="A3264" s="1">
        <v>2140110652</v>
      </c>
      <c r="B3264" s="1" t="s">
        <v>1761</v>
      </c>
      <c r="C3264" s="1" t="s">
        <v>1698</v>
      </c>
      <c r="D3264" s="1" t="s">
        <v>1699</v>
      </c>
      <c r="E3264" s="3">
        <v>25</v>
      </c>
      <c r="F3264" s="1" t="s">
        <v>36</v>
      </c>
      <c r="G3264" s="1">
        <v>0</v>
      </c>
      <c r="H3264" s="1">
        <v>0</v>
      </c>
      <c r="I3264" s="1">
        <v>1.4728000000000001</v>
      </c>
    </row>
    <row r="3265" spans="1:9" x14ac:dyDescent="0.25">
      <c r="A3265" s="1">
        <v>2140110652</v>
      </c>
      <c r="B3265" s="1" t="s">
        <v>1761</v>
      </c>
      <c r="C3265" s="1" t="s">
        <v>137</v>
      </c>
      <c r="D3265" s="1" t="s">
        <v>138</v>
      </c>
      <c r="E3265" s="1">
        <v>2</v>
      </c>
      <c r="F3265" s="1" t="s">
        <v>36</v>
      </c>
      <c r="G3265" s="1">
        <v>0</v>
      </c>
      <c r="H3265" s="1">
        <v>0</v>
      </c>
      <c r="I3265" s="1">
        <v>1.8049999999999999</v>
      </c>
    </row>
    <row r="3266" spans="1:9" x14ac:dyDescent="0.25">
      <c r="A3266" s="1">
        <v>2140110652</v>
      </c>
      <c r="B3266" s="1" t="s">
        <v>1761</v>
      </c>
      <c r="C3266" s="1" t="s">
        <v>139</v>
      </c>
      <c r="D3266" s="1" t="s">
        <v>140</v>
      </c>
      <c r="E3266" s="1">
        <v>0</v>
      </c>
      <c r="F3266" s="1" t="s">
        <v>36</v>
      </c>
      <c r="G3266" s="3">
        <v>3150</v>
      </c>
      <c r="H3266" s="1">
        <v>0</v>
      </c>
      <c r="I3266" s="1">
        <v>2.4260000000000002</v>
      </c>
    </row>
    <row r="3267" spans="1:9" x14ac:dyDescent="0.25">
      <c r="A3267" s="1">
        <v>2140110653</v>
      </c>
      <c r="B3267" s="1" t="s">
        <v>1762</v>
      </c>
      <c r="C3267" s="1" t="s">
        <v>130</v>
      </c>
      <c r="D3267" s="1" t="s">
        <v>131</v>
      </c>
      <c r="E3267" s="1">
        <v>17</v>
      </c>
      <c r="F3267" s="1" t="s">
        <v>36</v>
      </c>
      <c r="G3267" s="3">
        <v>1525</v>
      </c>
      <c r="H3267" s="3">
        <v>6300</v>
      </c>
      <c r="I3267" s="1">
        <v>2.068235</v>
      </c>
    </row>
    <row r="3268" spans="1:9" x14ac:dyDescent="0.25">
      <c r="A3268" s="1">
        <v>2140110653</v>
      </c>
      <c r="B3268" s="1" t="s">
        <v>1762</v>
      </c>
      <c r="C3268" s="1" t="s">
        <v>137</v>
      </c>
      <c r="D3268" s="1" t="s">
        <v>138</v>
      </c>
      <c r="E3268" s="1">
        <v>2</v>
      </c>
      <c r="F3268" s="1" t="s">
        <v>36</v>
      </c>
      <c r="G3268" s="3">
        <v>0</v>
      </c>
      <c r="H3268" s="3">
        <v>0</v>
      </c>
      <c r="I3268" s="1">
        <v>2.0699999999999998</v>
      </c>
    </row>
    <row r="3269" spans="1:9" x14ac:dyDescent="0.25">
      <c r="A3269" s="1">
        <v>2140110653</v>
      </c>
      <c r="B3269" s="1" t="s">
        <v>1762</v>
      </c>
      <c r="C3269" s="1" t="s">
        <v>151</v>
      </c>
      <c r="D3269" s="1" t="s">
        <v>152</v>
      </c>
      <c r="E3269" s="1">
        <v>425</v>
      </c>
      <c r="F3269" s="1" t="s">
        <v>36</v>
      </c>
      <c r="G3269" s="1">
        <v>0</v>
      </c>
      <c r="H3269" s="1">
        <v>0</v>
      </c>
      <c r="I3269" s="1">
        <v>2.0414819999999998</v>
      </c>
    </row>
    <row r="3270" spans="1:9" x14ac:dyDescent="0.25">
      <c r="A3270" s="1">
        <v>2140110653</v>
      </c>
      <c r="B3270" s="1" t="s">
        <v>1762</v>
      </c>
      <c r="C3270" s="1" t="s">
        <v>139</v>
      </c>
      <c r="D3270" s="1" t="s">
        <v>140</v>
      </c>
      <c r="E3270" s="1">
        <v>0</v>
      </c>
      <c r="F3270" s="1" t="s">
        <v>36</v>
      </c>
      <c r="G3270" s="3">
        <v>6300</v>
      </c>
      <c r="H3270" s="1">
        <v>0</v>
      </c>
      <c r="I3270" s="1">
        <v>2.0415000000000001</v>
      </c>
    </row>
    <row r="3271" spans="1:9" x14ac:dyDescent="0.25">
      <c r="A3271" s="1">
        <v>2140110654</v>
      </c>
      <c r="B3271" s="1" t="s">
        <v>1763</v>
      </c>
      <c r="C3271" s="1" t="s">
        <v>130</v>
      </c>
      <c r="D3271" s="1" t="s">
        <v>131</v>
      </c>
      <c r="E3271" s="1">
        <v>7</v>
      </c>
      <c r="F3271" s="1" t="s">
        <v>36</v>
      </c>
      <c r="G3271" s="1">
        <v>477</v>
      </c>
      <c r="H3271" s="3">
        <v>6300</v>
      </c>
      <c r="I3271" s="1">
        <v>2.157143</v>
      </c>
    </row>
    <row r="3272" spans="1:9" x14ac:dyDescent="0.25">
      <c r="A3272" s="1">
        <v>2140110654</v>
      </c>
      <c r="B3272" s="1" t="s">
        <v>1763</v>
      </c>
      <c r="C3272" s="1" t="s">
        <v>137</v>
      </c>
      <c r="D3272" s="1" t="s">
        <v>138</v>
      </c>
      <c r="E3272" s="1">
        <v>0</v>
      </c>
      <c r="F3272" s="1" t="s">
        <v>36</v>
      </c>
      <c r="G3272" s="1">
        <v>0</v>
      </c>
      <c r="H3272" s="1">
        <v>2</v>
      </c>
      <c r="I3272" s="1">
        <v>0</v>
      </c>
    </row>
    <row r="3273" spans="1:9" x14ac:dyDescent="0.25">
      <c r="A3273" s="1">
        <v>2140110654</v>
      </c>
      <c r="B3273" s="1" t="s">
        <v>1763</v>
      </c>
      <c r="C3273" s="1" t="s">
        <v>139</v>
      </c>
      <c r="D3273" s="1" t="s">
        <v>140</v>
      </c>
      <c r="E3273" s="3">
        <v>0</v>
      </c>
      <c r="F3273" s="1" t="s">
        <v>36</v>
      </c>
      <c r="G3273" s="3">
        <v>6300</v>
      </c>
      <c r="H3273" s="3">
        <v>0</v>
      </c>
      <c r="I3273" s="1">
        <v>2.2669329999999999</v>
      </c>
    </row>
    <row r="3274" spans="1:9" x14ac:dyDescent="0.25">
      <c r="A3274" s="1">
        <v>2140110655</v>
      </c>
      <c r="B3274" s="1" t="s">
        <v>1764</v>
      </c>
      <c r="C3274" s="1" t="s">
        <v>130</v>
      </c>
      <c r="D3274" s="1" t="s">
        <v>131</v>
      </c>
      <c r="E3274" s="1">
        <v>3</v>
      </c>
      <c r="F3274" s="1" t="s">
        <v>36</v>
      </c>
      <c r="G3274" s="1">
        <v>450</v>
      </c>
      <c r="H3274" s="3">
        <v>9450</v>
      </c>
      <c r="I3274" s="1">
        <v>2.2599999999999998</v>
      </c>
    </row>
    <row r="3275" spans="1:9" x14ac:dyDescent="0.25">
      <c r="A3275" s="1">
        <v>2140110655</v>
      </c>
      <c r="B3275" s="1" t="s">
        <v>1764</v>
      </c>
      <c r="C3275" s="1" t="s">
        <v>137</v>
      </c>
      <c r="D3275" s="1" t="s">
        <v>138</v>
      </c>
      <c r="E3275" s="1">
        <v>4</v>
      </c>
      <c r="F3275" s="1" t="s">
        <v>36</v>
      </c>
      <c r="G3275" s="3">
        <v>0</v>
      </c>
      <c r="H3275" s="1">
        <v>0</v>
      </c>
      <c r="I3275" s="1">
        <v>2.2599999999999998</v>
      </c>
    </row>
    <row r="3276" spans="1:9" x14ac:dyDescent="0.25">
      <c r="A3276" s="1">
        <v>2140110655</v>
      </c>
      <c r="B3276" s="1" t="s">
        <v>1764</v>
      </c>
      <c r="C3276" s="1" t="s">
        <v>139</v>
      </c>
      <c r="D3276" s="1" t="s">
        <v>140</v>
      </c>
      <c r="E3276" s="1">
        <v>0</v>
      </c>
      <c r="F3276" s="1" t="s">
        <v>36</v>
      </c>
      <c r="G3276" s="3">
        <v>9450</v>
      </c>
      <c r="H3276" s="1">
        <v>0</v>
      </c>
      <c r="I3276" s="1">
        <v>2.265225</v>
      </c>
    </row>
    <row r="3277" spans="1:9" x14ac:dyDescent="0.25">
      <c r="A3277" s="1">
        <v>2140110656</v>
      </c>
      <c r="B3277" s="1" t="s">
        <v>1765</v>
      </c>
      <c r="C3277" s="1" t="s">
        <v>130</v>
      </c>
      <c r="D3277" s="1" t="s">
        <v>131</v>
      </c>
      <c r="E3277" s="1">
        <v>202</v>
      </c>
      <c r="F3277" s="1" t="s">
        <v>36</v>
      </c>
      <c r="G3277" s="1">
        <v>2</v>
      </c>
      <c r="H3277" s="3">
        <v>6300</v>
      </c>
      <c r="I3277" s="1">
        <v>2.2850000000000001</v>
      </c>
    </row>
    <row r="3278" spans="1:9" x14ac:dyDescent="0.25">
      <c r="A3278" s="1">
        <v>2140110656</v>
      </c>
      <c r="B3278" s="1" t="s">
        <v>1765</v>
      </c>
      <c r="C3278" s="1" t="s">
        <v>137</v>
      </c>
      <c r="D3278" s="1" t="s">
        <v>138</v>
      </c>
      <c r="E3278" s="1">
        <v>0</v>
      </c>
      <c r="F3278" s="1" t="s">
        <v>36</v>
      </c>
      <c r="G3278" s="1">
        <v>0</v>
      </c>
      <c r="H3278" s="1">
        <v>2</v>
      </c>
      <c r="I3278" s="1">
        <v>2.29</v>
      </c>
    </row>
    <row r="3279" spans="1:9" x14ac:dyDescent="0.25">
      <c r="A3279" s="1">
        <v>2140110656</v>
      </c>
      <c r="B3279" s="1" t="s">
        <v>1765</v>
      </c>
      <c r="C3279" s="1" t="s">
        <v>151</v>
      </c>
      <c r="D3279" s="1" t="s">
        <v>152</v>
      </c>
      <c r="E3279" s="1">
        <v>50</v>
      </c>
      <c r="F3279" s="1" t="s">
        <v>36</v>
      </c>
      <c r="G3279" s="1">
        <v>0</v>
      </c>
      <c r="H3279" s="1">
        <v>0</v>
      </c>
      <c r="I3279" s="1">
        <v>2.2826</v>
      </c>
    </row>
    <row r="3280" spans="1:9" x14ac:dyDescent="0.25">
      <c r="A3280" s="1">
        <v>2140110656</v>
      </c>
      <c r="B3280" s="1" t="s">
        <v>1765</v>
      </c>
      <c r="C3280" s="1" t="s">
        <v>139</v>
      </c>
      <c r="D3280" s="1" t="s">
        <v>140</v>
      </c>
      <c r="E3280" s="3">
        <v>1975</v>
      </c>
      <c r="F3280" s="1" t="s">
        <v>36</v>
      </c>
      <c r="G3280" s="3">
        <v>6300</v>
      </c>
      <c r="H3280" s="3">
        <v>0</v>
      </c>
      <c r="I3280" s="1">
        <v>2.2726479999999998</v>
      </c>
    </row>
    <row r="3281" spans="1:9" x14ac:dyDescent="0.25">
      <c r="A3281" s="1">
        <v>2140110657</v>
      </c>
      <c r="B3281" s="1" t="s">
        <v>1766</v>
      </c>
      <c r="C3281" s="1" t="s">
        <v>130</v>
      </c>
      <c r="D3281" s="1" t="s">
        <v>131</v>
      </c>
      <c r="E3281" s="3">
        <v>32</v>
      </c>
      <c r="F3281" s="1" t="s">
        <v>36</v>
      </c>
      <c r="G3281" s="3">
        <v>100</v>
      </c>
      <c r="H3281" s="3">
        <v>6300</v>
      </c>
      <c r="I3281" s="1">
        <v>1.8165629999999999</v>
      </c>
    </row>
    <row r="3282" spans="1:9" x14ac:dyDescent="0.25">
      <c r="A3282" s="1">
        <v>2140110657</v>
      </c>
      <c r="B3282" s="1" t="s">
        <v>1766</v>
      </c>
      <c r="C3282" s="1" t="s">
        <v>137</v>
      </c>
      <c r="D3282" s="1" t="s">
        <v>138</v>
      </c>
      <c r="E3282" s="1">
        <v>9</v>
      </c>
      <c r="F3282" s="1" t="s">
        <v>36</v>
      </c>
      <c r="G3282" s="1">
        <v>0</v>
      </c>
      <c r="H3282" s="1">
        <v>25</v>
      </c>
      <c r="I3282" s="1">
        <v>1.8311109999999999</v>
      </c>
    </row>
    <row r="3283" spans="1:9" x14ac:dyDescent="0.25">
      <c r="A3283" s="1">
        <v>2140110657</v>
      </c>
      <c r="B3283" s="1" t="s">
        <v>1766</v>
      </c>
      <c r="C3283" s="1" t="s">
        <v>139</v>
      </c>
      <c r="D3283" s="1" t="s">
        <v>140</v>
      </c>
      <c r="E3283" s="1">
        <v>0</v>
      </c>
      <c r="F3283" s="1" t="s">
        <v>36</v>
      </c>
      <c r="G3283" s="3">
        <v>6300</v>
      </c>
      <c r="H3283" s="1">
        <v>0</v>
      </c>
      <c r="I3283" s="1">
        <v>1.8829670000000001</v>
      </c>
    </row>
    <row r="3284" spans="1:9" x14ac:dyDescent="0.25">
      <c r="A3284" s="1">
        <v>2140110658</v>
      </c>
      <c r="B3284" s="1" t="s">
        <v>1767</v>
      </c>
      <c r="C3284" s="1" t="s">
        <v>130</v>
      </c>
      <c r="D3284" s="1" t="s">
        <v>131</v>
      </c>
      <c r="E3284" s="1">
        <v>0</v>
      </c>
      <c r="F3284" s="1" t="s">
        <v>36</v>
      </c>
      <c r="G3284" s="1">
        <v>776</v>
      </c>
      <c r="H3284" s="3">
        <v>8713</v>
      </c>
      <c r="I3284" s="1">
        <v>2.35</v>
      </c>
    </row>
    <row r="3285" spans="1:9" x14ac:dyDescent="0.25">
      <c r="A3285" s="1">
        <v>2140110658</v>
      </c>
      <c r="B3285" s="1" t="s">
        <v>1767</v>
      </c>
      <c r="C3285" s="1" t="s">
        <v>137</v>
      </c>
      <c r="D3285" s="1" t="s">
        <v>138</v>
      </c>
      <c r="E3285" s="1">
        <v>3</v>
      </c>
      <c r="F3285" s="1" t="s">
        <v>36</v>
      </c>
      <c r="G3285" s="1">
        <v>0</v>
      </c>
      <c r="H3285" s="1">
        <v>1</v>
      </c>
      <c r="I3285" s="1">
        <v>2.35</v>
      </c>
    </row>
    <row r="3286" spans="1:9" x14ac:dyDescent="0.25">
      <c r="A3286" s="1">
        <v>2140110658</v>
      </c>
      <c r="B3286" s="1" t="s">
        <v>1767</v>
      </c>
      <c r="C3286" s="1" t="s">
        <v>139</v>
      </c>
      <c r="D3286" s="1" t="s">
        <v>140</v>
      </c>
      <c r="E3286" s="3">
        <v>2285</v>
      </c>
      <c r="F3286" s="1" t="s">
        <v>36</v>
      </c>
      <c r="G3286" s="3">
        <v>8713</v>
      </c>
      <c r="H3286" s="1">
        <v>775</v>
      </c>
      <c r="I3286" s="1">
        <v>2.349834</v>
      </c>
    </row>
    <row r="3287" spans="1:9" x14ac:dyDescent="0.25">
      <c r="A3287" s="1">
        <v>2140110659</v>
      </c>
      <c r="B3287" s="1" t="s">
        <v>1768</v>
      </c>
      <c r="C3287" s="1" t="s">
        <v>130</v>
      </c>
      <c r="D3287" s="1" t="s">
        <v>131</v>
      </c>
      <c r="E3287" s="1">
        <v>22</v>
      </c>
      <c r="F3287" s="1" t="s">
        <v>36</v>
      </c>
      <c r="G3287" s="1">
        <v>0</v>
      </c>
      <c r="H3287" s="3">
        <v>9450</v>
      </c>
      <c r="I3287" s="1">
        <v>1.851818</v>
      </c>
    </row>
    <row r="3288" spans="1:9" x14ac:dyDescent="0.25">
      <c r="A3288" s="1">
        <v>2140110659</v>
      </c>
      <c r="B3288" s="1" t="s">
        <v>1768</v>
      </c>
      <c r="C3288" s="1" t="s">
        <v>137</v>
      </c>
      <c r="D3288" s="1" t="s">
        <v>138</v>
      </c>
      <c r="E3288" s="1">
        <v>2</v>
      </c>
      <c r="F3288" s="1" t="s">
        <v>36</v>
      </c>
      <c r="G3288" s="1">
        <v>0</v>
      </c>
      <c r="H3288" s="1">
        <v>0</v>
      </c>
      <c r="I3288" s="1">
        <v>1.7350000000000001</v>
      </c>
    </row>
    <row r="3289" spans="1:9" x14ac:dyDescent="0.25">
      <c r="A3289" s="1">
        <v>2140110659</v>
      </c>
      <c r="B3289" s="1" t="s">
        <v>1768</v>
      </c>
      <c r="C3289" s="1" t="s">
        <v>139</v>
      </c>
      <c r="D3289" s="1" t="s">
        <v>140</v>
      </c>
      <c r="E3289" s="3">
        <v>3325</v>
      </c>
      <c r="F3289" s="1" t="s">
        <v>36</v>
      </c>
      <c r="G3289" s="3">
        <v>9450</v>
      </c>
      <c r="H3289" s="1">
        <v>0</v>
      </c>
      <c r="I3289" s="1">
        <v>1.954788</v>
      </c>
    </row>
    <row r="3290" spans="1:9" x14ac:dyDescent="0.25">
      <c r="A3290" s="1">
        <v>2140110660</v>
      </c>
      <c r="B3290" s="1" t="s">
        <v>1769</v>
      </c>
      <c r="C3290" s="1" t="s">
        <v>130</v>
      </c>
      <c r="D3290" s="1" t="s">
        <v>131</v>
      </c>
      <c r="E3290" s="3">
        <v>7443</v>
      </c>
      <c r="F3290" s="1" t="s">
        <v>36</v>
      </c>
      <c r="G3290" s="1">
        <v>0</v>
      </c>
      <c r="H3290" s="3">
        <v>12650</v>
      </c>
      <c r="I3290" s="1">
        <v>2.805339</v>
      </c>
    </row>
    <row r="3291" spans="1:9" x14ac:dyDescent="0.25">
      <c r="A3291" s="1">
        <v>2140110660</v>
      </c>
      <c r="B3291" s="1" t="s">
        <v>1769</v>
      </c>
      <c r="C3291" s="1" t="s">
        <v>137</v>
      </c>
      <c r="D3291" s="1" t="s">
        <v>138</v>
      </c>
      <c r="E3291" s="1">
        <v>2</v>
      </c>
      <c r="F3291" s="1" t="s">
        <v>36</v>
      </c>
      <c r="G3291" s="1">
        <v>0</v>
      </c>
      <c r="H3291" s="1">
        <v>0</v>
      </c>
      <c r="I3291" s="1">
        <v>2.8050000000000002</v>
      </c>
    </row>
    <row r="3292" spans="1:9" x14ac:dyDescent="0.25">
      <c r="A3292" s="1">
        <v>2140110660</v>
      </c>
      <c r="B3292" s="1" t="s">
        <v>1769</v>
      </c>
      <c r="C3292" s="1" t="s">
        <v>151</v>
      </c>
      <c r="D3292" s="1" t="s">
        <v>152</v>
      </c>
      <c r="E3292" s="1">
        <v>75</v>
      </c>
      <c r="F3292" s="1" t="s">
        <v>36</v>
      </c>
      <c r="G3292" s="1">
        <v>0</v>
      </c>
      <c r="H3292" s="1">
        <v>0</v>
      </c>
      <c r="I3292" s="1">
        <v>2.8053330000000001</v>
      </c>
    </row>
    <row r="3293" spans="1:9" x14ac:dyDescent="0.25">
      <c r="A3293" s="1">
        <v>2140110660</v>
      </c>
      <c r="B3293" s="1" t="s">
        <v>1769</v>
      </c>
      <c r="C3293" s="1" t="s">
        <v>139</v>
      </c>
      <c r="D3293" s="1" t="s">
        <v>140</v>
      </c>
      <c r="E3293" s="3">
        <v>8950</v>
      </c>
      <c r="F3293" s="1" t="s">
        <v>36</v>
      </c>
      <c r="G3293" s="3">
        <v>12650</v>
      </c>
      <c r="H3293" s="1">
        <v>0</v>
      </c>
      <c r="I3293" s="1">
        <v>2.8501180000000002</v>
      </c>
    </row>
    <row r="3294" spans="1:9" x14ac:dyDescent="0.25">
      <c r="A3294" s="1">
        <v>2140110661</v>
      </c>
      <c r="B3294" s="1" t="s">
        <v>1770</v>
      </c>
      <c r="C3294" s="1" t="s">
        <v>130</v>
      </c>
      <c r="D3294" s="1" t="s">
        <v>131</v>
      </c>
      <c r="E3294" s="1">
        <v>12</v>
      </c>
      <c r="F3294" s="1" t="s">
        <v>36</v>
      </c>
      <c r="G3294" s="1">
        <v>902</v>
      </c>
      <c r="H3294" s="3">
        <v>9450</v>
      </c>
      <c r="I3294" s="1">
        <v>3.0649999999999999</v>
      </c>
    </row>
    <row r="3295" spans="1:9" x14ac:dyDescent="0.25">
      <c r="A3295" s="1">
        <v>2140110661</v>
      </c>
      <c r="B3295" s="1" t="s">
        <v>1770</v>
      </c>
      <c r="C3295" s="1" t="s">
        <v>137</v>
      </c>
      <c r="D3295" s="1" t="s">
        <v>138</v>
      </c>
      <c r="E3295" s="3">
        <v>1</v>
      </c>
      <c r="F3295" s="1" t="s">
        <v>36</v>
      </c>
      <c r="G3295" s="3">
        <v>0</v>
      </c>
      <c r="H3295" s="1">
        <v>2</v>
      </c>
      <c r="I3295" s="1">
        <v>3.06</v>
      </c>
    </row>
    <row r="3296" spans="1:9" x14ac:dyDescent="0.25">
      <c r="A3296" s="1">
        <v>2140110661</v>
      </c>
      <c r="B3296" s="1" t="s">
        <v>1770</v>
      </c>
      <c r="C3296" s="1" t="s">
        <v>151</v>
      </c>
      <c r="D3296" s="1" t="s">
        <v>152</v>
      </c>
      <c r="E3296" s="3">
        <v>175</v>
      </c>
      <c r="F3296" s="1" t="s">
        <v>36</v>
      </c>
      <c r="G3296" s="3">
        <v>0</v>
      </c>
      <c r="H3296" s="3">
        <v>0</v>
      </c>
      <c r="I3296" s="1">
        <v>3.0705140000000002</v>
      </c>
    </row>
    <row r="3297" spans="1:9" x14ac:dyDescent="0.25">
      <c r="A3297" s="1">
        <v>2140110661</v>
      </c>
      <c r="B3297" s="1" t="s">
        <v>1770</v>
      </c>
      <c r="C3297" s="1" t="s">
        <v>139</v>
      </c>
      <c r="D3297" s="1" t="s">
        <v>140</v>
      </c>
      <c r="E3297" s="3">
        <v>0</v>
      </c>
      <c r="F3297" s="1" t="s">
        <v>36</v>
      </c>
      <c r="G3297" s="3">
        <v>9450</v>
      </c>
      <c r="H3297" s="1">
        <v>0</v>
      </c>
      <c r="I3297" s="1">
        <v>3.0705</v>
      </c>
    </row>
    <row r="3298" spans="1:9" x14ac:dyDescent="0.25">
      <c r="A3298" s="1">
        <v>2140110662</v>
      </c>
      <c r="B3298" s="1" t="s">
        <v>1771</v>
      </c>
      <c r="C3298" s="1" t="s">
        <v>130</v>
      </c>
      <c r="D3298" s="1" t="s">
        <v>131</v>
      </c>
      <c r="E3298" s="1">
        <v>16</v>
      </c>
      <c r="F3298" s="1" t="s">
        <v>36</v>
      </c>
      <c r="G3298" s="1">
        <v>0</v>
      </c>
      <c r="H3298" s="3">
        <v>12600</v>
      </c>
      <c r="I3298" s="1">
        <v>2.4024999999999999</v>
      </c>
    </row>
    <row r="3299" spans="1:9" x14ac:dyDescent="0.25">
      <c r="A3299" s="1">
        <v>2140110662</v>
      </c>
      <c r="B3299" s="1" t="s">
        <v>1771</v>
      </c>
      <c r="C3299" s="1" t="s">
        <v>137</v>
      </c>
      <c r="D3299" s="1" t="s">
        <v>138</v>
      </c>
      <c r="E3299" s="3">
        <v>3</v>
      </c>
      <c r="F3299" s="1" t="s">
        <v>36</v>
      </c>
      <c r="G3299" s="3">
        <v>0</v>
      </c>
      <c r="H3299" s="1">
        <v>0</v>
      </c>
      <c r="I3299" s="1">
        <v>2.4033329999999999</v>
      </c>
    </row>
    <row r="3300" spans="1:9" x14ac:dyDescent="0.25">
      <c r="A3300" s="1">
        <v>2140110662</v>
      </c>
      <c r="B3300" s="1" t="s">
        <v>1771</v>
      </c>
      <c r="C3300" s="1" t="s">
        <v>139</v>
      </c>
      <c r="D3300" s="1" t="s">
        <v>140</v>
      </c>
      <c r="E3300" s="3">
        <v>5575</v>
      </c>
      <c r="F3300" s="1" t="s">
        <v>36</v>
      </c>
      <c r="G3300" s="3">
        <v>12600</v>
      </c>
      <c r="H3300" s="1">
        <v>0</v>
      </c>
      <c r="I3300" s="1">
        <v>2.4026999999999998</v>
      </c>
    </row>
    <row r="3301" spans="1:9" x14ac:dyDescent="0.25">
      <c r="A3301" s="1">
        <v>2140110663</v>
      </c>
      <c r="B3301" s="1" t="s">
        <v>1772</v>
      </c>
      <c r="C3301" s="1" t="s">
        <v>130</v>
      </c>
      <c r="D3301" s="1" t="s">
        <v>131</v>
      </c>
      <c r="E3301" s="3">
        <v>17690</v>
      </c>
      <c r="F3301" s="1" t="s">
        <v>36</v>
      </c>
      <c r="G3301" s="3">
        <v>4600</v>
      </c>
      <c r="H3301" s="3">
        <v>111725</v>
      </c>
      <c r="I3301" s="1">
        <v>1.8814580000000001</v>
      </c>
    </row>
    <row r="3302" spans="1:9" x14ac:dyDescent="0.25">
      <c r="A3302" s="1">
        <v>2140110663</v>
      </c>
      <c r="B3302" s="1" t="s">
        <v>1772</v>
      </c>
      <c r="C3302" s="1" t="s">
        <v>126</v>
      </c>
      <c r="D3302" s="1" t="s">
        <v>127</v>
      </c>
      <c r="E3302" s="3">
        <v>100</v>
      </c>
      <c r="F3302" s="1" t="s">
        <v>36</v>
      </c>
      <c r="G3302" s="1">
        <v>0</v>
      </c>
      <c r="H3302" s="1">
        <v>0</v>
      </c>
      <c r="I3302" s="1">
        <v>1.8464</v>
      </c>
    </row>
    <row r="3303" spans="1:9" x14ac:dyDescent="0.25">
      <c r="A3303" s="1">
        <v>2140110663</v>
      </c>
      <c r="B3303" s="1" t="s">
        <v>1772</v>
      </c>
      <c r="C3303" s="1" t="s">
        <v>137</v>
      </c>
      <c r="D3303" s="1" t="s">
        <v>138</v>
      </c>
      <c r="E3303" s="1">
        <v>23</v>
      </c>
      <c r="F3303" s="1" t="s">
        <v>36</v>
      </c>
      <c r="G3303" s="1">
        <v>0</v>
      </c>
      <c r="H3303" s="3">
        <v>0</v>
      </c>
      <c r="I3303" s="1">
        <v>1.8813040000000001</v>
      </c>
    </row>
    <row r="3304" spans="1:9" x14ac:dyDescent="0.25">
      <c r="A3304" s="1">
        <v>2140110663</v>
      </c>
      <c r="B3304" s="1" t="s">
        <v>1772</v>
      </c>
      <c r="C3304" s="1" t="s">
        <v>139</v>
      </c>
      <c r="D3304" s="1" t="s">
        <v>140</v>
      </c>
      <c r="E3304" s="3">
        <v>12100</v>
      </c>
      <c r="F3304" s="1" t="s">
        <v>36</v>
      </c>
      <c r="G3304" s="3">
        <v>111725</v>
      </c>
      <c r="H3304" s="3">
        <v>4500</v>
      </c>
      <c r="I3304" s="1">
        <v>1.8704719999999999</v>
      </c>
    </row>
    <row r="3305" spans="1:9" x14ac:dyDescent="0.25">
      <c r="A3305" s="1">
        <v>2140110664</v>
      </c>
      <c r="B3305" s="1" t="s">
        <v>1773</v>
      </c>
      <c r="C3305" s="1" t="s">
        <v>130</v>
      </c>
      <c r="D3305" s="1" t="s">
        <v>131</v>
      </c>
      <c r="E3305" s="3">
        <v>19346</v>
      </c>
      <c r="F3305" s="1" t="s">
        <v>36</v>
      </c>
      <c r="G3305" s="1">
        <v>630</v>
      </c>
      <c r="H3305" s="3">
        <v>34650</v>
      </c>
      <c r="I3305" s="1">
        <v>2.567221</v>
      </c>
    </row>
    <row r="3306" spans="1:9" x14ac:dyDescent="0.25">
      <c r="A3306" s="1">
        <v>2140110664</v>
      </c>
      <c r="B3306" s="1" t="s">
        <v>1773</v>
      </c>
      <c r="C3306" s="1" t="s">
        <v>137</v>
      </c>
      <c r="D3306" s="1" t="s">
        <v>138</v>
      </c>
      <c r="E3306" s="1">
        <v>0</v>
      </c>
      <c r="F3306" s="1" t="s">
        <v>36</v>
      </c>
      <c r="G3306" s="1">
        <v>0</v>
      </c>
      <c r="H3306" s="1">
        <v>5</v>
      </c>
      <c r="I3306" s="1">
        <v>2.4122140000000001</v>
      </c>
    </row>
    <row r="3307" spans="1:9" x14ac:dyDescent="0.25">
      <c r="A3307" s="1">
        <v>2140110664</v>
      </c>
      <c r="B3307" s="1" t="s">
        <v>1773</v>
      </c>
      <c r="C3307" s="1" t="s">
        <v>139</v>
      </c>
      <c r="D3307" s="1" t="s">
        <v>140</v>
      </c>
      <c r="E3307" s="3">
        <v>6850</v>
      </c>
      <c r="F3307" s="1" t="s">
        <v>36</v>
      </c>
      <c r="G3307" s="3">
        <v>34650</v>
      </c>
      <c r="H3307" s="1">
        <v>0</v>
      </c>
      <c r="I3307" s="1">
        <v>2.083726</v>
      </c>
    </row>
    <row r="3308" spans="1:9" x14ac:dyDescent="0.25">
      <c r="A3308" s="1">
        <v>2140110665</v>
      </c>
      <c r="B3308" s="1" t="s">
        <v>1774</v>
      </c>
      <c r="C3308" s="1" t="s">
        <v>130</v>
      </c>
      <c r="D3308" s="1" t="s">
        <v>131</v>
      </c>
      <c r="E3308" s="3">
        <v>16943</v>
      </c>
      <c r="F3308" s="1" t="s">
        <v>36</v>
      </c>
      <c r="G3308" s="3">
        <v>28460</v>
      </c>
      <c r="H3308" s="3">
        <v>34650</v>
      </c>
      <c r="I3308" s="1">
        <v>1.9539329999999999</v>
      </c>
    </row>
    <row r="3309" spans="1:9" x14ac:dyDescent="0.25">
      <c r="A3309" s="1">
        <v>2140110665</v>
      </c>
      <c r="B3309" s="1" t="s">
        <v>1774</v>
      </c>
      <c r="C3309" s="1" t="s">
        <v>126</v>
      </c>
      <c r="D3309" s="1" t="s">
        <v>127</v>
      </c>
      <c r="E3309" s="3">
        <v>500</v>
      </c>
      <c r="F3309" s="1" t="s">
        <v>36</v>
      </c>
      <c r="G3309" s="3">
        <v>0</v>
      </c>
      <c r="H3309" s="1">
        <v>0</v>
      </c>
      <c r="I3309" s="1">
        <v>1.90188</v>
      </c>
    </row>
    <row r="3310" spans="1:9" x14ac:dyDescent="0.25">
      <c r="A3310" s="1">
        <v>2140110665</v>
      </c>
      <c r="B3310" s="1" t="s">
        <v>1774</v>
      </c>
      <c r="C3310" s="1" t="s">
        <v>139</v>
      </c>
      <c r="D3310" s="1" t="s">
        <v>140</v>
      </c>
      <c r="E3310" s="3">
        <v>25122</v>
      </c>
      <c r="F3310" s="1" t="s">
        <v>36</v>
      </c>
      <c r="G3310" s="3">
        <v>34650</v>
      </c>
      <c r="H3310" s="3">
        <v>28360</v>
      </c>
      <c r="I3310" s="1">
        <v>1.8970419999999999</v>
      </c>
    </row>
    <row r="3311" spans="1:9" x14ac:dyDescent="0.25">
      <c r="A3311" s="1">
        <v>2140110666</v>
      </c>
      <c r="B3311" s="1" t="s">
        <v>1775</v>
      </c>
      <c r="C3311" s="1" t="s">
        <v>130</v>
      </c>
      <c r="D3311" s="1" t="s">
        <v>131</v>
      </c>
      <c r="E3311" s="3">
        <v>3224</v>
      </c>
      <c r="F3311" s="1" t="s">
        <v>36</v>
      </c>
      <c r="G3311" s="1">
        <v>0</v>
      </c>
      <c r="H3311" s="3">
        <v>76000</v>
      </c>
      <c r="I3311" s="1">
        <v>1.8726179999999999</v>
      </c>
    </row>
    <row r="3312" spans="1:9" x14ac:dyDescent="0.25">
      <c r="A3312" s="1">
        <v>2140110666</v>
      </c>
      <c r="B3312" s="1" t="s">
        <v>1775</v>
      </c>
      <c r="C3312" s="1" t="s">
        <v>139</v>
      </c>
      <c r="D3312" s="1" t="s">
        <v>140</v>
      </c>
      <c r="E3312" s="3">
        <v>10838</v>
      </c>
      <c r="F3312" s="1" t="s">
        <v>36</v>
      </c>
      <c r="G3312" s="3">
        <v>76000</v>
      </c>
      <c r="H3312" s="1">
        <v>0</v>
      </c>
      <c r="I3312" s="1">
        <v>1.872765</v>
      </c>
    </row>
    <row r="3313" spans="1:9" x14ac:dyDescent="0.25">
      <c r="A3313" s="1">
        <v>2140110667</v>
      </c>
      <c r="B3313" s="1" t="s">
        <v>1776</v>
      </c>
      <c r="C3313" s="1" t="s">
        <v>130</v>
      </c>
      <c r="D3313" s="1" t="s">
        <v>131</v>
      </c>
      <c r="E3313" s="3">
        <v>6139</v>
      </c>
      <c r="F3313" s="1" t="s">
        <v>36</v>
      </c>
      <c r="G3313" s="1">
        <v>0</v>
      </c>
      <c r="H3313" s="3">
        <v>12600</v>
      </c>
      <c r="I3313" s="1">
        <v>1.8599969999999999</v>
      </c>
    </row>
    <row r="3314" spans="1:9" x14ac:dyDescent="0.25">
      <c r="A3314" s="1">
        <v>2140110667</v>
      </c>
      <c r="B3314" s="1" t="s">
        <v>1776</v>
      </c>
      <c r="C3314" s="1" t="s">
        <v>151</v>
      </c>
      <c r="D3314" s="1" t="s">
        <v>152</v>
      </c>
      <c r="E3314" s="3">
        <v>3350</v>
      </c>
      <c r="F3314" s="1" t="s">
        <v>36</v>
      </c>
      <c r="G3314" s="1">
        <v>0</v>
      </c>
      <c r="H3314" s="1">
        <v>0</v>
      </c>
      <c r="I3314" s="1">
        <v>1.907</v>
      </c>
    </row>
    <row r="3315" spans="1:9" x14ac:dyDescent="0.25">
      <c r="A3315" s="1">
        <v>2140110667</v>
      </c>
      <c r="B3315" s="1" t="s">
        <v>1776</v>
      </c>
      <c r="C3315" s="1" t="s">
        <v>139</v>
      </c>
      <c r="D3315" s="1" t="s">
        <v>140</v>
      </c>
      <c r="E3315" s="1">
        <v>100</v>
      </c>
      <c r="F3315" s="1" t="s">
        <v>36</v>
      </c>
      <c r="G3315" s="3">
        <v>12600</v>
      </c>
      <c r="H3315" s="1">
        <v>0</v>
      </c>
      <c r="I3315" s="1">
        <v>1.9061999999999999</v>
      </c>
    </row>
    <row r="3316" spans="1:9" x14ac:dyDescent="0.25">
      <c r="A3316" s="1">
        <v>2140110668</v>
      </c>
      <c r="B3316" s="1" t="s">
        <v>1777</v>
      </c>
      <c r="C3316" s="1" t="s">
        <v>130</v>
      </c>
      <c r="D3316" s="1" t="s">
        <v>131</v>
      </c>
      <c r="E3316" s="3">
        <v>4244</v>
      </c>
      <c r="F3316" s="1" t="s">
        <v>36</v>
      </c>
      <c r="G3316" s="1">
        <v>0</v>
      </c>
      <c r="H3316" s="3">
        <v>12600</v>
      </c>
      <c r="I3316" s="1">
        <v>1.79677</v>
      </c>
    </row>
    <row r="3317" spans="1:9" x14ac:dyDescent="0.25">
      <c r="A3317" s="1">
        <v>2140110668</v>
      </c>
      <c r="B3317" s="1" t="s">
        <v>1777</v>
      </c>
      <c r="C3317" s="1" t="s">
        <v>139</v>
      </c>
      <c r="D3317" s="1" t="s">
        <v>140</v>
      </c>
      <c r="E3317" s="1">
        <v>25</v>
      </c>
      <c r="F3317" s="1" t="s">
        <v>36</v>
      </c>
      <c r="G3317" s="3">
        <v>12600</v>
      </c>
      <c r="H3317" s="1">
        <v>0</v>
      </c>
      <c r="I3317" s="1">
        <v>1.9563999999999999</v>
      </c>
    </row>
    <row r="3318" spans="1:9" x14ac:dyDescent="0.25">
      <c r="A3318" s="1">
        <v>2140110669</v>
      </c>
      <c r="B3318" s="1" t="s">
        <v>1778</v>
      </c>
      <c r="C3318" s="1" t="s">
        <v>130</v>
      </c>
      <c r="D3318" s="1" t="s">
        <v>131</v>
      </c>
      <c r="E3318" s="1">
        <v>756</v>
      </c>
      <c r="F3318" s="1" t="s">
        <v>36</v>
      </c>
      <c r="G3318" s="3">
        <v>2500</v>
      </c>
      <c r="H3318" s="3">
        <v>44806</v>
      </c>
      <c r="I3318" s="1">
        <v>1.867659</v>
      </c>
    </row>
    <row r="3319" spans="1:9" x14ac:dyDescent="0.25">
      <c r="A3319" s="1">
        <v>2140110669</v>
      </c>
      <c r="B3319" s="1" t="s">
        <v>1778</v>
      </c>
      <c r="C3319" s="1" t="s">
        <v>1698</v>
      </c>
      <c r="D3319" s="1" t="s">
        <v>1699</v>
      </c>
      <c r="E3319" s="1">
        <v>0</v>
      </c>
      <c r="F3319" s="1" t="s">
        <v>36</v>
      </c>
      <c r="G3319" s="3">
        <v>12256</v>
      </c>
      <c r="H3319" s="1">
        <v>0</v>
      </c>
      <c r="I3319" s="1">
        <v>1.8676410000000001</v>
      </c>
    </row>
    <row r="3320" spans="1:9" x14ac:dyDescent="0.25">
      <c r="A3320" s="1">
        <v>2140110669</v>
      </c>
      <c r="B3320" s="1" t="s">
        <v>1778</v>
      </c>
      <c r="C3320" s="1" t="s">
        <v>139</v>
      </c>
      <c r="D3320" s="1" t="s">
        <v>140</v>
      </c>
      <c r="E3320" s="1">
        <v>0</v>
      </c>
      <c r="F3320" s="1" t="s">
        <v>36</v>
      </c>
      <c r="G3320" s="3">
        <v>32550</v>
      </c>
      <c r="H3320" s="1">
        <v>0</v>
      </c>
      <c r="I3320" s="1">
        <v>1.86764</v>
      </c>
    </row>
    <row r="3321" spans="1:9" x14ac:dyDescent="0.25">
      <c r="A3321" s="1">
        <v>2140110670</v>
      </c>
      <c r="B3321" s="1" t="s">
        <v>1779</v>
      </c>
      <c r="C3321" s="1" t="s">
        <v>130</v>
      </c>
      <c r="D3321" s="1" t="s">
        <v>131</v>
      </c>
      <c r="E3321" s="1">
        <v>131</v>
      </c>
      <c r="F3321" s="1" t="s">
        <v>36</v>
      </c>
      <c r="G3321" s="1">
        <v>775</v>
      </c>
      <c r="H3321" s="3">
        <v>12600</v>
      </c>
      <c r="I3321" s="1">
        <v>1.9623660000000001</v>
      </c>
    </row>
    <row r="3322" spans="1:9" x14ac:dyDescent="0.25">
      <c r="A3322" s="1">
        <v>2140110670</v>
      </c>
      <c r="B3322" s="1" t="s">
        <v>1779</v>
      </c>
      <c r="C3322" s="1" t="s">
        <v>137</v>
      </c>
      <c r="D3322" s="1" t="s">
        <v>138</v>
      </c>
      <c r="E3322" s="1">
        <v>0</v>
      </c>
      <c r="F3322" s="1" t="s">
        <v>36</v>
      </c>
      <c r="G3322" s="1">
        <v>0</v>
      </c>
      <c r="H3322" s="1">
        <v>25</v>
      </c>
      <c r="I3322" s="1">
        <v>1.811358</v>
      </c>
    </row>
    <row r="3323" spans="1:9" x14ac:dyDescent="0.25">
      <c r="A3323" s="1">
        <v>2140110670</v>
      </c>
      <c r="B3323" s="1" t="s">
        <v>1779</v>
      </c>
      <c r="C3323" s="1" t="s">
        <v>151</v>
      </c>
      <c r="D3323" s="1" t="s">
        <v>152</v>
      </c>
      <c r="E3323" s="3">
        <v>3250</v>
      </c>
      <c r="F3323" s="1" t="s">
        <v>36</v>
      </c>
      <c r="G3323" s="1">
        <v>0</v>
      </c>
      <c r="H3323" s="1">
        <v>0</v>
      </c>
      <c r="I3323" s="1">
        <v>1.810932</v>
      </c>
    </row>
    <row r="3324" spans="1:9" x14ac:dyDescent="0.25">
      <c r="A3324" s="1">
        <v>2140110670</v>
      </c>
      <c r="B3324" s="1" t="s">
        <v>1779</v>
      </c>
      <c r="C3324" s="1" t="s">
        <v>139</v>
      </c>
      <c r="D3324" s="1" t="s">
        <v>140</v>
      </c>
      <c r="E3324" s="3">
        <v>13</v>
      </c>
      <c r="F3324" s="1" t="s">
        <v>36</v>
      </c>
      <c r="G3324" s="3">
        <v>12600</v>
      </c>
      <c r="H3324" s="1">
        <v>0</v>
      </c>
      <c r="I3324" s="1">
        <v>1.809231</v>
      </c>
    </row>
    <row r="3325" spans="1:9" x14ac:dyDescent="0.25">
      <c r="A3325" s="1">
        <v>2140110671</v>
      </c>
      <c r="B3325" s="1" t="s">
        <v>1780</v>
      </c>
      <c r="C3325" s="1" t="s">
        <v>130</v>
      </c>
      <c r="D3325" s="1" t="s">
        <v>131</v>
      </c>
      <c r="E3325" s="3">
        <v>5725</v>
      </c>
      <c r="F3325" s="1" t="s">
        <v>36</v>
      </c>
      <c r="G3325" s="1">
        <v>0</v>
      </c>
      <c r="H3325" s="3">
        <v>9450</v>
      </c>
      <c r="I3325" s="1">
        <v>2.129899</v>
      </c>
    </row>
    <row r="3326" spans="1:9" x14ac:dyDescent="0.25">
      <c r="A3326" s="1">
        <v>2140110671</v>
      </c>
      <c r="B3326" s="1" t="s">
        <v>1780</v>
      </c>
      <c r="C3326" s="1" t="s">
        <v>151</v>
      </c>
      <c r="D3326" s="1" t="s">
        <v>152</v>
      </c>
      <c r="E3326" s="3">
        <v>214</v>
      </c>
      <c r="F3326" s="1" t="s">
        <v>36</v>
      </c>
      <c r="G3326" s="1">
        <v>0</v>
      </c>
      <c r="H3326" s="1">
        <v>0</v>
      </c>
      <c r="I3326" s="1">
        <v>2.044673</v>
      </c>
    </row>
    <row r="3327" spans="1:9" x14ac:dyDescent="0.25">
      <c r="A3327" s="1">
        <v>2140110671</v>
      </c>
      <c r="B3327" s="1" t="s">
        <v>1780</v>
      </c>
      <c r="C3327" s="1" t="s">
        <v>139</v>
      </c>
      <c r="D3327" s="1" t="s">
        <v>140</v>
      </c>
      <c r="E3327" s="3">
        <v>0</v>
      </c>
      <c r="F3327" s="1" t="s">
        <v>36</v>
      </c>
      <c r="G3327" s="3">
        <v>9450</v>
      </c>
      <c r="H3327" s="3">
        <v>0</v>
      </c>
      <c r="I3327" s="1">
        <v>2.0311400000000002</v>
      </c>
    </row>
    <row r="3328" spans="1:9" x14ac:dyDescent="0.25">
      <c r="A3328" s="1">
        <v>2140110672</v>
      </c>
      <c r="B3328" s="1" t="s">
        <v>1781</v>
      </c>
      <c r="C3328" s="1" t="s">
        <v>130</v>
      </c>
      <c r="D3328" s="1" t="s">
        <v>131</v>
      </c>
      <c r="E3328" s="1">
        <v>20</v>
      </c>
      <c r="F3328" s="1" t="s">
        <v>36</v>
      </c>
      <c r="G3328" s="1">
        <v>0</v>
      </c>
      <c r="H3328" s="1">
        <v>0</v>
      </c>
      <c r="I3328" s="1">
        <v>2.5665</v>
      </c>
    </row>
    <row r="3329" spans="1:9" x14ac:dyDescent="0.25">
      <c r="A3329" s="1">
        <v>2140110673</v>
      </c>
      <c r="B3329" s="1" t="s">
        <v>1782</v>
      </c>
      <c r="C3329" s="1" t="s">
        <v>130</v>
      </c>
      <c r="D3329" s="1" t="s">
        <v>131</v>
      </c>
      <c r="E3329" s="3">
        <v>27681</v>
      </c>
      <c r="F3329" s="1" t="s">
        <v>36</v>
      </c>
      <c r="G3329" s="3">
        <v>225</v>
      </c>
      <c r="H3329" s="3">
        <v>63000</v>
      </c>
      <c r="I3329" s="1">
        <v>2.3337310000000002</v>
      </c>
    </row>
    <row r="3330" spans="1:9" x14ac:dyDescent="0.25">
      <c r="A3330" s="1">
        <v>2140110673</v>
      </c>
      <c r="B3330" s="1" t="s">
        <v>1782</v>
      </c>
      <c r="C3330" s="1" t="s">
        <v>137</v>
      </c>
      <c r="D3330" s="1" t="s">
        <v>138</v>
      </c>
      <c r="E3330" s="3">
        <v>25</v>
      </c>
      <c r="F3330" s="1" t="s">
        <v>36</v>
      </c>
      <c r="G3330" s="1">
        <v>0</v>
      </c>
      <c r="H3330" s="1">
        <v>0</v>
      </c>
      <c r="I3330" s="1">
        <v>2.3351999999999999</v>
      </c>
    </row>
    <row r="3331" spans="1:9" x14ac:dyDescent="0.25">
      <c r="A3331" s="1">
        <v>2140110673</v>
      </c>
      <c r="B3331" s="1" t="s">
        <v>1782</v>
      </c>
      <c r="C3331" s="1" t="s">
        <v>151</v>
      </c>
      <c r="D3331" s="1" t="s">
        <v>152</v>
      </c>
      <c r="E3331" s="1">
        <v>300</v>
      </c>
      <c r="F3331" s="1" t="s">
        <v>36</v>
      </c>
      <c r="G3331" s="3">
        <v>0</v>
      </c>
      <c r="H3331" s="3">
        <v>0</v>
      </c>
      <c r="I3331" s="1">
        <v>2.3262330000000002</v>
      </c>
    </row>
    <row r="3332" spans="1:9" x14ac:dyDescent="0.25">
      <c r="A3332" s="1">
        <v>2140110673</v>
      </c>
      <c r="B3332" s="1" t="s">
        <v>1782</v>
      </c>
      <c r="C3332" s="1" t="s">
        <v>139</v>
      </c>
      <c r="D3332" s="1" t="s">
        <v>140</v>
      </c>
      <c r="E3332" s="1">
        <v>50</v>
      </c>
      <c r="F3332" s="1" t="s">
        <v>36</v>
      </c>
      <c r="G3332" s="3">
        <v>63000</v>
      </c>
      <c r="H3332" s="1">
        <v>0</v>
      </c>
      <c r="I3332" s="1">
        <v>2.3841999999999999</v>
      </c>
    </row>
    <row r="3333" spans="1:9" x14ac:dyDescent="0.25">
      <c r="A3333" s="1">
        <v>2140110674</v>
      </c>
      <c r="B3333" s="1" t="s">
        <v>1783</v>
      </c>
      <c r="C3333" s="1" t="s">
        <v>130</v>
      </c>
      <c r="D3333" s="1" t="s">
        <v>131</v>
      </c>
      <c r="E3333" s="3">
        <v>11711</v>
      </c>
      <c r="F3333" s="1" t="s">
        <v>36</v>
      </c>
      <c r="G3333" s="3">
        <v>175</v>
      </c>
      <c r="H3333" s="3">
        <v>44100</v>
      </c>
      <c r="I3333" s="1">
        <v>2.2734990000000002</v>
      </c>
    </row>
    <row r="3334" spans="1:9" x14ac:dyDescent="0.25">
      <c r="A3334" s="1">
        <v>2140110674</v>
      </c>
      <c r="B3334" s="1" t="s">
        <v>1783</v>
      </c>
      <c r="C3334" s="1" t="s">
        <v>137</v>
      </c>
      <c r="D3334" s="1" t="s">
        <v>138</v>
      </c>
      <c r="E3334" s="3">
        <v>3</v>
      </c>
      <c r="F3334" s="1" t="s">
        <v>36</v>
      </c>
      <c r="G3334" s="1">
        <v>0</v>
      </c>
      <c r="H3334" s="1">
        <v>0</v>
      </c>
      <c r="I3334" s="1">
        <v>2.496667</v>
      </c>
    </row>
    <row r="3335" spans="1:9" x14ac:dyDescent="0.25">
      <c r="A3335" s="1">
        <v>2140110674</v>
      </c>
      <c r="B3335" s="1" t="s">
        <v>1783</v>
      </c>
      <c r="C3335" s="1" t="s">
        <v>139</v>
      </c>
      <c r="D3335" s="1" t="s">
        <v>140</v>
      </c>
      <c r="E3335" s="3">
        <v>0</v>
      </c>
      <c r="F3335" s="1" t="s">
        <v>36</v>
      </c>
      <c r="G3335" s="3">
        <v>44100</v>
      </c>
      <c r="H3335" s="3">
        <v>0</v>
      </c>
      <c r="I3335" s="1">
        <v>2.2572000000000001</v>
      </c>
    </row>
    <row r="3336" spans="1:9" x14ac:dyDescent="0.25">
      <c r="A3336" s="1">
        <v>2140110675</v>
      </c>
      <c r="B3336" s="1" t="s">
        <v>1784</v>
      </c>
      <c r="C3336" s="1" t="s">
        <v>130</v>
      </c>
      <c r="D3336" s="1" t="s">
        <v>131</v>
      </c>
      <c r="E3336" s="3">
        <v>13464</v>
      </c>
      <c r="F3336" s="1" t="s">
        <v>36</v>
      </c>
      <c r="G3336" s="1">
        <v>250</v>
      </c>
      <c r="H3336" s="3">
        <v>44100</v>
      </c>
      <c r="I3336" s="1">
        <v>2.2294119999999999</v>
      </c>
    </row>
    <row r="3337" spans="1:9" x14ac:dyDescent="0.25">
      <c r="A3337" s="1">
        <v>2140110675</v>
      </c>
      <c r="B3337" s="1" t="s">
        <v>1784</v>
      </c>
      <c r="C3337" s="1" t="s">
        <v>137</v>
      </c>
      <c r="D3337" s="1" t="s">
        <v>138</v>
      </c>
      <c r="E3337" s="1">
        <v>2</v>
      </c>
      <c r="F3337" s="1" t="s">
        <v>36</v>
      </c>
      <c r="G3337" s="3">
        <v>0</v>
      </c>
      <c r="H3337" s="3">
        <v>0</v>
      </c>
      <c r="I3337" s="1">
        <v>2.36</v>
      </c>
    </row>
    <row r="3338" spans="1:9" x14ac:dyDescent="0.25">
      <c r="A3338" s="1">
        <v>2140110675</v>
      </c>
      <c r="B3338" s="1" t="s">
        <v>1784</v>
      </c>
      <c r="C3338" s="1" t="s">
        <v>139</v>
      </c>
      <c r="D3338" s="1" t="s">
        <v>140</v>
      </c>
      <c r="E3338" s="1">
        <v>25</v>
      </c>
      <c r="F3338" s="1" t="s">
        <v>36</v>
      </c>
      <c r="G3338" s="3">
        <v>44100</v>
      </c>
      <c r="H3338" s="1">
        <v>0</v>
      </c>
      <c r="I3338" s="1">
        <v>2.4904000000000002</v>
      </c>
    </row>
    <row r="3339" spans="1:9" x14ac:dyDescent="0.25">
      <c r="A3339" s="1">
        <v>2140110676</v>
      </c>
      <c r="B3339" s="1" t="s">
        <v>1785</v>
      </c>
      <c r="C3339" s="1" t="s">
        <v>130</v>
      </c>
      <c r="D3339" s="1" t="s">
        <v>131</v>
      </c>
      <c r="E3339" s="3">
        <v>17455</v>
      </c>
      <c r="F3339" s="1" t="s">
        <v>36</v>
      </c>
      <c r="G3339" s="3">
        <v>14201</v>
      </c>
      <c r="H3339" s="3">
        <v>37800</v>
      </c>
      <c r="I3339" s="1">
        <v>2.2105260000000002</v>
      </c>
    </row>
    <row r="3340" spans="1:9" x14ac:dyDescent="0.25">
      <c r="A3340" s="1">
        <v>2140110676</v>
      </c>
      <c r="B3340" s="1" t="s">
        <v>1785</v>
      </c>
      <c r="C3340" s="1" t="s">
        <v>137</v>
      </c>
      <c r="D3340" s="1" t="s">
        <v>138</v>
      </c>
      <c r="E3340" s="1">
        <v>3</v>
      </c>
      <c r="F3340" s="1" t="s">
        <v>36</v>
      </c>
      <c r="G3340" s="1">
        <v>0</v>
      </c>
      <c r="H3340" s="1">
        <v>0</v>
      </c>
      <c r="I3340" s="1">
        <v>2.29</v>
      </c>
    </row>
    <row r="3341" spans="1:9" x14ac:dyDescent="0.25">
      <c r="A3341" s="1">
        <v>2140110676</v>
      </c>
      <c r="B3341" s="1" t="s">
        <v>1785</v>
      </c>
      <c r="C3341" s="1" t="s">
        <v>139</v>
      </c>
      <c r="D3341" s="1" t="s">
        <v>140</v>
      </c>
      <c r="E3341" s="1">
        <v>13</v>
      </c>
      <c r="F3341" s="1" t="s">
        <v>36</v>
      </c>
      <c r="G3341" s="3">
        <v>37800</v>
      </c>
      <c r="H3341" s="3">
        <v>13500</v>
      </c>
      <c r="I3341" s="1">
        <v>2.466923</v>
      </c>
    </row>
    <row r="3342" spans="1:9" x14ac:dyDescent="0.25">
      <c r="A3342" s="1">
        <v>2140110677</v>
      </c>
      <c r="B3342" s="1" t="s">
        <v>1786</v>
      </c>
      <c r="C3342" s="1" t="s">
        <v>130</v>
      </c>
      <c r="D3342" s="1" t="s">
        <v>131</v>
      </c>
      <c r="E3342" s="1">
        <v>270</v>
      </c>
      <c r="F3342" s="1" t="s">
        <v>36</v>
      </c>
      <c r="G3342" s="3">
        <v>7000</v>
      </c>
      <c r="H3342" s="3">
        <v>12600</v>
      </c>
      <c r="I3342" s="1">
        <v>2.2340740000000001</v>
      </c>
    </row>
    <row r="3343" spans="1:9" x14ac:dyDescent="0.25">
      <c r="A3343" s="1">
        <v>2140110677</v>
      </c>
      <c r="B3343" s="1" t="s">
        <v>1786</v>
      </c>
      <c r="C3343" s="1" t="s">
        <v>137</v>
      </c>
      <c r="D3343" s="1" t="s">
        <v>138</v>
      </c>
      <c r="E3343" s="1">
        <v>1</v>
      </c>
      <c r="F3343" s="1" t="s">
        <v>36</v>
      </c>
      <c r="G3343" s="1">
        <v>0</v>
      </c>
      <c r="H3343" s="1">
        <v>0</v>
      </c>
      <c r="I3343" s="1">
        <v>2.23</v>
      </c>
    </row>
    <row r="3344" spans="1:9" x14ac:dyDescent="0.25">
      <c r="A3344" s="1">
        <v>2140110677</v>
      </c>
      <c r="B3344" s="1" t="s">
        <v>1786</v>
      </c>
      <c r="C3344" s="1" t="s">
        <v>151</v>
      </c>
      <c r="D3344" s="1" t="s">
        <v>152</v>
      </c>
      <c r="E3344" s="1">
        <v>0</v>
      </c>
      <c r="F3344" s="1" t="s">
        <v>36</v>
      </c>
      <c r="G3344" s="1">
        <v>0</v>
      </c>
      <c r="H3344" s="3">
        <v>7000</v>
      </c>
      <c r="I3344" s="1">
        <v>2.234</v>
      </c>
    </row>
    <row r="3345" spans="1:9" x14ac:dyDescent="0.25">
      <c r="A3345" s="1">
        <v>2140110677</v>
      </c>
      <c r="B3345" s="1" t="s">
        <v>1786</v>
      </c>
      <c r="C3345" s="1" t="s">
        <v>139</v>
      </c>
      <c r="D3345" s="1" t="s">
        <v>140</v>
      </c>
      <c r="E3345" s="3">
        <v>1700</v>
      </c>
      <c r="F3345" s="1" t="s">
        <v>36</v>
      </c>
      <c r="G3345" s="3">
        <v>12600</v>
      </c>
      <c r="H3345" s="3">
        <v>0</v>
      </c>
      <c r="I3345" s="1">
        <v>2.2340529999999998</v>
      </c>
    </row>
    <row r="3346" spans="1:9" x14ac:dyDescent="0.25">
      <c r="A3346" s="1">
        <v>2140110678</v>
      </c>
      <c r="B3346" s="1" t="s">
        <v>1787</v>
      </c>
      <c r="C3346" s="1" t="s">
        <v>130</v>
      </c>
      <c r="D3346" s="1" t="s">
        <v>131</v>
      </c>
      <c r="E3346" s="1">
        <v>0</v>
      </c>
      <c r="F3346" s="1" t="s">
        <v>36</v>
      </c>
      <c r="G3346" s="1">
        <v>0</v>
      </c>
      <c r="H3346" s="3">
        <v>12600</v>
      </c>
      <c r="I3346" s="1">
        <v>2.2400000000000002</v>
      </c>
    </row>
    <row r="3347" spans="1:9" x14ac:dyDescent="0.25">
      <c r="A3347" s="1">
        <v>2140110678</v>
      </c>
      <c r="B3347" s="1" t="s">
        <v>1787</v>
      </c>
      <c r="C3347" s="1" t="s">
        <v>137</v>
      </c>
      <c r="D3347" s="1" t="s">
        <v>138</v>
      </c>
      <c r="E3347" s="3">
        <v>1</v>
      </c>
      <c r="F3347" s="1" t="s">
        <v>36</v>
      </c>
      <c r="G3347" s="3">
        <v>0</v>
      </c>
      <c r="H3347" s="1">
        <v>0</v>
      </c>
      <c r="I3347" s="1">
        <v>2.2400000000000002</v>
      </c>
    </row>
    <row r="3348" spans="1:9" x14ac:dyDescent="0.25">
      <c r="A3348" s="1">
        <v>2140110678</v>
      </c>
      <c r="B3348" s="1" t="s">
        <v>1787</v>
      </c>
      <c r="C3348" s="1" t="s">
        <v>139</v>
      </c>
      <c r="D3348" s="1" t="s">
        <v>140</v>
      </c>
      <c r="E3348" s="3">
        <v>5474</v>
      </c>
      <c r="F3348" s="1" t="s">
        <v>36</v>
      </c>
      <c r="G3348" s="3">
        <v>12600</v>
      </c>
      <c r="H3348" s="1">
        <v>0</v>
      </c>
      <c r="I3348" s="1">
        <v>2.239932</v>
      </c>
    </row>
    <row r="3349" spans="1:9" x14ac:dyDescent="0.25">
      <c r="A3349" s="1">
        <v>2140110679</v>
      </c>
      <c r="B3349" s="1" t="s">
        <v>1788</v>
      </c>
      <c r="C3349" s="1" t="s">
        <v>130</v>
      </c>
      <c r="D3349" s="1" t="s">
        <v>131</v>
      </c>
      <c r="E3349" s="1">
        <v>0</v>
      </c>
      <c r="F3349" s="1" t="s">
        <v>36</v>
      </c>
      <c r="G3349" s="3">
        <v>2101</v>
      </c>
      <c r="H3349" s="3">
        <v>9450</v>
      </c>
      <c r="I3349" s="1">
        <v>2.2418999999999998</v>
      </c>
    </row>
    <row r="3350" spans="1:9" x14ac:dyDescent="0.25">
      <c r="A3350" s="1">
        <v>2140110679</v>
      </c>
      <c r="B3350" s="1" t="s">
        <v>1788</v>
      </c>
      <c r="C3350" s="1" t="s">
        <v>137</v>
      </c>
      <c r="D3350" s="1" t="s">
        <v>138</v>
      </c>
      <c r="E3350" s="3">
        <v>0</v>
      </c>
      <c r="F3350" s="1" t="s">
        <v>36</v>
      </c>
      <c r="G3350" s="3">
        <v>0</v>
      </c>
      <c r="H3350" s="3">
        <v>1</v>
      </c>
      <c r="I3350" s="1">
        <v>0</v>
      </c>
    </row>
    <row r="3351" spans="1:9" x14ac:dyDescent="0.25">
      <c r="A3351" s="1">
        <v>2140110679</v>
      </c>
      <c r="B3351" s="1" t="s">
        <v>1788</v>
      </c>
      <c r="C3351" s="1" t="s">
        <v>139</v>
      </c>
      <c r="D3351" s="1" t="s">
        <v>140</v>
      </c>
      <c r="E3351" s="1">
        <v>0</v>
      </c>
      <c r="F3351" s="1" t="s">
        <v>36</v>
      </c>
      <c r="G3351" s="3">
        <v>9450</v>
      </c>
      <c r="H3351" s="1">
        <v>0</v>
      </c>
      <c r="I3351" s="1">
        <v>2.242</v>
      </c>
    </row>
    <row r="3352" spans="1:9" x14ac:dyDescent="0.25">
      <c r="A3352" s="1">
        <v>2140110680</v>
      </c>
      <c r="B3352" s="1" t="s">
        <v>1789</v>
      </c>
      <c r="C3352" s="1" t="s">
        <v>130</v>
      </c>
      <c r="D3352" s="1" t="s">
        <v>131</v>
      </c>
      <c r="E3352" s="1">
        <v>75</v>
      </c>
      <c r="F3352" s="1" t="s">
        <v>36</v>
      </c>
      <c r="G3352" s="1">
        <v>551</v>
      </c>
      <c r="H3352" s="3">
        <v>9450</v>
      </c>
      <c r="I3352" s="1">
        <v>2.242267</v>
      </c>
    </row>
    <row r="3353" spans="1:9" x14ac:dyDescent="0.25">
      <c r="A3353" s="1">
        <v>2140110680</v>
      </c>
      <c r="B3353" s="1" t="s">
        <v>1789</v>
      </c>
      <c r="C3353" s="1" t="s">
        <v>137</v>
      </c>
      <c r="D3353" s="1" t="s">
        <v>138</v>
      </c>
      <c r="E3353" s="3">
        <v>0</v>
      </c>
      <c r="F3353" s="1" t="s">
        <v>36</v>
      </c>
      <c r="G3353" s="3">
        <v>0</v>
      </c>
      <c r="H3353" s="1">
        <v>1</v>
      </c>
      <c r="I3353" s="1">
        <v>0</v>
      </c>
    </row>
    <row r="3354" spans="1:9" x14ac:dyDescent="0.25">
      <c r="A3354" s="1">
        <v>2140110680</v>
      </c>
      <c r="B3354" s="1" t="s">
        <v>1789</v>
      </c>
      <c r="C3354" s="1" t="s">
        <v>139</v>
      </c>
      <c r="D3354" s="1" t="s">
        <v>140</v>
      </c>
      <c r="E3354" s="1">
        <v>0</v>
      </c>
      <c r="F3354" s="1" t="s">
        <v>36</v>
      </c>
      <c r="G3354" s="3">
        <v>9450</v>
      </c>
      <c r="H3354" s="1">
        <v>0</v>
      </c>
      <c r="I3354" s="1">
        <v>2.2422</v>
      </c>
    </row>
    <row r="3355" spans="1:9" x14ac:dyDescent="0.25">
      <c r="A3355" s="1">
        <v>2140110687</v>
      </c>
      <c r="B3355" s="1" t="s">
        <v>1790</v>
      </c>
      <c r="C3355" s="1" t="s">
        <v>130</v>
      </c>
      <c r="D3355" s="1" t="s">
        <v>131</v>
      </c>
      <c r="E3355" s="1">
        <v>23</v>
      </c>
      <c r="F3355" s="1" t="s">
        <v>36</v>
      </c>
      <c r="G3355" s="3">
        <v>23100</v>
      </c>
      <c r="H3355" s="1">
        <v>0</v>
      </c>
      <c r="I3355" s="1">
        <v>2.137391</v>
      </c>
    </row>
    <row r="3356" spans="1:9" x14ac:dyDescent="0.25">
      <c r="A3356" s="1">
        <v>2140110687</v>
      </c>
      <c r="B3356" s="1" t="s">
        <v>1790</v>
      </c>
      <c r="C3356" s="1" t="s">
        <v>137</v>
      </c>
      <c r="D3356" s="1" t="s">
        <v>138</v>
      </c>
      <c r="E3356" s="3">
        <v>23</v>
      </c>
      <c r="F3356" s="1" t="s">
        <v>36</v>
      </c>
      <c r="G3356" s="3">
        <v>0</v>
      </c>
      <c r="H3356" s="1">
        <v>0</v>
      </c>
      <c r="I3356" s="1">
        <v>2.137391</v>
      </c>
    </row>
    <row r="3357" spans="1:9" x14ac:dyDescent="0.25">
      <c r="A3357" s="1">
        <v>2140110687</v>
      </c>
      <c r="B3357" s="1" t="s">
        <v>1790</v>
      </c>
      <c r="C3357" s="1" t="s">
        <v>139</v>
      </c>
      <c r="D3357" s="1" t="s">
        <v>140</v>
      </c>
      <c r="E3357" s="3">
        <v>71952</v>
      </c>
      <c r="F3357" s="1" t="s">
        <v>36</v>
      </c>
      <c r="G3357" s="1">
        <v>0</v>
      </c>
      <c r="H3357" s="3">
        <v>20200</v>
      </c>
      <c r="I3357" s="1">
        <v>2.2130570000000001</v>
      </c>
    </row>
    <row r="3358" spans="1:9" x14ac:dyDescent="0.25">
      <c r="A3358" s="1">
        <v>2140110688</v>
      </c>
      <c r="B3358" s="1" t="s">
        <v>1791</v>
      </c>
      <c r="C3358" s="1" t="s">
        <v>130</v>
      </c>
      <c r="D3358" s="1" t="s">
        <v>131</v>
      </c>
      <c r="E3358" s="1">
        <v>21</v>
      </c>
      <c r="F3358" s="1" t="s">
        <v>36</v>
      </c>
      <c r="G3358" s="3">
        <v>8510</v>
      </c>
      <c r="H3358" s="3">
        <v>5399</v>
      </c>
      <c r="I3358" s="1">
        <v>2.1847620000000001</v>
      </c>
    </row>
    <row r="3359" spans="1:9" x14ac:dyDescent="0.25">
      <c r="A3359" s="1">
        <v>2140110688</v>
      </c>
      <c r="B3359" s="1" t="s">
        <v>1791</v>
      </c>
      <c r="C3359" s="1" t="s">
        <v>139</v>
      </c>
      <c r="D3359" s="1" t="s">
        <v>140</v>
      </c>
      <c r="E3359" s="1">
        <v>4</v>
      </c>
      <c r="F3359" s="1" t="s">
        <v>36</v>
      </c>
      <c r="G3359" s="3">
        <v>5399</v>
      </c>
      <c r="H3359" s="3">
        <v>6400</v>
      </c>
      <c r="I3359" s="1">
        <v>2.2825000000000002</v>
      </c>
    </row>
    <row r="3360" spans="1:9" x14ac:dyDescent="0.25">
      <c r="A3360" s="1">
        <v>2140110689</v>
      </c>
      <c r="B3360" s="1" t="s">
        <v>1792</v>
      </c>
      <c r="C3360" s="1" t="s">
        <v>130</v>
      </c>
      <c r="D3360" s="1" t="s">
        <v>131</v>
      </c>
      <c r="E3360" s="3">
        <v>5422</v>
      </c>
      <c r="F3360" s="1" t="s">
        <v>36</v>
      </c>
      <c r="G3360" s="3">
        <v>7570</v>
      </c>
      <c r="H3360" s="3">
        <v>10800</v>
      </c>
      <c r="I3360" s="1">
        <v>2.2431040000000002</v>
      </c>
    </row>
    <row r="3361" spans="1:9" x14ac:dyDescent="0.25">
      <c r="A3361" s="1">
        <v>2140110689</v>
      </c>
      <c r="B3361" s="1" t="s">
        <v>1792</v>
      </c>
      <c r="C3361" s="1" t="s">
        <v>139</v>
      </c>
      <c r="D3361" s="1" t="s">
        <v>140</v>
      </c>
      <c r="E3361" s="3">
        <v>13149</v>
      </c>
      <c r="F3361" s="1" t="s">
        <v>36</v>
      </c>
      <c r="G3361" s="3">
        <v>10800</v>
      </c>
      <c r="H3361" s="3">
        <v>6670</v>
      </c>
      <c r="I3361" s="1">
        <v>2.2649780000000002</v>
      </c>
    </row>
    <row r="3362" spans="1:9" x14ac:dyDescent="0.25">
      <c r="A3362" s="1">
        <v>2140110690</v>
      </c>
      <c r="B3362" s="1" t="s">
        <v>1793</v>
      </c>
      <c r="C3362" s="1" t="s">
        <v>130</v>
      </c>
      <c r="D3362" s="1" t="s">
        <v>131</v>
      </c>
      <c r="E3362" s="3">
        <v>1775</v>
      </c>
      <c r="F3362" s="1" t="s">
        <v>36</v>
      </c>
      <c r="G3362" s="1">
        <v>0</v>
      </c>
      <c r="H3362" s="3">
        <v>3150</v>
      </c>
      <c r="I3362" s="1">
        <v>2.2470590000000001</v>
      </c>
    </row>
    <row r="3363" spans="1:9" x14ac:dyDescent="0.25">
      <c r="A3363" s="1">
        <v>2140110690</v>
      </c>
      <c r="B3363" s="1" t="s">
        <v>1793</v>
      </c>
      <c r="C3363" s="1" t="s">
        <v>139</v>
      </c>
      <c r="D3363" s="1" t="s">
        <v>140</v>
      </c>
      <c r="E3363" s="1">
        <v>150</v>
      </c>
      <c r="F3363" s="1" t="s">
        <v>36</v>
      </c>
      <c r="G3363" s="3">
        <v>3150</v>
      </c>
      <c r="H3363" s="3">
        <v>0</v>
      </c>
      <c r="I3363" s="1">
        <v>2.4108000000000001</v>
      </c>
    </row>
    <row r="3364" spans="1:9" x14ac:dyDescent="0.25">
      <c r="A3364" s="1">
        <v>2140110694</v>
      </c>
      <c r="B3364" s="1" t="s">
        <v>1794</v>
      </c>
      <c r="C3364" s="1" t="s">
        <v>199</v>
      </c>
      <c r="D3364" s="1" t="s">
        <v>200</v>
      </c>
      <c r="E3364" s="1">
        <v>75</v>
      </c>
      <c r="F3364" s="1" t="s">
        <v>36</v>
      </c>
      <c r="G3364" s="1">
        <v>0</v>
      </c>
      <c r="H3364" s="1">
        <v>0</v>
      </c>
      <c r="I3364" s="1">
        <v>2.0537329999999998</v>
      </c>
    </row>
    <row r="3365" spans="1:9" x14ac:dyDescent="0.25">
      <c r="A3365" s="1">
        <v>2140110694</v>
      </c>
      <c r="B3365" s="1" t="s">
        <v>1794</v>
      </c>
      <c r="C3365" s="1" t="s">
        <v>130</v>
      </c>
      <c r="D3365" s="1" t="s">
        <v>131</v>
      </c>
      <c r="E3365" s="1">
        <v>0</v>
      </c>
      <c r="F3365" s="1" t="s">
        <v>36</v>
      </c>
      <c r="G3365" s="3">
        <v>3201</v>
      </c>
      <c r="H3365" s="3">
        <v>18900</v>
      </c>
      <c r="I3365" s="1">
        <v>2.0536669999999999</v>
      </c>
    </row>
    <row r="3366" spans="1:9" x14ac:dyDescent="0.25">
      <c r="A3366" s="1">
        <v>2140110694</v>
      </c>
      <c r="B3366" s="1" t="s">
        <v>1794</v>
      </c>
      <c r="C3366" s="1" t="s">
        <v>137</v>
      </c>
      <c r="D3366" s="1" t="s">
        <v>138</v>
      </c>
      <c r="E3366" s="1">
        <v>0</v>
      </c>
      <c r="F3366" s="1" t="s">
        <v>36</v>
      </c>
      <c r="G3366" s="1">
        <v>0</v>
      </c>
      <c r="H3366" s="1">
        <v>1</v>
      </c>
      <c r="I3366" s="1">
        <v>0</v>
      </c>
    </row>
    <row r="3367" spans="1:9" x14ac:dyDescent="0.25">
      <c r="A3367" s="1">
        <v>2140110694</v>
      </c>
      <c r="B3367" s="1" t="s">
        <v>1794</v>
      </c>
      <c r="C3367" s="1" t="s">
        <v>151</v>
      </c>
      <c r="D3367" s="1" t="s">
        <v>152</v>
      </c>
      <c r="E3367" s="1">
        <v>0</v>
      </c>
      <c r="F3367" s="1" t="s">
        <v>36</v>
      </c>
      <c r="G3367" s="1">
        <v>0</v>
      </c>
      <c r="H3367" s="3">
        <v>1200</v>
      </c>
      <c r="I3367" s="1">
        <v>2.0536669999999999</v>
      </c>
    </row>
    <row r="3368" spans="1:9" x14ac:dyDescent="0.25">
      <c r="A3368" s="1">
        <v>2140110694</v>
      </c>
      <c r="B3368" s="1" t="s">
        <v>1794</v>
      </c>
      <c r="C3368" s="1" t="s">
        <v>139</v>
      </c>
      <c r="D3368" s="1" t="s">
        <v>140</v>
      </c>
      <c r="E3368" s="3">
        <v>25</v>
      </c>
      <c r="F3368" s="1" t="s">
        <v>36</v>
      </c>
      <c r="G3368" s="3">
        <v>18900</v>
      </c>
      <c r="H3368" s="3">
        <v>0</v>
      </c>
      <c r="I3368" s="1">
        <v>2.0535999999999999</v>
      </c>
    </row>
    <row r="3369" spans="1:9" x14ac:dyDescent="0.25">
      <c r="A3369" s="1">
        <v>2140110699</v>
      </c>
      <c r="B3369" s="1" t="s">
        <v>1795</v>
      </c>
      <c r="C3369" s="1" t="s">
        <v>130</v>
      </c>
      <c r="D3369" s="1" t="s">
        <v>131</v>
      </c>
      <c r="E3369" s="3">
        <v>112985</v>
      </c>
      <c r="F3369" s="1" t="s">
        <v>36</v>
      </c>
      <c r="G3369" s="3">
        <v>6955</v>
      </c>
      <c r="H3369" s="3">
        <v>338400</v>
      </c>
      <c r="I3369" s="1">
        <v>1.497547</v>
      </c>
    </row>
    <row r="3370" spans="1:9" x14ac:dyDescent="0.25">
      <c r="A3370" s="1">
        <v>2140110699</v>
      </c>
      <c r="B3370" s="1" t="s">
        <v>1795</v>
      </c>
      <c r="C3370" s="1" t="s">
        <v>137</v>
      </c>
      <c r="D3370" s="1" t="s">
        <v>138</v>
      </c>
      <c r="E3370" s="3">
        <v>0</v>
      </c>
      <c r="F3370" s="1" t="s">
        <v>36</v>
      </c>
      <c r="G3370" s="1">
        <v>0</v>
      </c>
      <c r="H3370" s="1">
        <v>255</v>
      </c>
      <c r="I3370" s="1">
        <v>1.4390240000000001</v>
      </c>
    </row>
    <row r="3371" spans="1:9" x14ac:dyDescent="0.25">
      <c r="A3371" s="1">
        <v>2140110699</v>
      </c>
      <c r="B3371" s="1" t="s">
        <v>1795</v>
      </c>
      <c r="C3371" s="1" t="s">
        <v>139</v>
      </c>
      <c r="D3371" s="1" t="s">
        <v>140</v>
      </c>
      <c r="E3371" s="1">
        <v>13</v>
      </c>
      <c r="F3371" s="1" t="s">
        <v>36</v>
      </c>
      <c r="G3371" s="3">
        <v>338400</v>
      </c>
      <c r="H3371" s="1">
        <v>0</v>
      </c>
      <c r="I3371" s="1">
        <v>1.4392309999999999</v>
      </c>
    </row>
    <row r="3372" spans="1:9" x14ac:dyDescent="0.25">
      <c r="A3372" s="1">
        <v>2140110700</v>
      </c>
      <c r="B3372" s="1" t="s">
        <v>1796</v>
      </c>
      <c r="C3372" s="1" t="s">
        <v>130</v>
      </c>
      <c r="D3372" s="1" t="s">
        <v>131</v>
      </c>
      <c r="E3372" s="3">
        <v>48</v>
      </c>
      <c r="F3372" s="1" t="s">
        <v>36</v>
      </c>
      <c r="G3372" s="1">
        <v>600</v>
      </c>
      <c r="H3372" s="3">
        <v>97200</v>
      </c>
      <c r="I3372" s="1">
        <v>1.4350000000000001</v>
      </c>
    </row>
    <row r="3373" spans="1:9" x14ac:dyDescent="0.25">
      <c r="A3373" s="1">
        <v>2140110700</v>
      </c>
      <c r="B3373" s="1" t="s">
        <v>1796</v>
      </c>
      <c r="C3373" s="1" t="s">
        <v>137</v>
      </c>
      <c r="D3373" s="1" t="s">
        <v>138</v>
      </c>
      <c r="E3373" s="3">
        <v>250</v>
      </c>
      <c r="F3373" s="1" t="s">
        <v>36</v>
      </c>
      <c r="G3373" s="1">
        <v>0</v>
      </c>
      <c r="H3373" s="1">
        <v>0</v>
      </c>
      <c r="I3373" s="1">
        <v>1.4350400000000001</v>
      </c>
    </row>
    <row r="3374" spans="1:9" x14ac:dyDescent="0.25">
      <c r="A3374" s="1">
        <v>2140110700</v>
      </c>
      <c r="B3374" s="1" t="s">
        <v>1796</v>
      </c>
      <c r="C3374" s="1" t="s">
        <v>139</v>
      </c>
      <c r="D3374" s="1" t="s">
        <v>140</v>
      </c>
      <c r="E3374" s="3">
        <v>7175</v>
      </c>
      <c r="F3374" s="1" t="s">
        <v>36</v>
      </c>
      <c r="G3374" s="3">
        <v>97200</v>
      </c>
      <c r="H3374" s="1">
        <v>0</v>
      </c>
      <c r="I3374" s="1">
        <v>1.4350560000000001</v>
      </c>
    </row>
    <row r="3375" spans="1:9" x14ac:dyDescent="0.25">
      <c r="A3375" s="1">
        <v>2140110701</v>
      </c>
      <c r="B3375" s="1" t="s">
        <v>1797</v>
      </c>
      <c r="C3375" s="1" t="s">
        <v>130</v>
      </c>
      <c r="D3375" s="1" t="s">
        <v>131</v>
      </c>
      <c r="E3375" s="3">
        <v>14500</v>
      </c>
      <c r="F3375" s="1" t="s">
        <v>36</v>
      </c>
      <c r="G3375" s="3">
        <v>1100</v>
      </c>
      <c r="H3375" s="3">
        <v>151200</v>
      </c>
      <c r="I3375" s="1">
        <v>1.521109</v>
      </c>
    </row>
    <row r="3376" spans="1:9" x14ac:dyDescent="0.25">
      <c r="A3376" s="1">
        <v>2140110701</v>
      </c>
      <c r="B3376" s="1" t="s">
        <v>1797</v>
      </c>
      <c r="C3376" s="1" t="s">
        <v>137</v>
      </c>
      <c r="D3376" s="1" t="s">
        <v>138</v>
      </c>
      <c r="E3376" s="3">
        <v>265</v>
      </c>
      <c r="F3376" s="1" t="s">
        <v>36</v>
      </c>
      <c r="G3376" s="1">
        <v>0</v>
      </c>
      <c r="H3376" s="1">
        <v>0</v>
      </c>
      <c r="I3376" s="1">
        <v>1.4312450000000001</v>
      </c>
    </row>
    <row r="3377" spans="1:9" x14ac:dyDescent="0.25">
      <c r="A3377" s="1">
        <v>2140110701</v>
      </c>
      <c r="B3377" s="1" t="s">
        <v>1797</v>
      </c>
      <c r="C3377" s="1" t="s">
        <v>139</v>
      </c>
      <c r="D3377" s="1" t="s">
        <v>140</v>
      </c>
      <c r="E3377" s="3">
        <v>27178</v>
      </c>
      <c r="F3377" s="1" t="s">
        <v>36</v>
      </c>
      <c r="G3377" s="3">
        <v>151200</v>
      </c>
      <c r="H3377" s="1">
        <v>0</v>
      </c>
      <c r="I3377" s="1">
        <v>1.431233</v>
      </c>
    </row>
    <row r="3378" spans="1:9" x14ac:dyDescent="0.25">
      <c r="A3378" s="1">
        <v>2140110702</v>
      </c>
      <c r="B3378" s="1" t="s">
        <v>1798</v>
      </c>
      <c r="C3378" s="1" t="s">
        <v>130</v>
      </c>
      <c r="D3378" s="1" t="s">
        <v>131</v>
      </c>
      <c r="E3378" s="1">
        <v>0</v>
      </c>
      <c r="F3378" s="1" t="s">
        <v>36</v>
      </c>
      <c r="G3378" s="3">
        <v>2050</v>
      </c>
      <c r="H3378" s="1">
        <v>0</v>
      </c>
      <c r="I3378" s="1">
        <v>0</v>
      </c>
    </row>
    <row r="3379" spans="1:9" x14ac:dyDescent="0.25">
      <c r="A3379" s="1">
        <v>2140110703</v>
      </c>
      <c r="B3379" s="1" t="s">
        <v>1799</v>
      </c>
      <c r="C3379" s="1" t="s">
        <v>130</v>
      </c>
      <c r="D3379" s="1" t="s">
        <v>131</v>
      </c>
      <c r="E3379" s="3">
        <v>27000</v>
      </c>
      <c r="F3379" s="1" t="s">
        <v>36</v>
      </c>
      <c r="G3379" s="3">
        <v>2075</v>
      </c>
      <c r="H3379" s="3">
        <v>16800</v>
      </c>
      <c r="I3379" s="1">
        <v>1.4692000000000001</v>
      </c>
    </row>
    <row r="3380" spans="1:9" x14ac:dyDescent="0.25">
      <c r="A3380" s="1">
        <v>2140110703</v>
      </c>
      <c r="B3380" s="1" t="s">
        <v>1799</v>
      </c>
      <c r="C3380" s="1" t="s">
        <v>1698</v>
      </c>
      <c r="D3380" s="1" t="s">
        <v>1699</v>
      </c>
      <c r="E3380" s="3">
        <v>16800</v>
      </c>
      <c r="F3380" s="1" t="s">
        <v>36</v>
      </c>
      <c r="G3380" s="3">
        <v>16800</v>
      </c>
      <c r="H3380" s="1">
        <v>0</v>
      </c>
      <c r="I3380" s="1">
        <v>1.36514</v>
      </c>
    </row>
    <row r="3381" spans="1:9" x14ac:dyDescent="0.25">
      <c r="A3381" s="1">
        <v>2140110703</v>
      </c>
      <c r="B3381" s="1" t="s">
        <v>1799</v>
      </c>
      <c r="C3381" s="1" t="s">
        <v>137</v>
      </c>
      <c r="D3381" s="1" t="s">
        <v>138</v>
      </c>
      <c r="E3381" s="3">
        <v>0</v>
      </c>
      <c r="F3381" s="1" t="s">
        <v>36</v>
      </c>
      <c r="G3381" s="1">
        <v>0</v>
      </c>
      <c r="H3381" s="1">
        <v>75</v>
      </c>
      <c r="I3381" s="1">
        <v>0</v>
      </c>
    </row>
    <row r="3382" spans="1:9" x14ac:dyDescent="0.25">
      <c r="A3382" s="1">
        <v>2140110704</v>
      </c>
      <c r="B3382" s="1" t="s">
        <v>1800</v>
      </c>
      <c r="C3382" s="1" t="s">
        <v>130</v>
      </c>
      <c r="D3382" s="1" t="s">
        <v>131</v>
      </c>
      <c r="E3382" s="3">
        <v>4800</v>
      </c>
      <c r="F3382" s="1" t="s">
        <v>36</v>
      </c>
      <c r="G3382" s="1">
        <v>0</v>
      </c>
      <c r="H3382" s="1">
        <v>0</v>
      </c>
      <c r="I3382" s="1">
        <v>1.4748060000000001</v>
      </c>
    </row>
    <row r="3383" spans="1:9" x14ac:dyDescent="0.25">
      <c r="A3383" s="1">
        <v>2140110705</v>
      </c>
      <c r="B3383" s="1" t="s">
        <v>1801</v>
      </c>
      <c r="C3383" s="1" t="s">
        <v>130</v>
      </c>
      <c r="D3383" s="1" t="s">
        <v>131</v>
      </c>
      <c r="E3383" s="3">
        <v>10225</v>
      </c>
      <c r="F3383" s="1" t="s">
        <v>36</v>
      </c>
      <c r="G3383" s="1">
        <v>0</v>
      </c>
      <c r="H3383" s="1">
        <v>0</v>
      </c>
      <c r="I3383" s="1">
        <v>1.4926189999999999</v>
      </c>
    </row>
    <row r="3384" spans="1:9" x14ac:dyDescent="0.25">
      <c r="A3384" s="1">
        <v>2140110706</v>
      </c>
      <c r="B3384" s="1" t="s">
        <v>1802</v>
      </c>
      <c r="C3384" s="1" t="s">
        <v>130</v>
      </c>
      <c r="D3384" s="1" t="s">
        <v>131</v>
      </c>
      <c r="E3384" s="1">
        <v>0</v>
      </c>
      <c r="F3384" s="1" t="s">
        <v>36</v>
      </c>
      <c r="G3384" s="1">
        <v>550</v>
      </c>
      <c r="H3384" s="1">
        <v>0</v>
      </c>
      <c r="I3384" s="1">
        <v>0</v>
      </c>
    </row>
    <row r="3385" spans="1:9" x14ac:dyDescent="0.25">
      <c r="A3385" s="1">
        <v>2140110707</v>
      </c>
      <c r="B3385" s="1" t="s">
        <v>1803</v>
      </c>
      <c r="C3385" s="1" t="s">
        <v>130</v>
      </c>
      <c r="D3385" s="1" t="s">
        <v>131</v>
      </c>
      <c r="E3385" s="3">
        <v>24299</v>
      </c>
      <c r="F3385" s="1" t="s">
        <v>36</v>
      </c>
      <c r="G3385" s="3">
        <v>2000</v>
      </c>
      <c r="H3385" s="1">
        <v>0</v>
      </c>
      <c r="I3385" s="1">
        <v>1.446401</v>
      </c>
    </row>
    <row r="3386" spans="1:9" x14ac:dyDescent="0.25">
      <c r="A3386" s="1">
        <v>2140110707</v>
      </c>
      <c r="B3386" s="1" t="s">
        <v>1803</v>
      </c>
      <c r="C3386" s="1" t="s">
        <v>137</v>
      </c>
      <c r="D3386" s="1" t="s">
        <v>138</v>
      </c>
      <c r="E3386" s="3">
        <v>23</v>
      </c>
      <c r="F3386" s="1" t="s">
        <v>36</v>
      </c>
      <c r="G3386" s="1">
        <v>0</v>
      </c>
      <c r="H3386" s="1">
        <v>0</v>
      </c>
      <c r="I3386" s="1">
        <v>1.5956520000000001</v>
      </c>
    </row>
    <row r="3387" spans="1:9" x14ac:dyDescent="0.25">
      <c r="A3387" s="1">
        <v>2140110708</v>
      </c>
      <c r="B3387" s="1" t="s">
        <v>1804</v>
      </c>
      <c r="C3387" s="1" t="s">
        <v>130</v>
      </c>
      <c r="D3387" s="1" t="s">
        <v>131</v>
      </c>
      <c r="E3387" s="3">
        <v>8500</v>
      </c>
      <c r="F3387" s="1" t="s">
        <v>36</v>
      </c>
      <c r="G3387" s="1">
        <v>0</v>
      </c>
      <c r="H3387" s="1">
        <v>0</v>
      </c>
      <c r="I3387" s="1">
        <v>1.5091019999999999</v>
      </c>
    </row>
    <row r="3388" spans="1:9" x14ac:dyDescent="0.25">
      <c r="A3388" s="1">
        <v>2140110708</v>
      </c>
      <c r="B3388" s="1" t="s">
        <v>1804</v>
      </c>
      <c r="C3388" s="1" t="s">
        <v>139</v>
      </c>
      <c r="D3388" s="1" t="s">
        <v>140</v>
      </c>
      <c r="E3388" s="3">
        <v>1025</v>
      </c>
      <c r="F3388" s="1" t="s">
        <v>36</v>
      </c>
      <c r="G3388" s="1">
        <v>0</v>
      </c>
      <c r="H3388" s="1">
        <v>0</v>
      </c>
      <c r="I3388" s="1">
        <v>1.531776</v>
      </c>
    </row>
    <row r="3389" spans="1:9" x14ac:dyDescent="0.25">
      <c r="A3389" s="1">
        <v>2140110709</v>
      </c>
      <c r="B3389" s="1" t="s">
        <v>1805</v>
      </c>
      <c r="C3389" s="1" t="s">
        <v>130</v>
      </c>
      <c r="D3389" s="1" t="s">
        <v>131</v>
      </c>
      <c r="E3389" s="3">
        <v>13250</v>
      </c>
      <c r="F3389" s="1" t="s">
        <v>36</v>
      </c>
      <c r="G3389" s="3">
        <v>9500</v>
      </c>
      <c r="H3389" s="1">
        <v>0</v>
      </c>
      <c r="I3389" s="1">
        <v>1.5561780000000001</v>
      </c>
    </row>
    <row r="3390" spans="1:9" x14ac:dyDescent="0.25">
      <c r="A3390" s="1">
        <v>2140110709</v>
      </c>
      <c r="B3390" s="1" t="s">
        <v>1805</v>
      </c>
      <c r="C3390" s="1" t="s">
        <v>139</v>
      </c>
      <c r="D3390" s="1" t="s">
        <v>140</v>
      </c>
      <c r="E3390" s="1">
        <v>0</v>
      </c>
      <c r="F3390" s="1" t="s">
        <v>36</v>
      </c>
      <c r="G3390" s="1">
        <v>0</v>
      </c>
      <c r="H3390" s="3">
        <v>9500</v>
      </c>
      <c r="I3390" s="1">
        <v>1.4625999999999999</v>
      </c>
    </row>
    <row r="3391" spans="1:9" x14ac:dyDescent="0.25">
      <c r="A3391" s="1">
        <v>2140110710</v>
      </c>
      <c r="B3391" s="1" t="s">
        <v>1806</v>
      </c>
      <c r="C3391" s="1" t="s">
        <v>130</v>
      </c>
      <c r="D3391" s="1" t="s">
        <v>131</v>
      </c>
      <c r="E3391" s="1">
        <v>0</v>
      </c>
      <c r="F3391" s="1" t="s">
        <v>36</v>
      </c>
      <c r="G3391" s="1">
        <v>550</v>
      </c>
      <c r="H3391" s="1">
        <v>0</v>
      </c>
      <c r="I3391" s="1">
        <v>0</v>
      </c>
    </row>
    <row r="3392" spans="1:9" x14ac:dyDescent="0.25">
      <c r="A3392" s="1">
        <v>2140110711</v>
      </c>
      <c r="B3392" s="1" t="s">
        <v>1807</v>
      </c>
      <c r="C3392" s="1" t="s">
        <v>130</v>
      </c>
      <c r="D3392" s="1" t="s">
        <v>131</v>
      </c>
      <c r="E3392" s="3">
        <v>4550</v>
      </c>
      <c r="F3392" s="1" t="s">
        <v>36</v>
      </c>
      <c r="G3392" s="1">
        <v>0</v>
      </c>
      <c r="H3392" s="1">
        <v>500</v>
      </c>
      <c r="I3392" s="1">
        <v>2.0460989999999999</v>
      </c>
    </row>
    <row r="3393" spans="1:9" x14ac:dyDescent="0.25">
      <c r="A3393" s="1">
        <v>2140110711</v>
      </c>
      <c r="B3393" s="1" t="s">
        <v>1807</v>
      </c>
      <c r="C3393" s="1" t="s">
        <v>1698</v>
      </c>
      <c r="D3393" s="1" t="s">
        <v>1699</v>
      </c>
      <c r="E3393" s="3">
        <v>0</v>
      </c>
      <c r="F3393" s="1" t="s">
        <v>36</v>
      </c>
      <c r="G3393" s="1">
        <v>500</v>
      </c>
      <c r="H3393" s="1">
        <v>0</v>
      </c>
      <c r="I3393" s="1">
        <v>1.84979</v>
      </c>
    </row>
    <row r="3394" spans="1:9" x14ac:dyDescent="0.25">
      <c r="A3394" s="1">
        <v>2140110712</v>
      </c>
      <c r="B3394" s="1" t="s">
        <v>1808</v>
      </c>
      <c r="C3394" s="1" t="s">
        <v>130</v>
      </c>
      <c r="D3394" s="1" t="s">
        <v>131</v>
      </c>
      <c r="E3394" s="3">
        <v>5948</v>
      </c>
      <c r="F3394" s="1" t="s">
        <v>36</v>
      </c>
      <c r="G3394" s="1">
        <v>50</v>
      </c>
      <c r="H3394" s="1">
        <v>0</v>
      </c>
      <c r="I3394" s="1">
        <v>2.4215499999999999</v>
      </c>
    </row>
    <row r="3395" spans="1:9" x14ac:dyDescent="0.25">
      <c r="A3395" s="1">
        <v>2140110713</v>
      </c>
      <c r="B3395" s="1" t="s">
        <v>1809</v>
      </c>
      <c r="C3395" s="1" t="s">
        <v>130</v>
      </c>
      <c r="D3395" s="1" t="s">
        <v>131</v>
      </c>
      <c r="E3395" s="3">
        <v>5550</v>
      </c>
      <c r="F3395" s="1" t="s">
        <v>36</v>
      </c>
      <c r="G3395" s="3">
        <v>0</v>
      </c>
      <c r="H3395" s="1">
        <v>0</v>
      </c>
      <c r="I3395" s="1">
        <v>2.1563910000000002</v>
      </c>
    </row>
    <row r="3396" spans="1:9" x14ac:dyDescent="0.25">
      <c r="A3396" s="1">
        <v>2140110714</v>
      </c>
      <c r="B3396" s="1" t="s">
        <v>1810</v>
      </c>
      <c r="C3396" s="1" t="s">
        <v>1698</v>
      </c>
      <c r="D3396" s="1" t="s">
        <v>1699</v>
      </c>
      <c r="E3396" s="3">
        <v>1</v>
      </c>
      <c r="F3396" s="1" t="s">
        <v>36</v>
      </c>
      <c r="G3396" s="1">
        <v>0</v>
      </c>
      <c r="H3396" s="1">
        <v>0</v>
      </c>
      <c r="I3396" s="1">
        <v>2.25</v>
      </c>
    </row>
    <row r="3397" spans="1:9" x14ac:dyDescent="0.25">
      <c r="A3397" s="1">
        <v>2140110714</v>
      </c>
      <c r="B3397" s="1" t="s">
        <v>1810</v>
      </c>
      <c r="C3397" s="1" t="s">
        <v>139</v>
      </c>
      <c r="D3397" s="1" t="s">
        <v>140</v>
      </c>
      <c r="E3397" s="3">
        <v>6213</v>
      </c>
      <c r="F3397" s="1" t="s">
        <v>36</v>
      </c>
      <c r="G3397" s="3">
        <v>0</v>
      </c>
      <c r="H3397" s="3">
        <v>0</v>
      </c>
      <c r="I3397" s="1">
        <v>2.2516159999999998</v>
      </c>
    </row>
    <row r="3398" spans="1:9" x14ac:dyDescent="0.25">
      <c r="A3398" s="1">
        <v>2140110715</v>
      </c>
      <c r="B3398" s="1" t="s">
        <v>1811</v>
      </c>
      <c r="C3398" s="1" t="s">
        <v>130</v>
      </c>
      <c r="D3398" s="1" t="s">
        <v>131</v>
      </c>
      <c r="E3398" s="3">
        <v>12375</v>
      </c>
      <c r="F3398" s="1" t="s">
        <v>36</v>
      </c>
      <c r="G3398" s="3">
        <v>112</v>
      </c>
      <c r="H3398" s="1">
        <v>0</v>
      </c>
      <c r="I3398" s="1">
        <v>1.919286</v>
      </c>
    </row>
    <row r="3399" spans="1:9" x14ac:dyDescent="0.25">
      <c r="A3399" s="1">
        <v>2140110716</v>
      </c>
      <c r="B3399" s="1" t="s">
        <v>1812</v>
      </c>
      <c r="C3399" s="1" t="s">
        <v>130</v>
      </c>
      <c r="D3399" s="1" t="s">
        <v>131</v>
      </c>
      <c r="E3399" s="3">
        <v>6875</v>
      </c>
      <c r="F3399" s="1" t="s">
        <v>36</v>
      </c>
      <c r="G3399" s="1">
        <v>62</v>
      </c>
      <c r="H3399" s="3">
        <v>0</v>
      </c>
      <c r="I3399" s="1">
        <v>2.1461429999999999</v>
      </c>
    </row>
    <row r="3400" spans="1:9" x14ac:dyDescent="0.25">
      <c r="A3400" s="1">
        <v>2140110717</v>
      </c>
      <c r="B3400" s="1" t="s">
        <v>1813</v>
      </c>
      <c r="C3400" s="1" t="s">
        <v>130</v>
      </c>
      <c r="D3400" s="1" t="s">
        <v>131</v>
      </c>
      <c r="E3400" s="3">
        <v>1675</v>
      </c>
      <c r="F3400" s="1" t="s">
        <v>36</v>
      </c>
      <c r="G3400" s="3">
        <v>0</v>
      </c>
      <c r="H3400" s="1">
        <v>0</v>
      </c>
      <c r="I3400" s="1">
        <v>2.0240659999999999</v>
      </c>
    </row>
    <row r="3401" spans="1:9" x14ac:dyDescent="0.25">
      <c r="A3401" s="1">
        <v>2140110718</v>
      </c>
      <c r="B3401" s="1" t="s">
        <v>1814</v>
      </c>
      <c r="C3401" s="1" t="s">
        <v>130</v>
      </c>
      <c r="D3401" s="1" t="s">
        <v>131</v>
      </c>
      <c r="E3401" s="3">
        <v>2150</v>
      </c>
      <c r="F3401" s="1" t="s">
        <v>36</v>
      </c>
      <c r="G3401" s="1">
        <v>0</v>
      </c>
      <c r="H3401" s="1">
        <v>0</v>
      </c>
      <c r="I3401" s="1">
        <v>2.123237</v>
      </c>
    </row>
    <row r="3402" spans="1:9" x14ac:dyDescent="0.25">
      <c r="A3402" s="1">
        <v>2140110719</v>
      </c>
      <c r="B3402" s="1" t="s">
        <v>1815</v>
      </c>
      <c r="C3402" s="1" t="s">
        <v>130</v>
      </c>
      <c r="D3402" s="1" t="s">
        <v>131</v>
      </c>
      <c r="E3402" s="1">
        <v>625</v>
      </c>
      <c r="F3402" s="1" t="s">
        <v>36</v>
      </c>
      <c r="G3402" s="1">
        <v>0</v>
      </c>
      <c r="H3402" s="1">
        <v>0</v>
      </c>
      <c r="I3402" s="1">
        <v>2.898336</v>
      </c>
    </row>
    <row r="3403" spans="1:9" x14ac:dyDescent="0.25">
      <c r="A3403" s="1">
        <v>2140110720</v>
      </c>
      <c r="B3403" s="1" t="s">
        <v>1816</v>
      </c>
      <c r="C3403" s="1" t="s">
        <v>130</v>
      </c>
      <c r="D3403" s="1" t="s">
        <v>131</v>
      </c>
      <c r="E3403" s="1">
        <v>0</v>
      </c>
      <c r="F3403" s="1" t="s">
        <v>36</v>
      </c>
      <c r="G3403" s="3">
        <v>2000</v>
      </c>
      <c r="H3403" s="3">
        <v>0</v>
      </c>
      <c r="I3403" s="1">
        <v>0</v>
      </c>
    </row>
    <row r="3404" spans="1:9" x14ac:dyDescent="0.25">
      <c r="A3404" s="1">
        <v>2140110721</v>
      </c>
      <c r="B3404" s="1" t="s">
        <v>1817</v>
      </c>
      <c r="C3404" s="1" t="s">
        <v>130</v>
      </c>
      <c r="D3404" s="1" t="s">
        <v>131</v>
      </c>
      <c r="E3404" s="1">
        <v>0</v>
      </c>
      <c r="F3404" s="1" t="s">
        <v>36</v>
      </c>
      <c r="G3404" s="3">
        <v>1000</v>
      </c>
      <c r="H3404" s="1">
        <v>0</v>
      </c>
      <c r="I3404" s="1">
        <v>0</v>
      </c>
    </row>
    <row r="3405" spans="1:9" x14ac:dyDescent="0.25">
      <c r="A3405" s="1">
        <v>2140110723</v>
      </c>
      <c r="B3405" s="1" t="s">
        <v>1818</v>
      </c>
      <c r="C3405" s="1" t="s">
        <v>130</v>
      </c>
      <c r="D3405" s="1" t="s">
        <v>131</v>
      </c>
      <c r="E3405" s="3">
        <v>8000</v>
      </c>
      <c r="F3405" s="1" t="s">
        <v>36</v>
      </c>
      <c r="G3405" s="3">
        <v>100</v>
      </c>
      <c r="H3405" s="1">
        <v>0</v>
      </c>
      <c r="I3405" s="1">
        <v>2.0046689999999998</v>
      </c>
    </row>
    <row r="3406" spans="1:9" x14ac:dyDescent="0.25">
      <c r="A3406" s="1">
        <v>2140110724</v>
      </c>
      <c r="B3406" s="1" t="s">
        <v>1819</v>
      </c>
      <c r="C3406" s="1" t="s">
        <v>130</v>
      </c>
      <c r="D3406" s="1" t="s">
        <v>131</v>
      </c>
      <c r="E3406" s="3">
        <v>2450</v>
      </c>
      <c r="F3406" s="1" t="s">
        <v>36</v>
      </c>
      <c r="G3406" s="1">
        <v>0</v>
      </c>
      <c r="H3406" s="3">
        <v>0</v>
      </c>
      <c r="I3406" s="1">
        <v>1.9715879999999999</v>
      </c>
    </row>
    <row r="3407" spans="1:9" x14ac:dyDescent="0.25">
      <c r="A3407" s="1">
        <v>2140110727</v>
      </c>
      <c r="B3407" s="1" t="s">
        <v>1820</v>
      </c>
      <c r="C3407" s="1" t="s">
        <v>130</v>
      </c>
      <c r="D3407" s="1" t="s">
        <v>131</v>
      </c>
      <c r="E3407" s="3">
        <v>3450</v>
      </c>
      <c r="F3407" s="1" t="s">
        <v>36</v>
      </c>
      <c r="G3407" s="1">
        <v>200</v>
      </c>
      <c r="H3407" s="1">
        <v>0</v>
      </c>
      <c r="I3407" s="1">
        <v>2.3282989999999999</v>
      </c>
    </row>
    <row r="3408" spans="1:9" x14ac:dyDescent="0.25">
      <c r="A3408" s="1">
        <v>2140110728</v>
      </c>
      <c r="B3408" s="1" t="s">
        <v>1821</v>
      </c>
      <c r="C3408" s="1" t="s">
        <v>130</v>
      </c>
      <c r="D3408" s="1" t="s">
        <v>131</v>
      </c>
      <c r="E3408" s="3">
        <v>1897</v>
      </c>
      <c r="F3408" s="1" t="s">
        <v>36</v>
      </c>
      <c r="G3408" s="3">
        <v>0</v>
      </c>
      <c r="H3408" s="1">
        <v>0</v>
      </c>
      <c r="I3408" s="1">
        <v>1.8768210000000001</v>
      </c>
    </row>
    <row r="3409" spans="1:9" x14ac:dyDescent="0.25">
      <c r="A3409" s="1">
        <v>2140120001</v>
      </c>
      <c r="B3409" s="1" t="s">
        <v>1822</v>
      </c>
      <c r="C3409" s="1" t="s">
        <v>130</v>
      </c>
      <c r="D3409" s="1" t="s">
        <v>131</v>
      </c>
      <c r="E3409" s="1">
        <v>0</v>
      </c>
      <c r="F3409" s="1" t="s">
        <v>36</v>
      </c>
      <c r="G3409" s="1">
        <v>7</v>
      </c>
      <c r="H3409" s="3">
        <v>0</v>
      </c>
      <c r="I3409" s="1">
        <v>14.51</v>
      </c>
    </row>
    <row r="3410" spans="1:9" x14ac:dyDescent="0.25">
      <c r="A3410" s="1">
        <v>2140120001</v>
      </c>
      <c r="B3410" s="1" t="s">
        <v>1822</v>
      </c>
      <c r="C3410" s="1" t="s">
        <v>126</v>
      </c>
      <c r="D3410" s="1" t="s">
        <v>127</v>
      </c>
      <c r="E3410" s="3">
        <v>1</v>
      </c>
      <c r="F3410" s="1" t="s">
        <v>36</v>
      </c>
      <c r="G3410" s="3">
        <v>0</v>
      </c>
      <c r="H3410" s="1">
        <v>0</v>
      </c>
      <c r="I3410" s="1">
        <v>14.51</v>
      </c>
    </row>
    <row r="3411" spans="1:9" x14ac:dyDescent="0.25">
      <c r="A3411" s="1">
        <v>2140120005</v>
      </c>
      <c r="B3411" s="1" t="s">
        <v>1823</v>
      </c>
      <c r="C3411" s="1" t="s">
        <v>130</v>
      </c>
      <c r="D3411" s="1" t="s">
        <v>131</v>
      </c>
      <c r="E3411" s="3">
        <v>0</v>
      </c>
      <c r="F3411" s="1" t="s">
        <v>36</v>
      </c>
      <c r="G3411" s="1">
        <v>0</v>
      </c>
      <c r="H3411" s="1">
        <v>43</v>
      </c>
      <c r="I3411" s="1">
        <v>0</v>
      </c>
    </row>
    <row r="3412" spans="1:9" x14ac:dyDescent="0.25">
      <c r="A3412" s="1">
        <v>2140120005</v>
      </c>
      <c r="B3412" s="1" t="s">
        <v>1823</v>
      </c>
      <c r="C3412" s="1" t="s">
        <v>139</v>
      </c>
      <c r="D3412" s="1" t="s">
        <v>140</v>
      </c>
      <c r="E3412" s="1">
        <v>43</v>
      </c>
      <c r="F3412" s="1" t="s">
        <v>36</v>
      </c>
      <c r="G3412" s="1">
        <v>43</v>
      </c>
      <c r="H3412" s="1">
        <v>0</v>
      </c>
      <c r="I3412" s="1">
        <v>2.0676739999999998</v>
      </c>
    </row>
    <row r="3413" spans="1:9" x14ac:dyDescent="0.25">
      <c r="A3413" s="1">
        <v>2140120006</v>
      </c>
      <c r="B3413" s="1" t="s">
        <v>1824</v>
      </c>
      <c r="C3413" s="1" t="s">
        <v>130</v>
      </c>
      <c r="D3413" s="1" t="s">
        <v>131</v>
      </c>
      <c r="E3413" s="1">
        <v>0</v>
      </c>
      <c r="F3413" s="1" t="s">
        <v>36</v>
      </c>
      <c r="G3413" s="1">
        <v>0</v>
      </c>
      <c r="H3413" s="1">
        <v>92</v>
      </c>
      <c r="I3413" s="1">
        <v>0</v>
      </c>
    </row>
    <row r="3414" spans="1:9" x14ac:dyDescent="0.25">
      <c r="A3414" s="1">
        <v>2140120006</v>
      </c>
      <c r="B3414" s="1" t="s">
        <v>1824</v>
      </c>
      <c r="C3414" s="1" t="s">
        <v>126</v>
      </c>
      <c r="D3414" s="1" t="s">
        <v>127</v>
      </c>
      <c r="E3414" s="1">
        <v>2</v>
      </c>
      <c r="F3414" s="1" t="s">
        <v>36</v>
      </c>
      <c r="G3414" s="3">
        <v>0</v>
      </c>
      <c r="H3414" s="3">
        <v>0</v>
      </c>
      <c r="I3414" s="1">
        <v>2.0699999999999998</v>
      </c>
    </row>
    <row r="3415" spans="1:9" x14ac:dyDescent="0.25">
      <c r="A3415" s="1">
        <v>2140120006</v>
      </c>
      <c r="B3415" s="1" t="s">
        <v>1824</v>
      </c>
      <c r="C3415" s="1" t="s">
        <v>139</v>
      </c>
      <c r="D3415" s="1" t="s">
        <v>140</v>
      </c>
      <c r="E3415" s="1">
        <v>92</v>
      </c>
      <c r="F3415" s="1" t="s">
        <v>36</v>
      </c>
      <c r="G3415" s="1">
        <v>92</v>
      </c>
      <c r="H3415" s="1">
        <v>0</v>
      </c>
      <c r="I3415" s="1">
        <v>2.0715219999999999</v>
      </c>
    </row>
    <row r="3416" spans="1:9" x14ac:dyDescent="0.25">
      <c r="A3416" s="1">
        <v>2140120008</v>
      </c>
      <c r="B3416" s="1" t="s">
        <v>1825</v>
      </c>
      <c r="C3416" s="1" t="s">
        <v>130</v>
      </c>
      <c r="D3416" s="1" t="s">
        <v>131</v>
      </c>
      <c r="E3416" s="1">
        <v>0</v>
      </c>
      <c r="F3416" s="1" t="s">
        <v>36</v>
      </c>
      <c r="G3416" s="1">
        <v>0</v>
      </c>
      <c r="H3416" s="1">
        <v>1</v>
      </c>
      <c r="I3416" s="1">
        <v>0</v>
      </c>
    </row>
    <row r="3417" spans="1:9" x14ac:dyDescent="0.25">
      <c r="A3417" s="1">
        <v>2140120008</v>
      </c>
      <c r="B3417" s="1" t="s">
        <v>1825</v>
      </c>
      <c r="C3417" s="1" t="s">
        <v>139</v>
      </c>
      <c r="D3417" s="1" t="s">
        <v>140</v>
      </c>
      <c r="E3417" s="1">
        <v>1</v>
      </c>
      <c r="F3417" s="1" t="s">
        <v>36</v>
      </c>
      <c r="G3417" s="3">
        <v>1</v>
      </c>
      <c r="H3417" s="1">
        <v>0</v>
      </c>
      <c r="I3417" s="1">
        <v>1.46</v>
      </c>
    </row>
    <row r="3418" spans="1:9" x14ac:dyDescent="0.25">
      <c r="A3418" s="1">
        <v>2140120014</v>
      </c>
      <c r="B3418" s="1" t="s">
        <v>1826</v>
      </c>
      <c r="C3418" s="1" t="s">
        <v>130</v>
      </c>
      <c r="D3418" s="1" t="s">
        <v>131</v>
      </c>
      <c r="E3418" s="1">
        <v>931</v>
      </c>
      <c r="F3418" s="1" t="s">
        <v>36</v>
      </c>
      <c r="G3418" s="1">
        <v>0</v>
      </c>
      <c r="H3418" s="1">
        <v>0</v>
      </c>
      <c r="I3418" s="1">
        <v>9.3226849999999999</v>
      </c>
    </row>
    <row r="3419" spans="1:9" x14ac:dyDescent="0.25">
      <c r="A3419" s="1">
        <v>2140120015</v>
      </c>
      <c r="B3419" s="1" t="s">
        <v>1827</v>
      </c>
      <c r="C3419" s="1" t="s">
        <v>130</v>
      </c>
      <c r="D3419" s="1" t="s">
        <v>131</v>
      </c>
      <c r="E3419" s="1">
        <v>32</v>
      </c>
      <c r="F3419" s="1" t="s">
        <v>36</v>
      </c>
      <c r="G3419" s="3">
        <v>0</v>
      </c>
      <c r="H3419" s="1">
        <v>0</v>
      </c>
      <c r="I3419" s="1">
        <v>6.3840630000000003</v>
      </c>
    </row>
    <row r="3420" spans="1:9" x14ac:dyDescent="0.25">
      <c r="A3420" s="1">
        <v>2140120017</v>
      </c>
      <c r="B3420" s="1" t="s">
        <v>1828</v>
      </c>
      <c r="C3420" s="1" t="s">
        <v>126</v>
      </c>
      <c r="D3420" s="1" t="s">
        <v>127</v>
      </c>
      <c r="E3420" s="1">
        <v>8</v>
      </c>
      <c r="F3420" s="1" t="s">
        <v>36</v>
      </c>
      <c r="G3420" s="1">
        <v>0</v>
      </c>
      <c r="H3420" s="1">
        <v>0</v>
      </c>
      <c r="I3420" s="1">
        <v>4.2737499999999997</v>
      </c>
    </row>
    <row r="3421" spans="1:9" x14ac:dyDescent="0.25">
      <c r="A3421" s="1">
        <v>2140150001</v>
      </c>
      <c r="B3421" s="1" t="s">
        <v>1829</v>
      </c>
      <c r="C3421" s="1" t="s">
        <v>130</v>
      </c>
      <c r="D3421" s="1" t="s">
        <v>131</v>
      </c>
      <c r="E3421" s="3">
        <v>9065</v>
      </c>
      <c r="F3421" s="1" t="s">
        <v>36</v>
      </c>
      <c r="G3421" s="3">
        <v>9584</v>
      </c>
      <c r="H3421" s="3">
        <v>36000</v>
      </c>
      <c r="I3421" s="1">
        <v>2.4806560000000002</v>
      </c>
    </row>
    <row r="3422" spans="1:9" x14ac:dyDescent="0.25">
      <c r="A3422" s="1">
        <v>2140150001</v>
      </c>
      <c r="B3422" s="1" t="s">
        <v>1829</v>
      </c>
      <c r="C3422" s="1" t="s">
        <v>126</v>
      </c>
      <c r="D3422" s="1" t="s">
        <v>127</v>
      </c>
      <c r="E3422" s="1">
        <v>20</v>
      </c>
      <c r="F3422" s="1" t="s">
        <v>36</v>
      </c>
      <c r="G3422" s="3">
        <v>0</v>
      </c>
      <c r="H3422" s="1">
        <v>0</v>
      </c>
      <c r="I3422" s="1">
        <v>2.76</v>
      </c>
    </row>
    <row r="3423" spans="1:9" x14ac:dyDescent="0.25">
      <c r="A3423" s="1">
        <v>2140150001</v>
      </c>
      <c r="B3423" s="1" t="s">
        <v>1829</v>
      </c>
      <c r="C3423" s="1" t="s">
        <v>142</v>
      </c>
      <c r="D3423" s="1" t="s">
        <v>143</v>
      </c>
      <c r="E3423" s="3">
        <v>1800</v>
      </c>
      <c r="F3423" s="1" t="s">
        <v>36</v>
      </c>
      <c r="G3423" s="1">
        <v>0</v>
      </c>
      <c r="H3423" s="3">
        <v>0</v>
      </c>
      <c r="I3423" s="1">
        <v>2.4454560000000001</v>
      </c>
    </row>
    <row r="3424" spans="1:9" x14ac:dyDescent="0.25">
      <c r="A3424" s="1">
        <v>2140150001</v>
      </c>
      <c r="B3424" s="1" t="s">
        <v>1829</v>
      </c>
      <c r="C3424" s="1" t="s">
        <v>137</v>
      </c>
      <c r="D3424" s="1" t="s">
        <v>138</v>
      </c>
      <c r="E3424" s="3">
        <v>1372</v>
      </c>
      <c r="F3424" s="1" t="s">
        <v>36</v>
      </c>
      <c r="G3424" s="1">
        <v>0</v>
      </c>
      <c r="H3424" s="1">
        <v>0</v>
      </c>
      <c r="I3424" s="1">
        <v>2.7345700000000002</v>
      </c>
    </row>
    <row r="3425" spans="1:9" x14ac:dyDescent="0.25">
      <c r="A3425" s="1">
        <v>2140150001</v>
      </c>
      <c r="B3425" s="1" t="s">
        <v>1829</v>
      </c>
      <c r="C3425" s="1" t="s">
        <v>151</v>
      </c>
      <c r="D3425" s="1" t="s">
        <v>152</v>
      </c>
      <c r="E3425" s="1">
        <v>0</v>
      </c>
      <c r="F3425" s="1" t="s">
        <v>36</v>
      </c>
      <c r="G3425" s="1">
        <v>0</v>
      </c>
      <c r="H3425" s="3">
        <v>8400</v>
      </c>
      <c r="I3425" s="1">
        <v>2.4299750000000002</v>
      </c>
    </row>
    <row r="3426" spans="1:9" x14ac:dyDescent="0.25">
      <c r="A3426" s="1">
        <v>2140150001</v>
      </c>
      <c r="B3426" s="1" t="s">
        <v>1829</v>
      </c>
      <c r="C3426" s="1" t="s">
        <v>139</v>
      </c>
      <c r="D3426" s="1" t="s">
        <v>140</v>
      </c>
      <c r="E3426" s="3">
        <v>0</v>
      </c>
      <c r="F3426" s="1" t="s">
        <v>36</v>
      </c>
      <c r="G3426" s="3">
        <v>36000</v>
      </c>
      <c r="H3426" s="1">
        <v>0</v>
      </c>
      <c r="I3426" s="1">
        <v>2.8000910000000001</v>
      </c>
    </row>
    <row r="3427" spans="1:9" x14ac:dyDescent="0.25">
      <c r="A3427" s="1">
        <v>2140150002</v>
      </c>
      <c r="B3427" s="1" t="s">
        <v>1830</v>
      </c>
      <c r="C3427" s="1" t="s">
        <v>130</v>
      </c>
      <c r="D3427" s="1" t="s">
        <v>131</v>
      </c>
      <c r="E3427" s="1">
        <v>10</v>
      </c>
      <c r="F3427" s="1" t="s">
        <v>36</v>
      </c>
      <c r="G3427" s="1">
        <v>0</v>
      </c>
      <c r="H3427" s="3">
        <v>0</v>
      </c>
      <c r="I3427" s="1">
        <v>2.988</v>
      </c>
    </row>
    <row r="3428" spans="1:9" x14ac:dyDescent="0.25">
      <c r="A3428" s="1">
        <v>2140160001</v>
      </c>
      <c r="B3428" s="1" t="s">
        <v>1831</v>
      </c>
      <c r="C3428" s="1" t="s">
        <v>130</v>
      </c>
      <c r="D3428" s="1" t="s">
        <v>131</v>
      </c>
      <c r="E3428" s="1">
        <v>0</v>
      </c>
      <c r="F3428" s="1" t="s">
        <v>36</v>
      </c>
      <c r="G3428" s="1">
        <v>0</v>
      </c>
      <c r="H3428" s="1">
        <v>23</v>
      </c>
      <c r="I3428" s="1">
        <v>0</v>
      </c>
    </row>
    <row r="3429" spans="1:9" x14ac:dyDescent="0.25">
      <c r="A3429" s="1">
        <v>2140160001</v>
      </c>
      <c r="B3429" s="1" t="s">
        <v>1831</v>
      </c>
      <c r="C3429" s="1" t="s">
        <v>126</v>
      </c>
      <c r="D3429" s="1" t="s">
        <v>127</v>
      </c>
      <c r="E3429" s="1">
        <v>5</v>
      </c>
      <c r="F3429" s="1" t="s">
        <v>36</v>
      </c>
      <c r="G3429" s="3">
        <v>0</v>
      </c>
      <c r="H3429" s="1">
        <v>0</v>
      </c>
      <c r="I3429" s="1">
        <v>1.1739999999999999</v>
      </c>
    </row>
    <row r="3430" spans="1:9" x14ac:dyDescent="0.25">
      <c r="A3430" s="1">
        <v>2140160001</v>
      </c>
      <c r="B3430" s="1" t="s">
        <v>1831</v>
      </c>
      <c r="C3430" s="1" t="s">
        <v>139</v>
      </c>
      <c r="D3430" s="1" t="s">
        <v>140</v>
      </c>
      <c r="E3430" s="1">
        <v>23</v>
      </c>
      <c r="F3430" s="1" t="s">
        <v>36</v>
      </c>
      <c r="G3430" s="1">
        <v>23</v>
      </c>
      <c r="H3430" s="3">
        <v>0</v>
      </c>
      <c r="I3430" s="1">
        <v>1.173478</v>
      </c>
    </row>
    <row r="3431" spans="1:9" x14ac:dyDescent="0.25">
      <c r="A3431" s="1">
        <v>2140170002</v>
      </c>
      <c r="B3431" s="1" t="s">
        <v>1832</v>
      </c>
      <c r="C3431" s="1" t="s">
        <v>130</v>
      </c>
      <c r="D3431" s="1" t="s">
        <v>131</v>
      </c>
      <c r="E3431" s="3">
        <v>722</v>
      </c>
      <c r="F3431" s="1" t="s">
        <v>36</v>
      </c>
      <c r="G3431" s="3">
        <v>0</v>
      </c>
      <c r="H3431" s="1">
        <v>0</v>
      </c>
      <c r="I3431" s="1">
        <v>5.9941969999999998</v>
      </c>
    </row>
    <row r="3432" spans="1:9" x14ac:dyDescent="0.25">
      <c r="A3432" s="1">
        <v>2140170003</v>
      </c>
      <c r="B3432" s="1" t="s">
        <v>1833</v>
      </c>
      <c r="C3432" s="1" t="s">
        <v>130</v>
      </c>
      <c r="D3432" s="1" t="s">
        <v>131</v>
      </c>
      <c r="E3432" s="1">
        <v>875</v>
      </c>
      <c r="F3432" s="1" t="s">
        <v>36</v>
      </c>
      <c r="G3432" s="1">
        <v>0</v>
      </c>
      <c r="H3432" s="1">
        <v>0</v>
      </c>
      <c r="I3432" s="1">
        <v>4.1781940000000004</v>
      </c>
    </row>
    <row r="3433" spans="1:9" x14ac:dyDescent="0.25">
      <c r="A3433" s="1">
        <v>2140170005</v>
      </c>
      <c r="B3433" s="1" t="s">
        <v>1834</v>
      </c>
      <c r="C3433" s="1" t="s">
        <v>130</v>
      </c>
      <c r="D3433" s="1" t="s">
        <v>131</v>
      </c>
      <c r="E3433" s="3">
        <v>8</v>
      </c>
      <c r="F3433" s="1" t="s">
        <v>36</v>
      </c>
      <c r="G3433" s="1">
        <v>81</v>
      </c>
      <c r="H3433" s="3">
        <v>0</v>
      </c>
      <c r="I3433" s="1">
        <v>5.5350000000000001</v>
      </c>
    </row>
    <row r="3434" spans="1:9" x14ac:dyDescent="0.25">
      <c r="A3434" s="1">
        <v>2140180002</v>
      </c>
      <c r="B3434" s="1" t="s">
        <v>1835</v>
      </c>
      <c r="C3434" s="1" t="s">
        <v>130</v>
      </c>
      <c r="D3434" s="1" t="s">
        <v>131</v>
      </c>
      <c r="E3434" s="1">
        <v>0</v>
      </c>
      <c r="F3434" s="1" t="s">
        <v>36</v>
      </c>
      <c r="G3434" s="1">
        <v>0</v>
      </c>
      <c r="H3434" s="1">
        <v>2</v>
      </c>
      <c r="I3434" s="1">
        <v>0</v>
      </c>
    </row>
    <row r="3435" spans="1:9" x14ac:dyDescent="0.25">
      <c r="A3435" s="1">
        <v>2140180002</v>
      </c>
      <c r="B3435" s="1" t="s">
        <v>1835</v>
      </c>
      <c r="C3435" s="1" t="s">
        <v>139</v>
      </c>
      <c r="D3435" s="1" t="s">
        <v>140</v>
      </c>
      <c r="E3435" s="1">
        <v>2</v>
      </c>
      <c r="F3435" s="1" t="s">
        <v>36</v>
      </c>
      <c r="G3435" s="1">
        <v>2</v>
      </c>
      <c r="H3435" s="1">
        <v>0</v>
      </c>
      <c r="I3435" s="1">
        <v>3.6150000000000002</v>
      </c>
    </row>
    <row r="3436" spans="1:9" x14ac:dyDescent="0.25">
      <c r="A3436" s="1">
        <v>2140180003</v>
      </c>
      <c r="B3436" s="1" t="s">
        <v>1836</v>
      </c>
      <c r="C3436" s="1" t="s">
        <v>130</v>
      </c>
      <c r="D3436" s="1" t="s">
        <v>131</v>
      </c>
      <c r="E3436" s="3">
        <v>5075</v>
      </c>
      <c r="F3436" s="1" t="s">
        <v>36</v>
      </c>
      <c r="G3436" s="3">
        <v>27</v>
      </c>
      <c r="H3436" s="3">
        <v>2</v>
      </c>
      <c r="I3436" s="1">
        <v>1.502564</v>
      </c>
    </row>
    <row r="3437" spans="1:9" x14ac:dyDescent="0.25">
      <c r="A3437" s="1">
        <v>2140180003</v>
      </c>
      <c r="B3437" s="1" t="s">
        <v>1836</v>
      </c>
      <c r="C3437" s="1" t="s">
        <v>137</v>
      </c>
      <c r="D3437" s="1" t="s">
        <v>138</v>
      </c>
      <c r="E3437" s="1">
        <v>3</v>
      </c>
      <c r="F3437" s="1" t="s">
        <v>36</v>
      </c>
      <c r="G3437" s="1">
        <v>0</v>
      </c>
      <c r="H3437" s="1">
        <v>0</v>
      </c>
      <c r="I3437" s="1">
        <v>1.5</v>
      </c>
    </row>
    <row r="3438" spans="1:9" x14ac:dyDescent="0.25">
      <c r="A3438" s="1">
        <v>2140180003</v>
      </c>
      <c r="B3438" s="1" t="s">
        <v>1836</v>
      </c>
      <c r="C3438" s="1" t="s">
        <v>139</v>
      </c>
      <c r="D3438" s="1" t="s">
        <v>140</v>
      </c>
      <c r="E3438" s="1">
        <v>2</v>
      </c>
      <c r="F3438" s="1" t="s">
        <v>36</v>
      </c>
      <c r="G3438" s="1">
        <v>2</v>
      </c>
      <c r="H3438" s="1">
        <v>0</v>
      </c>
      <c r="I3438" s="1">
        <v>1.5049999999999999</v>
      </c>
    </row>
    <row r="3439" spans="1:9" x14ac:dyDescent="0.25">
      <c r="A3439" s="1">
        <v>2140180004</v>
      </c>
      <c r="B3439" s="1" t="s">
        <v>1837</v>
      </c>
      <c r="C3439" s="1" t="s">
        <v>130</v>
      </c>
      <c r="D3439" s="1" t="s">
        <v>131</v>
      </c>
      <c r="E3439" s="3">
        <v>5557</v>
      </c>
      <c r="F3439" s="1" t="s">
        <v>36</v>
      </c>
      <c r="G3439" s="1">
        <v>27</v>
      </c>
      <c r="H3439" s="3">
        <v>7</v>
      </c>
      <c r="I3439" s="1">
        <v>1.568692</v>
      </c>
    </row>
    <row r="3440" spans="1:9" x14ac:dyDescent="0.25">
      <c r="A3440" s="1">
        <v>2140180004</v>
      </c>
      <c r="B3440" s="1" t="s">
        <v>1837</v>
      </c>
      <c r="C3440" s="1" t="s">
        <v>139</v>
      </c>
      <c r="D3440" s="1" t="s">
        <v>140</v>
      </c>
      <c r="E3440" s="1">
        <v>7</v>
      </c>
      <c r="F3440" s="1" t="s">
        <v>36</v>
      </c>
      <c r="G3440" s="1">
        <v>7</v>
      </c>
      <c r="H3440" s="1">
        <v>0</v>
      </c>
      <c r="I3440" s="1">
        <v>1.5685709999999999</v>
      </c>
    </row>
    <row r="3441" spans="1:9" x14ac:dyDescent="0.25">
      <c r="A3441" s="1">
        <v>2140180016</v>
      </c>
      <c r="B3441" s="1" t="s">
        <v>1838</v>
      </c>
      <c r="C3441" s="1" t="s">
        <v>130</v>
      </c>
      <c r="D3441" s="1" t="s">
        <v>131</v>
      </c>
      <c r="E3441" s="3">
        <v>0</v>
      </c>
      <c r="F3441" s="1" t="s">
        <v>36</v>
      </c>
      <c r="G3441" s="3">
        <v>0</v>
      </c>
      <c r="H3441" s="1">
        <v>5</v>
      </c>
      <c r="I3441" s="1">
        <v>0</v>
      </c>
    </row>
    <row r="3442" spans="1:9" x14ac:dyDescent="0.25">
      <c r="A3442" s="1">
        <v>2140180016</v>
      </c>
      <c r="B3442" s="1" t="s">
        <v>1838</v>
      </c>
      <c r="C3442" s="1" t="s">
        <v>126</v>
      </c>
      <c r="D3442" s="1" t="s">
        <v>127</v>
      </c>
      <c r="E3442" s="3">
        <v>12</v>
      </c>
      <c r="F3442" s="1" t="s">
        <v>36</v>
      </c>
      <c r="G3442" s="1">
        <v>0</v>
      </c>
      <c r="H3442" s="1">
        <v>0</v>
      </c>
      <c r="I3442" s="1">
        <v>1.773333</v>
      </c>
    </row>
    <row r="3443" spans="1:9" x14ac:dyDescent="0.25">
      <c r="A3443" s="1">
        <v>2140180016</v>
      </c>
      <c r="B3443" s="1" t="s">
        <v>1838</v>
      </c>
      <c r="C3443" s="1" t="s">
        <v>139</v>
      </c>
      <c r="D3443" s="1" t="s">
        <v>140</v>
      </c>
      <c r="E3443" s="3">
        <v>5</v>
      </c>
      <c r="F3443" s="1" t="s">
        <v>36</v>
      </c>
      <c r="G3443" s="3">
        <v>5</v>
      </c>
      <c r="H3443" s="3">
        <v>0</v>
      </c>
      <c r="I3443" s="1">
        <v>1.774</v>
      </c>
    </row>
    <row r="3444" spans="1:9" x14ac:dyDescent="0.25">
      <c r="A3444" s="1">
        <v>2140180018</v>
      </c>
      <c r="B3444" s="1" t="s">
        <v>1839</v>
      </c>
      <c r="C3444" s="1" t="s">
        <v>130</v>
      </c>
      <c r="D3444" s="1" t="s">
        <v>131</v>
      </c>
      <c r="E3444" s="3">
        <v>864</v>
      </c>
      <c r="F3444" s="1" t="s">
        <v>36</v>
      </c>
      <c r="G3444" s="1">
        <v>0</v>
      </c>
      <c r="H3444" s="1">
        <v>223</v>
      </c>
      <c r="I3444" s="1">
        <v>1.2973730000000001</v>
      </c>
    </row>
    <row r="3445" spans="1:9" x14ac:dyDescent="0.25">
      <c r="A3445" s="1">
        <v>2140180018</v>
      </c>
      <c r="B3445" s="1" t="s">
        <v>1839</v>
      </c>
      <c r="C3445" s="1" t="s">
        <v>139</v>
      </c>
      <c r="D3445" s="1" t="s">
        <v>140</v>
      </c>
      <c r="E3445" s="3">
        <v>223</v>
      </c>
      <c r="F3445" s="1" t="s">
        <v>36</v>
      </c>
      <c r="G3445" s="3">
        <v>223</v>
      </c>
      <c r="H3445" s="3">
        <v>0</v>
      </c>
      <c r="I3445" s="1">
        <v>1.2973539999999999</v>
      </c>
    </row>
    <row r="3446" spans="1:9" x14ac:dyDescent="0.25">
      <c r="A3446" s="1">
        <v>2140180019</v>
      </c>
      <c r="B3446" s="1" t="s">
        <v>1840</v>
      </c>
      <c r="C3446" s="1" t="s">
        <v>130</v>
      </c>
      <c r="D3446" s="1" t="s">
        <v>131</v>
      </c>
      <c r="E3446" s="3">
        <v>7265</v>
      </c>
      <c r="F3446" s="1" t="s">
        <v>36</v>
      </c>
      <c r="G3446" s="1">
        <v>0</v>
      </c>
      <c r="H3446" s="3">
        <v>7</v>
      </c>
      <c r="I3446" s="1">
        <v>1.601612</v>
      </c>
    </row>
    <row r="3447" spans="1:9" x14ac:dyDescent="0.25">
      <c r="A3447" s="1">
        <v>2140180019</v>
      </c>
      <c r="B3447" s="1" t="s">
        <v>1840</v>
      </c>
      <c r="C3447" s="1" t="s">
        <v>139</v>
      </c>
      <c r="D3447" s="1" t="s">
        <v>140</v>
      </c>
      <c r="E3447" s="1">
        <v>7</v>
      </c>
      <c r="F3447" s="1" t="s">
        <v>36</v>
      </c>
      <c r="G3447" s="1">
        <v>7</v>
      </c>
      <c r="H3447" s="1">
        <v>0</v>
      </c>
      <c r="I3447" s="1">
        <v>1.601429</v>
      </c>
    </row>
    <row r="3448" spans="1:9" x14ac:dyDescent="0.25">
      <c r="A3448" s="1">
        <v>2140190006</v>
      </c>
      <c r="B3448" s="1" t="s">
        <v>1841</v>
      </c>
      <c r="C3448" s="1" t="s">
        <v>130</v>
      </c>
      <c r="D3448" s="1" t="s">
        <v>131</v>
      </c>
      <c r="E3448" s="3">
        <v>243</v>
      </c>
      <c r="F3448" s="1" t="s">
        <v>1015</v>
      </c>
      <c r="G3448" s="3">
        <v>300</v>
      </c>
      <c r="H3448" s="1">
        <v>0</v>
      </c>
      <c r="I3448" s="1">
        <v>0.81115199999999998</v>
      </c>
    </row>
    <row r="3449" spans="1:9" x14ac:dyDescent="0.25">
      <c r="A3449" s="1">
        <v>2140190006</v>
      </c>
      <c r="B3449" s="1" t="s">
        <v>1841</v>
      </c>
      <c r="C3449" s="1" t="s">
        <v>151</v>
      </c>
      <c r="D3449" s="1" t="s">
        <v>152</v>
      </c>
      <c r="E3449" s="3">
        <v>440</v>
      </c>
      <c r="F3449" s="1" t="s">
        <v>1015</v>
      </c>
      <c r="G3449" s="1">
        <v>0</v>
      </c>
      <c r="H3449" s="1">
        <v>0</v>
      </c>
      <c r="I3449" s="1">
        <v>0.81118199999999996</v>
      </c>
    </row>
    <row r="3450" spans="1:9" x14ac:dyDescent="0.25">
      <c r="A3450" s="1">
        <v>2140190007</v>
      </c>
      <c r="B3450" s="1" t="s">
        <v>1842</v>
      </c>
      <c r="C3450" s="1" t="s">
        <v>130</v>
      </c>
      <c r="D3450" s="1" t="s">
        <v>131</v>
      </c>
      <c r="E3450" s="3">
        <v>345</v>
      </c>
      <c r="F3450" s="1" t="s">
        <v>1015</v>
      </c>
      <c r="G3450" s="3">
        <v>220</v>
      </c>
      <c r="H3450" s="3">
        <v>0</v>
      </c>
      <c r="I3450" s="1">
        <v>0.80762299999999998</v>
      </c>
    </row>
    <row r="3451" spans="1:9" x14ac:dyDescent="0.25">
      <c r="A3451" s="1">
        <v>2140190007</v>
      </c>
      <c r="B3451" s="1" t="s">
        <v>1842</v>
      </c>
      <c r="C3451" s="1" t="s">
        <v>151</v>
      </c>
      <c r="D3451" s="1" t="s">
        <v>152</v>
      </c>
      <c r="E3451" s="1">
        <v>320</v>
      </c>
      <c r="F3451" s="1" t="s">
        <v>1015</v>
      </c>
      <c r="G3451" s="1">
        <v>0</v>
      </c>
      <c r="H3451" s="1">
        <v>0</v>
      </c>
      <c r="I3451" s="1">
        <v>0.80762500000000004</v>
      </c>
    </row>
    <row r="3452" spans="1:9" x14ac:dyDescent="0.25">
      <c r="A3452" s="1">
        <v>2140190008</v>
      </c>
      <c r="B3452" s="1" t="s">
        <v>1843</v>
      </c>
      <c r="C3452" s="1" t="s">
        <v>130</v>
      </c>
      <c r="D3452" s="1" t="s">
        <v>131</v>
      </c>
      <c r="E3452" s="1">
        <v>26</v>
      </c>
      <c r="F3452" s="1" t="s">
        <v>1015</v>
      </c>
      <c r="G3452" s="1">
        <v>100</v>
      </c>
      <c r="H3452" s="3">
        <v>0</v>
      </c>
      <c r="I3452" s="1">
        <v>0.80692299999999995</v>
      </c>
    </row>
    <row r="3453" spans="1:9" x14ac:dyDescent="0.25">
      <c r="A3453" s="1">
        <v>2140190008</v>
      </c>
      <c r="B3453" s="1" t="s">
        <v>1843</v>
      </c>
      <c r="C3453" s="1" t="s">
        <v>151</v>
      </c>
      <c r="D3453" s="1" t="s">
        <v>152</v>
      </c>
      <c r="E3453" s="3">
        <v>640</v>
      </c>
      <c r="F3453" s="1" t="s">
        <v>1015</v>
      </c>
      <c r="G3453" s="3">
        <v>0</v>
      </c>
      <c r="H3453" s="3">
        <v>0</v>
      </c>
      <c r="I3453" s="1">
        <v>0.80695300000000003</v>
      </c>
    </row>
    <row r="3454" spans="1:9" x14ac:dyDescent="0.25">
      <c r="A3454" s="1">
        <v>2140190009</v>
      </c>
      <c r="B3454" s="1" t="s">
        <v>1844</v>
      </c>
      <c r="C3454" s="1" t="s">
        <v>130</v>
      </c>
      <c r="D3454" s="1" t="s">
        <v>131</v>
      </c>
      <c r="E3454" s="3">
        <v>90</v>
      </c>
      <c r="F3454" s="1" t="s">
        <v>1015</v>
      </c>
      <c r="G3454" s="1">
        <v>380</v>
      </c>
      <c r="H3454" s="3">
        <v>0</v>
      </c>
      <c r="I3454" s="1">
        <v>0.80566700000000002</v>
      </c>
    </row>
    <row r="3455" spans="1:9" x14ac:dyDescent="0.25">
      <c r="A3455" s="1">
        <v>2140190009</v>
      </c>
      <c r="B3455" s="1" t="s">
        <v>1844</v>
      </c>
      <c r="C3455" s="1" t="s">
        <v>151</v>
      </c>
      <c r="D3455" s="1" t="s">
        <v>152</v>
      </c>
      <c r="E3455" s="1">
        <v>700</v>
      </c>
      <c r="F3455" s="1" t="s">
        <v>1015</v>
      </c>
      <c r="G3455" s="1">
        <v>0</v>
      </c>
      <c r="H3455" s="1">
        <v>0</v>
      </c>
      <c r="I3455" s="1">
        <v>0.80567100000000003</v>
      </c>
    </row>
    <row r="3456" spans="1:9" x14ac:dyDescent="0.25">
      <c r="A3456" s="1">
        <v>2140190010</v>
      </c>
      <c r="B3456" s="1" t="s">
        <v>1845</v>
      </c>
      <c r="C3456" s="1" t="s">
        <v>130</v>
      </c>
      <c r="D3456" s="1" t="s">
        <v>131</v>
      </c>
      <c r="E3456" s="3">
        <v>1613</v>
      </c>
      <c r="F3456" s="1" t="s">
        <v>1015</v>
      </c>
      <c r="G3456" s="3">
        <v>460</v>
      </c>
      <c r="H3456" s="1">
        <v>0</v>
      </c>
      <c r="I3456" s="1">
        <v>0.80198999999999998</v>
      </c>
    </row>
    <row r="3457" spans="1:9" x14ac:dyDescent="0.25">
      <c r="A3457" s="1">
        <v>2140190011</v>
      </c>
      <c r="B3457" s="1" t="s">
        <v>1846</v>
      </c>
      <c r="C3457" s="1" t="s">
        <v>130</v>
      </c>
      <c r="D3457" s="1" t="s">
        <v>131</v>
      </c>
      <c r="E3457" s="3">
        <v>1480</v>
      </c>
      <c r="F3457" s="1" t="s">
        <v>1847</v>
      </c>
      <c r="G3457" s="1">
        <v>960</v>
      </c>
      <c r="H3457" s="1">
        <v>0</v>
      </c>
      <c r="I3457" s="1">
        <v>0.81325700000000001</v>
      </c>
    </row>
    <row r="3458" spans="1:9" x14ac:dyDescent="0.25">
      <c r="A3458" s="1">
        <v>2140190011</v>
      </c>
      <c r="B3458" s="1" t="s">
        <v>1846</v>
      </c>
      <c r="C3458" s="1" t="s">
        <v>151</v>
      </c>
      <c r="D3458" s="1" t="s">
        <v>152</v>
      </c>
      <c r="E3458" s="3">
        <v>1200</v>
      </c>
      <c r="F3458" s="1" t="s">
        <v>1847</v>
      </c>
      <c r="G3458" s="1">
        <v>0</v>
      </c>
      <c r="H3458" s="1">
        <v>0</v>
      </c>
      <c r="I3458" s="1">
        <v>0.886683</v>
      </c>
    </row>
    <row r="3459" spans="1:9" x14ac:dyDescent="0.25">
      <c r="A3459" s="1">
        <v>2140190012</v>
      </c>
      <c r="B3459" s="1" t="s">
        <v>1848</v>
      </c>
      <c r="C3459" s="1" t="s">
        <v>130</v>
      </c>
      <c r="D3459" s="1" t="s">
        <v>131</v>
      </c>
      <c r="E3459" s="3">
        <v>522</v>
      </c>
      <c r="F3459" s="1" t="s">
        <v>1847</v>
      </c>
      <c r="G3459" s="1">
        <v>640</v>
      </c>
      <c r="H3459" s="3">
        <v>0</v>
      </c>
      <c r="I3459" s="1">
        <v>0.72611099999999995</v>
      </c>
    </row>
    <row r="3460" spans="1:9" x14ac:dyDescent="0.25">
      <c r="A3460" s="1">
        <v>2140190012</v>
      </c>
      <c r="B3460" s="1" t="s">
        <v>1848</v>
      </c>
      <c r="C3460" s="1" t="s">
        <v>151</v>
      </c>
      <c r="D3460" s="1" t="s">
        <v>152</v>
      </c>
      <c r="E3460" s="3">
        <v>1180</v>
      </c>
      <c r="F3460" s="1" t="s">
        <v>1847</v>
      </c>
      <c r="G3460" s="1">
        <v>0</v>
      </c>
      <c r="H3460" s="1">
        <v>0</v>
      </c>
      <c r="I3460" s="1">
        <v>0.83524600000000004</v>
      </c>
    </row>
    <row r="3461" spans="1:9" x14ac:dyDescent="0.25">
      <c r="A3461" s="1">
        <v>2140190013</v>
      </c>
      <c r="B3461" s="1" t="s">
        <v>1849</v>
      </c>
      <c r="C3461" s="1" t="s">
        <v>130</v>
      </c>
      <c r="D3461" s="1" t="s">
        <v>131</v>
      </c>
      <c r="E3461" s="1">
        <v>831</v>
      </c>
      <c r="F3461" s="1" t="s">
        <v>1847</v>
      </c>
      <c r="G3461" s="3">
        <v>740</v>
      </c>
      <c r="H3461" s="3">
        <v>0</v>
      </c>
      <c r="I3461" s="1">
        <v>0.82068600000000003</v>
      </c>
    </row>
    <row r="3462" spans="1:9" x14ac:dyDescent="0.25">
      <c r="A3462" s="1">
        <v>2140190013</v>
      </c>
      <c r="B3462" s="1" t="s">
        <v>1849</v>
      </c>
      <c r="C3462" s="1" t="s">
        <v>151</v>
      </c>
      <c r="D3462" s="1" t="s">
        <v>152</v>
      </c>
      <c r="E3462" s="1">
        <v>820</v>
      </c>
      <c r="F3462" s="1" t="s">
        <v>1847</v>
      </c>
      <c r="G3462" s="3">
        <v>0</v>
      </c>
      <c r="H3462" s="1">
        <v>0</v>
      </c>
      <c r="I3462" s="1">
        <v>0.83421999999999996</v>
      </c>
    </row>
    <row r="3463" spans="1:9" x14ac:dyDescent="0.25">
      <c r="A3463" s="1">
        <v>2140190014</v>
      </c>
      <c r="B3463" s="1" t="s">
        <v>1850</v>
      </c>
      <c r="C3463" s="1" t="s">
        <v>130</v>
      </c>
      <c r="D3463" s="1" t="s">
        <v>131</v>
      </c>
      <c r="E3463" s="1">
        <v>773</v>
      </c>
      <c r="F3463" s="1" t="s">
        <v>1847</v>
      </c>
      <c r="G3463" s="3">
        <v>640</v>
      </c>
      <c r="H3463" s="1">
        <v>0</v>
      </c>
      <c r="I3463" s="1">
        <v>0.70734799999999998</v>
      </c>
    </row>
    <row r="3464" spans="1:9" x14ac:dyDescent="0.25">
      <c r="A3464" s="1">
        <v>2140190014</v>
      </c>
      <c r="B3464" s="1" t="s">
        <v>1850</v>
      </c>
      <c r="C3464" s="1" t="s">
        <v>151</v>
      </c>
      <c r="D3464" s="1" t="s">
        <v>152</v>
      </c>
      <c r="E3464" s="3">
        <v>1000</v>
      </c>
      <c r="F3464" s="1" t="s">
        <v>1847</v>
      </c>
      <c r="G3464" s="1">
        <v>0</v>
      </c>
      <c r="H3464" s="3">
        <v>0</v>
      </c>
      <c r="I3464" s="1">
        <v>0.82732000000000006</v>
      </c>
    </row>
    <row r="3465" spans="1:9" x14ac:dyDescent="0.25">
      <c r="A3465" s="1">
        <v>2140190015</v>
      </c>
      <c r="B3465" s="1" t="s">
        <v>1851</v>
      </c>
      <c r="C3465" s="1" t="s">
        <v>130</v>
      </c>
      <c r="D3465" s="1" t="s">
        <v>131</v>
      </c>
      <c r="E3465" s="3">
        <v>517</v>
      </c>
      <c r="F3465" s="1" t="s">
        <v>1847</v>
      </c>
      <c r="G3465" s="1">
        <v>0</v>
      </c>
      <c r="H3465" s="1">
        <v>0</v>
      </c>
      <c r="I3465" s="1">
        <v>1.033366</v>
      </c>
    </row>
    <row r="3466" spans="1:9" x14ac:dyDescent="0.25">
      <c r="A3466" s="1">
        <v>2140190016</v>
      </c>
      <c r="B3466" s="1" t="s">
        <v>1852</v>
      </c>
      <c r="C3466" s="1" t="s">
        <v>130</v>
      </c>
      <c r="D3466" s="1" t="s">
        <v>131</v>
      </c>
      <c r="E3466" s="1">
        <v>206</v>
      </c>
      <c r="F3466" s="1" t="s">
        <v>1015</v>
      </c>
      <c r="G3466" s="3">
        <v>0</v>
      </c>
      <c r="H3466" s="1">
        <v>0</v>
      </c>
      <c r="I3466" s="1">
        <v>0.744757</v>
      </c>
    </row>
    <row r="3467" spans="1:9" x14ac:dyDescent="0.25">
      <c r="A3467" s="1">
        <v>2140190017</v>
      </c>
      <c r="B3467" s="1" t="s">
        <v>1853</v>
      </c>
      <c r="C3467" s="1" t="s">
        <v>130</v>
      </c>
      <c r="D3467" s="1" t="s">
        <v>131</v>
      </c>
      <c r="E3467" s="3">
        <v>219</v>
      </c>
      <c r="F3467" s="1" t="s">
        <v>1015</v>
      </c>
      <c r="G3467" s="3">
        <v>3720</v>
      </c>
      <c r="H3467" s="3">
        <v>40</v>
      </c>
      <c r="I3467" s="1">
        <v>0.75821899999999998</v>
      </c>
    </row>
    <row r="3468" spans="1:9" x14ac:dyDescent="0.25">
      <c r="A3468" s="1">
        <v>2140190017</v>
      </c>
      <c r="B3468" s="1" t="s">
        <v>1853</v>
      </c>
      <c r="C3468" s="1" t="s">
        <v>151</v>
      </c>
      <c r="D3468" s="1" t="s">
        <v>152</v>
      </c>
      <c r="E3468" s="1">
        <v>0</v>
      </c>
      <c r="F3468" s="1" t="s">
        <v>1015</v>
      </c>
      <c r="G3468" s="1">
        <v>40</v>
      </c>
      <c r="H3468" s="1">
        <v>0</v>
      </c>
      <c r="I3468" s="1">
        <v>1.2000379999999999</v>
      </c>
    </row>
    <row r="3469" spans="1:9" x14ac:dyDescent="0.25">
      <c r="A3469" s="1">
        <v>2140190018</v>
      </c>
      <c r="B3469" s="1" t="s">
        <v>1854</v>
      </c>
      <c r="C3469" s="1" t="s">
        <v>130</v>
      </c>
      <c r="D3469" s="1" t="s">
        <v>131</v>
      </c>
      <c r="E3469" s="3">
        <v>8045</v>
      </c>
      <c r="F3469" s="1" t="s">
        <v>1015</v>
      </c>
      <c r="G3469" s="3">
        <v>2440</v>
      </c>
      <c r="H3469" s="1">
        <v>0</v>
      </c>
      <c r="I3469" s="1">
        <v>0.96081799999999995</v>
      </c>
    </row>
    <row r="3470" spans="1:9" x14ac:dyDescent="0.25">
      <c r="A3470" s="1">
        <v>2140190018</v>
      </c>
      <c r="B3470" s="1" t="s">
        <v>1854</v>
      </c>
      <c r="C3470" s="1" t="s">
        <v>126</v>
      </c>
      <c r="D3470" s="1" t="s">
        <v>127</v>
      </c>
      <c r="E3470" s="1">
        <v>263</v>
      </c>
      <c r="F3470" s="1" t="s">
        <v>1015</v>
      </c>
      <c r="G3470" s="1">
        <v>0</v>
      </c>
      <c r="H3470" s="1">
        <v>0</v>
      </c>
      <c r="I3470" s="1">
        <v>1.0076430000000001</v>
      </c>
    </row>
    <row r="3471" spans="1:9" x14ac:dyDescent="0.25">
      <c r="A3471" s="1">
        <v>2140190018</v>
      </c>
      <c r="B3471" s="1" t="s">
        <v>1854</v>
      </c>
      <c r="C3471" s="1" t="s">
        <v>151</v>
      </c>
      <c r="D3471" s="1" t="s">
        <v>152</v>
      </c>
      <c r="E3471" s="3">
        <v>2384</v>
      </c>
      <c r="F3471" s="1" t="s">
        <v>1015</v>
      </c>
      <c r="G3471" s="3">
        <v>0</v>
      </c>
      <c r="H3471" s="3">
        <v>0</v>
      </c>
      <c r="I3471" s="1">
        <v>0.99390900000000004</v>
      </c>
    </row>
    <row r="3472" spans="1:9" x14ac:dyDescent="0.25">
      <c r="A3472" s="1">
        <v>2140190019</v>
      </c>
      <c r="B3472" s="1" t="s">
        <v>1855</v>
      </c>
      <c r="C3472" s="1" t="s">
        <v>130</v>
      </c>
      <c r="D3472" s="1" t="s">
        <v>131</v>
      </c>
      <c r="E3472" s="3">
        <v>1301</v>
      </c>
      <c r="F3472" s="1" t="s">
        <v>1015</v>
      </c>
      <c r="G3472" s="1">
        <v>0</v>
      </c>
      <c r="H3472" s="1">
        <v>0</v>
      </c>
      <c r="I3472" s="1">
        <v>1.1966410000000001</v>
      </c>
    </row>
    <row r="3473" spans="1:9" x14ac:dyDescent="0.25">
      <c r="A3473" s="1">
        <v>2140190020</v>
      </c>
      <c r="B3473" s="1" t="s">
        <v>1856</v>
      </c>
      <c r="C3473" s="1" t="s">
        <v>130</v>
      </c>
      <c r="D3473" s="1" t="s">
        <v>131</v>
      </c>
      <c r="E3473" s="1">
        <v>997</v>
      </c>
      <c r="F3473" s="1" t="s">
        <v>1015</v>
      </c>
      <c r="G3473" s="3">
        <v>0</v>
      </c>
      <c r="H3473" s="1">
        <v>0</v>
      </c>
      <c r="I3473" s="1">
        <v>1.1996789999999999</v>
      </c>
    </row>
    <row r="3474" spans="1:9" x14ac:dyDescent="0.25">
      <c r="A3474" s="1">
        <v>2140190022</v>
      </c>
      <c r="B3474" s="1" t="s">
        <v>1857</v>
      </c>
      <c r="C3474" s="1" t="s">
        <v>130</v>
      </c>
      <c r="D3474" s="1" t="s">
        <v>131</v>
      </c>
      <c r="E3474" s="1">
        <v>936</v>
      </c>
      <c r="F3474" s="1" t="s">
        <v>1015</v>
      </c>
      <c r="G3474" s="1">
        <v>0</v>
      </c>
      <c r="H3474" s="1">
        <v>0</v>
      </c>
      <c r="I3474" s="1">
        <v>1.0718700000000001</v>
      </c>
    </row>
    <row r="3475" spans="1:9" x14ac:dyDescent="0.25">
      <c r="A3475" s="1">
        <v>2140190023</v>
      </c>
      <c r="B3475" s="1" t="s">
        <v>1858</v>
      </c>
      <c r="C3475" s="1" t="s">
        <v>130</v>
      </c>
      <c r="D3475" s="1" t="s">
        <v>131</v>
      </c>
      <c r="E3475" s="3">
        <v>805</v>
      </c>
      <c r="F3475" s="1" t="s">
        <v>1015</v>
      </c>
      <c r="G3475" s="3">
        <v>0</v>
      </c>
      <c r="H3475" s="3">
        <v>0</v>
      </c>
      <c r="I3475" s="1">
        <v>1.0581609999999999</v>
      </c>
    </row>
    <row r="3476" spans="1:9" x14ac:dyDescent="0.25">
      <c r="A3476" s="1">
        <v>2140190025</v>
      </c>
      <c r="B3476" s="1" t="s">
        <v>1859</v>
      </c>
      <c r="C3476" s="1" t="s">
        <v>130</v>
      </c>
      <c r="D3476" s="1" t="s">
        <v>131</v>
      </c>
      <c r="E3476" s="1">
        <v>892</v>
      </c>
      <c r="F3476" s="1" t="s">
        <v>1015</v>
      </c>
      <c r="G3476" s="1">
        <v>0</v>
      </c>
      <c r="H3476" s="1">
        <v>0</v>
      </c>
      <c r="I3476" s="1">
        <v>1.1087670000000001</v>
      </c>
    </row>
    <row r="3477" spans="1:9" x14ac:dyDescent="0.25">
      <c r="A3477" s="1">
        <v>2140190027</v>
      </c>
      <c r="B3477" s="1" t="s">
        <v>1860</v>
      </c>
      <c r="C3477" s="1" t="s">
        <v>130</v>
      </c>
      <c r="D3477" s="1" t="s">
        <v>131</v>
      </c>
      <c r="E3477" s="3">
        <v>1117</v>
      </c>
      <c r="F3477" s="1" t="s">
        <v>1015</v>
      </c>
      <c r="G3477" s="3">
        <v>0</v>
      </c>
      <c r="H3477" s="1">
        <v>0</v>
      </c>
      <c r="I3477" s="1">
        <v>1.177816</v>
      </c>
    </row>
    <row r="3478" spans="1:9" x14ac:dyDescent="0.25">
      <c r="A3478" s="1">
        <v>2140190028</v>
      </c>
      <c r="B3478" s="1" t="s">
        <v>1861</v>
      </c>
      <c r="C3478" s="1" t="s">
        <v>130</v>
      </c>
      <c r="D3478" s="1" t="s">
        <v>131</v>
      </c>
      <c r="E3478" s="1">
        <v>718</v>
      </c>
      <c r="F3478" s="1" t="s">
        <v>1015</v>
      </c>
      <c r="G3478" s="1">
        <v>0</v>
      </c>
      <c r="H3478" s="1">
        <v>0</v>
      </c>
      <c r="I3478" s="1">
        <v>1.084624</v>
      </c>
    </row>
    <row r="3479" spans="1:9" x14ac:dyDescent="0.25">
      <c r="A3479" s="1">
        <v>2140190029</v>
      </c>
      <c r="B3479" s="1" t="s">
        <v>1862</v>
      </c>
      <c r="C3479" s="1" t="s">
        <v>130</v>
      </c>
      <c r="D3479" s="1" t="s">
        <v>131</v>
      </c>
      <c r="E3479" s="3">
        <v>975</v>
      </c>
      <c r="F3479" s="1" t="s">
        <v>1015</v>
      </c>
      <c r="G3479" s="1">
        <v>0</v>
      </c>
      <c r="H3479" s="3">
        <v>0</v>
      </c>
      <c r="I3479" s="1">
        <v>1.111067</v>
      </c>
    </row>
    <row r="3480" spans="1:9" x14ac:dyDescent="0.25">
      <c r="A3480" s="1">
        <v>2140190030</v>
      </c>
      <c r="B3480" s="1" t="s">
        <v>1863</v>
      </c>
      <c r="C3480" s="1" t="s">
        <v>130</v>
      </c>
      <c r="D3480" s="1" t="s">
        <v>131</v>
      </c>
      <c r="E3480" s="3">
        <v>11226</v>
      </c>
      <c r="F3480" s="1" t="s">
        <v>1864</v>
      </c>
      <c r="G3480" s="3">
        <v>1920</v>
      </c>
      <c r="H3480" s="3">
        <v>1040</v>
      </c>
      <c r="I3480" s="1">
        <v>0.83002900000000002</v>
      </c>
    </row>
    <row r="3481" spans="1:9" x14ac:dyDescent="0.25">
      <c r="A3481" s="1">
        <v>2140190030</v>
      </c>
      <c r="B3481" s="1" t="s">
        <v>1863</v>
      </c>
      <c r="C3481" s="1" t="s">
        <v>151</v>
      </c>
      <c r="D3481" s="1" t="s">
        <v>152</v>
      </c>
      <c r="E3481" s="3">
        <v>0</v>
      </c>
      <c r="F3481" s="1" t="s">
        <v>1864</v>
      </c>
      <c r="G3481" s="3">
        <v>1040</v>
      </c>
      <c r="H3481" s="1">
        <v>0</v>
      </c>
      <c r="I3481" s="1">
        <v>0.83</v>
      </c>
    </row>
    <row r="3482" spans="1:9" x14ac:dyDescent="0.25">
      <c r="A3482" s="1">
        <v>2140190031</v>
      </c>
      <c r="B3482" s="1" t="s">
        <v>1865</v>
      </c>
      <c r="C3482" s="1" t="s">
        <v>130</v>
      </c>
      <c r="D3482" s="1" t="s">
        <v>131</v>
      </c>
      <c r="E3482" s="3">
        <v>4318</v>
      </c>
      <c r="F3482" s="1" t="s">
        <v>36</v>
      </c>
      <c r="G3482" s="1">
        <v>0</v>
      </c>
      <c r="H3482" s="1">
        <v>0</v>
      </c>
      <c r="I3482" s="1">
        <v>1.0996870000000001</v>
      </c>
    </row>
    <row r="3483" spans="1:9" x14ac:dyDescent="0.25">
      <c r="A3483" s="1">
        <v>2140190031</v>
      </c>
      <c r="B3483" s="1" t="s">
        <v>1865</v>
      </c>
      <c r="C3483" s="1" t="s">
        <v>151</v>
      </c>
      <c r="D3483" s="1" t="s">
        <v>152</v>
      </c>
      <c r="E3483" s="3">
        <v>2639</v>
      </c>
      <c r="F3483" s="1" t="s">
        <v>36</v>
      </c>
      <c r="G3483" s="3">
        <v>0</v>
      </c>
      <c r="H3483" s="3">
        <v>0</v>
      </c>
      <c r="I3483" s="1">
        <v>1.0994280000000001</v>
      </c>
    </row>
    <row r="3484" spans="1:9" x14ac:dyDescent="0.25">
      <c r="A3484" s="1">
        <v>2140210001</v>
      </c>
      <c r="B3484" s="1" t="s">
        <v>1866</v>
      </c>
      <c r="C3484" s="1" t="s">
        <v>157</v>
      </c>
      <c r="D3484" s="1" t="s">
        <v>158</v>
      </c>
      <c r="E3484" s="1">
        <v>582</v>
      </c>
      <c r="F3484" s="1" t="s">
        <v>36</v>
      </c>
      <c r="G3484" s="1">
        <v>0</v>
      </c>
      <c r="H3484" s="1">
        <v>0</v>
      </c>
      <c r="I3484" s="1">
        <v>0.249278</v>
      </c>
    </row>
    <row r="3485" spans="1:9" x14ac:dyDescent="0.25">
      <c r="A3485" s="1">
        <v>2140210005</v>
      </c>
      <c r="B3485" s="1" t="s">
        <v>1867</v>
      </c>
      <c r="C3485" s="1" t="s">
        <v>130</v>
      </c>
      <c r="D3485" s="1" t="s">
        <v>131</v>
      </c>
      <c r="E3485" s="1">
        <v>207</v>
      </c>
      <c r="F3485" s="1" t="s">
        <v>36</v>
      </c>
      <c r="G3485" s="3">
        <v>0</v>
      </c>
      <c r="H3485" s="3">
        <v>1422</v>
      </c>
      <c r="I3485" s="1">
        <v>0.22144900000000001</v>
      </c>
    </row>
    <row r="3486" spans="1:9" x14ac:dyDescent="0.25">
      <c r="A3486" s="1">
        <v>2140210005</v>
      </c>
      <c r="B3486" s="1" t="s">
        <v>1867</v>
      </c>
      <c r="C3486" s="1" t="s">
        <v>126</v>
      </c>
      <c r="D3486" s="1" t="s">
        <v>127</v>
      </c>
      <c r="E3486" s="1">
        <v>975</v>
      </c>
      <c r="F3486" s="1" t="s">
        <v>36</v>
      </c>
      <c r="G3486" s="1">
        <v>0</v>
      </c>
      <c r="H3486" s="1">
        <v>0</v>
      </c>
      <c r="I3486" s="1">
        <v>0.22147700000000001</v>
      </c>
    </row>
    <row r="3487" spans="1:9" x14ac:dyDescent="0.25">
      <c r="A3487" s="1">
        <v>2140210005</v>
      </c>
      <c r="B3487" s="1" t="s">
        <v>1867</v>
      </c>
      <c r="C3487" s="1" t="s">
        <v>139</v>
      </c>
      <c r="D3487" s="1" t="s">
        <v>140</v>
      </c>
      <c r="E3487" s="3">
        <v>1422</v>
      </c>
      <c r="F3487" s="1" t="s">
        <v>36</v>
      </c>
      <c r="G3487" s="3">
        <v>1422</v>
      </c>
      <c r="H3487" s="3">
        <v>0</v>
      </c>
      <c r="I3487" s="1">
        <v>0.22147</v>
      </c>
    </row>
    <row r="3488" spans="1:9" x14ac:dyDescent="0.25">
      <c r="A3488" s="1">
        <v>2140210006</v>
      </c>
      <c r="B3488" s="1" t="s">
        <v>1868</v>
      </c>
      <c r="C3488" s="1" t="s">
        <v>126</v>
      </c>
      <c r="D3488" s="1" t="s">
        <v>127</v>
      </c>
      <c r="E3488" s="3">
        <v>515</v>
      </c>
      <c r="F3488" s="1" t="s">
        <v>36</v>
      </c>
      <c r="G3488" s="3">
        <v>0</v>
      </c>
      <c r="H3488" s="1">
        <v>0</v>
      </c>
      <c r="I3488" s="1">
        <v>0.129631</v>
      </c>
    </row>
    <row r="3489" spans="1:9" x14ac:dyDescent="0.25">
      <c r="A3489" s="1">
        <v>2140210007</v>
      </c>
      <c r="B3489" s="1" t="s">
        <v>1869</v>
      </c>
      <c r="C3489" s="1" t="s">
        <v>126</v>
      </c>
      <c r="D3489" s="1" t="s">
        <v>127</v>
      </c>
      <c r="E3489" s="3">
        <v>1366</v>
      </c>
      <c r="F3489" s="1" t="s">
        <v>36</v>
      </c>
      <c r="G3489" s="1">
        <v>0</v>
      </c>
      <c r="H3489" s="3">
        <v>0</v>
      </c>
      <c r="I3489" s="1">
        <v>0.150059</v>
      </c>
    </row>
    <row r="3490" spans="1:9" x14ac:dyDescent="0.25">
      <c r="A3490" s="1">
        <v>2140210007</v>
      </c>
      <c r="B3490" s="1" t="s">
        <v>1869</v>
      </c>
      <c r="C3490" s="1" t="s">
        <v>157</v>
      </c>
      <c r="D3490" s="1" t="s">
        <v>158</v>
      </c>
      <c r="E3490" s="1">
        <v>756</v>
      </c>
      <c r="F3490" s="1" t="s">
        <v>36</v>
      </c>
      <c r="G3490" s="1">
        <v>0</v>
      </c>
      <c r="H3490" s="3">
        <v>0</v>
      </c>
      <c r="I3490" s="1">
        <v>0.15005299999999999</v>
      </c>
    </row>
    <row r="3491" spans="1:9" x14ac:dyDescent="0.25">
      <c r="A3491" s="1">
        <v>2140210008</v>
      </c>
      <c r="B3491" s="1" t="s">
        <v>1870</v>
      </c>
      <c r="C3491" s="1" t="s">
        <v>126</v>
      </c>
      <c r="D3491" s="1" t="s">
        <v>127</v>
      </c>
      <c r="E3491" s="1">
        <v>315</v>
      </c>
      <c r="F3491" s="1" t="s">
        <v>36</v>
      </c>
      <c r="G3491" s="3">
        <v>0</v>
      </c>
      <c r="H3491" s="1">
        <v>0</v>
      </c>
      <c r="I3491" s="1">
        <v>0.18771399999999999</v>
      </c>
    </row>
    <row r="3492" spans="1:9" x14ac:dyDescent="0.25">
      <c r="A3492" s="1">
        <v>2140210008</v>
      </c>
      <c r="B3492" s="1" t="s">
        <v>1870</v>
      </c>
      <c r="C3492" s="1" t="s">
        <v>157</v>
      </c>
      <c r="D3492" s="1" t="s">
        <v>158</v>
      </c>
      <c r="E3492" s="3">
        <v>46</v>
      </c>
      <c r="F3492" s="1" t="s">
        <v>36</v>
      </c>
      <c r="G3492" s="3">
        <v>0</v>
      </c>
      <c r="H3492" s="1">
        <v>0</v>
      </c>
      <c r="I3492" s="1">
        <v>0.187609</v>
      </c>
    </row>
    <row r="3493" spans="1:9" x14ac:dyDescent="0.25">
      <c r="A3493" s="1">
        <v>2140210009</v>
      </c>
      <c r="B3493" s="1" t="s">
        <v>1871</v>
      </c>
      <c r="C3493" s="1" t="s">
        <v>126</v>
      </c>
      <c r="D3493" s="1" t="s">
        <v>127</v>
      </c>
      <c r="E3493" s="3">
        <v>1349</v>
      </c>
      <c r="F3493" s="1" t="s">
        <v>36</v>
      </c>
      <c r="G3493" s="1">
        <v>0</v>
      </c>
      <c r="H3493" s="1">
        <v>0</v>
      </c>
      <c r="I3493" s="1">
        <v>0.26399600000000001</v>
      </c>
    </row>
    <row r="3494" spans="1:9" x14ac:dyDescent="0.25">
      <c r="A3494" s="1">
        <v>2140210009</v>
      </c>
      <c r="B3494" s="1" t="s">
        <v>1871</v>
      </c>
      <c r="C3494" s="1" t="s">
        <v>157</v>
      </c>
      <c r="D3494" s="1" t="s">
        <v>158</v>
      </c>
      <c r="E3494" s="3">
        <v>25000</v>
      </c>
      <c r="F3494" s="1" t="s">
        <v>36</v>
      </c>
      <c r="G3494" s="3">
        <v>0</v>
      </c>
      <c r="H3494" s="3">
        <v>0</v>
      </c>
      <c r="I3494" s="1">
        <v>0.26399499999999998</v>
      </c>
    </row>
    <row r="3495" spans="1:9" x14ac:dyDescent="0.25">
      <c r="A3495" s="1">
        <v>2140210019</v>
      </c>
      <c r="B3495" s="1" t="s">
        <v>1872</v>
      </c>
      <c r="C3495" s="1" t="s">
        <v>126</v>
      </c>
      <c r="D3495" s="1" t="s">
        <v>127</v>
      </c>
      <c r="E3495" s="1">
        <v>144</v>
      </c>
      <c r="F3495" s="1" t="s">
        <v>36</v>
      </c>
      <c r="G3495" s="1">
        <v>0</v>
      </c>
      <c r="H3495" s="1">
        <v>0</v>
      </c>
      <c r="I3495" s="1">
        <v>0.21222199999999999</v>
      </c>
    </row>
    <row r="3496" spans="1:9" x14ac:dyDescent="0.25">
      <c r="A3496" s="1">
        <v>2140210019</v>
      </c>
      <c r="B3496" s="1" t="s">
        <v>1872</v>
      </c>
      <c r="C3496" s="1" t="s">
        <v>157</v>
      </c>
      <c r="D3496" s="1" t="s">
        <v>158</v>
      </c>
      <c r="E3496" s="3">
        <v>47627</v>
      </c>
      <c r="F3496" s="1" t="s">
        <v>36</v>
      </c>
      <c r="G3496" s="3">
        <v>0</v>
      </c>
      <c r="H3496" s="1">
        <v>0</v>
      </c>
      <c r="I3496" s="1">
        <v>0.21221899999999999</v>
      </c>
    </row>
    <row r="3497" spans="1:9" x14ac:dyDescent="0.25">
      <c r="A3497" s="1">
        <v>2140210020</v>
      </c>
      <c r="B3497" s="1" t="s">
        <v>1873</v>
      </c>
      <c r="C3497" s="1" t="s">
        <v>126</v>
      </c>
      <c r="D3497" s="1" t="s">
        <v>127</v>
      </c>
      <c r="E3497" s="3">
        <v>8578</v>
      </c>
      <c r="F3497" s="1" t="s">
        <v>36</v>
      </c>
      <c r="G3497" s="1">
        <v>0</v>
      </c>
      <c r="H3497" s="1">
        <v>0</v>
      </c>
      <c r="I3497" s="1">
        <v>9.6877000000000005E-2</v>
      </c>
    </row>
    <row r="3498" spans="1:9" x14ac:dyDescent="0.25">
      <c r="A3498" s="1">
        <v>2140210020</v>
      </c>
      <c r="B3498" s="1" t="s">
        <v>1873</v>
      </c>
      <c r="C3498" s="1" t="s">
        <v>157</v>
      </c>
      <c r="D3498" s="1" t="s">
        <v>158</v>
      </c>
      <c r="E3498" s="3">
        <v>83268</v>
      </c>
      <c r="F3498" s="1" t="s">
        <v>36</v>
      </c>
      <c r="G3498" s="1">
        <v>0</v>
      </c>
      <c r="H3498" s="3">
        <v>0</v>
      </c>
      <c r="I3498" s="1">
        <v>9.6877000000000005E-2</v>
      </c>
    </row>
    <row r="3499" spans="1:9" x14ac:dyDescent="0.25">
      <c r="A3499" s="1">
        <v>2140230006</v>
      </c>
      <c r="B3499" s="1" t="s">
        <v>1874</v>
      </c>
      <c r="C3499" s="1" t="s">
        <v>130</v>
      </c>
      <c r="D3499" s="1" t="s">
        <v>131</v>
      </c>
      <c r="E3499" s="1">
        <v>376</v>
      </c>
      <c r="F3499" s="1" t="s">
        <v>36</v>
      </c>
      <c r="G3499" s="1">
        <v>0</v>
      </c>
      <c r="H3499" s="1">
        <v>0</v>
      </c>
      <c r="I3499" s="1">
        <v>1.415505</v>
      </c>
    </row>
    <row r="3500" spans="1:9" x14ac:dyDescent="0.25">
      <c r="A3500" s="1">
        <v>2140230007</v>
      </c>
      <c r="B3500" s="1" t="s">
        <v>1875</v>
      </c>
      <c r="C3500" s="1" t="s">
        <v>130</v>
      </c>
      <c r="D3500" s="1" t="s">
        <v>131</v>
      </c>
      <c r="E3500" s="1">
        <v>554</v>
      </c>
      <c r="F3500" s="1" t="s">
        <v>36</v>
      </c>
      <c r="G3500" s="3">
        <v>0</v>
      </c>
      <c r="H3500" s="1">
        <v>0</v>
      </c>
      <c r="I3500" s="1">
        <v>1.6816249999999999</v>
      </c>
    </row>
    <row r="3501" spans="1:9" x14ac:dyDescent="0.25">
      <c r="A3501" s="1">
        <v>2140230009</v>
      </c>
      <c r="B3501" s="1" t="s">
        <v>1876</v>
      </c>
      <c r="C3501" s="1" t="s">
        <v>130</v>
      </c>
      <c r="D3501" s="1" t="s">
        <v>131</v>
      </c>
      <c r="E3501" s="3">
        <v>11295</v>
      </c>
      <c r="F3501" s="1" t="s">
        <v>36</v>
      </c>
      <c r="G3501" s="3">
        <v>402</v>
      </c>
      <c r="H3501" s="1">
        <v>0</v>
      </c>
      <c r="I3501" s="1">
        <v>2.107116</v>
      </c>
    </row>
    <row r="3502" spans="1:9" x14ac:dyDescent="0.25">
      <c r="A3502" s="1">
        <v>2140230009</v>
      </c>
      <c r="B3502" s="1" t="s">
        <v>1876</v>
      </c>
      <c r="C3502" s="1" t="s">
        <v>137</v>
      </c>
      <c r="D3502" s="1" t="s">
        <v>138</v>
      </c>
      <c r="E3502" s="1">
        <v>4</v>
      </c>
      <c r="F3502" s="1" t="s">
        <v>36</v>
      </c>
      <c r="G3502" s="1">
        <v>0</v>
      </c>
      <c r="H3502" s="1">
        <v>0</v>
      </c>
      <c r="I3502" s="1">
        <v>2.11</v>
      </c>
    </row>
    <row r="3503" spans="1:9" x14ac:dyDescent="0.25">
      <c r="A3503" s="1">
        <v>2140230009</v>
      </c>
      <c r="B3503" s="1" t="s">
        <v>1876</v>
      </c>
      <c r="C3503" s="1" t="s">
        <v>151</v>
      </c>
      <c r="D3503" s="1" t="s">
        <v>152</v>
      </c>
      <c r="E3503" s="3">
        <v>356</v>
      </c>
      <c r="F3503" s="1" t="s">
        <v>36</v>
      </c>
      <c r="G3503" s="1">
        <v>0</v>
      </c>
      <c r="H3503" s="3">
        <v>0</v>
      </c>
      <c r="I3503" s="1">
        <v>2.1071070000000001</v>
      </c>
    </row>
    <row r="3504" spans="1:9" x14ac:dyDescent="0.25">
      <c r="A3504" s="1">
        <v>2140230010</v>
      </c>
      <c r="B3504" s="1" t="s">
        <v>1877</v>
      </c>
      <c r="C3504" s="1" t="s">
        <v>130</v>
      </c>
      <c r="D3504" s="1" t="s">
        <v>131</v>
      </c>
      <c r="E3504" s="1">
        <v>527</v>
      </c>
      <c r="F3504" s="1" t="s">
        <v>36</v>
      </c>
      <c r="G3504" s="3">
        <v>0</v>
      </c>
      <c r="H3504" s="3">
        <v>0</v>
      </c>
      <c r="I3504" s="1">
        <v>2.660361</v>
      </c>
    </row>
    <row r="3505" spans="1:9" x14ac:dyDescent="0.25">
      <c r="A3505" s="1">
        <v>2140230010</v>
      </c>
      <c r="B3505" s="1" t="s">
        <v>1877</v>
      </c>
      <c r="C3505" s="1" t="s">
        <v>151</v>
      </c>
      <c r="D3505" s="1" t="s">
        <v>152</v>
      </c>
      <c r="E3505" s="1">
        <v>200</v>
      </c>
      <c r="F3505" s="1" t="s">
        <v>36</v>
      </c>
      <c r="G3505" s="1">
        <v>0</v>
      </c>
      <c r="H3505" s="1">
        <v>0</v>
      </c>
      <c r="I3505" s="1">
        <v>2.6599499999999998</v>
      </c>
    </row>
    <row r="3506" spans="1:9" x14ac:dyDescent="0.25">
      <c r="A3506" s="1">
        <v>2140230011</v>
      </c>
      <c r="B3506" s="1" t="s">
        <v>1878</v>
      </c>
      <c r="C3506" s="1" t="s">
        <v>130</v>
      </c>
      <c r="D3506" s="1" t="s">
        <v>131</v>
      </c>
      <c r="E3506" s="3">
        <v>2083</v>
      </c>
      <c r="F3506" s="1" t="s">
        <v>36</v>
      </c>
      <c r="G3506" s="1">
        <v>2</v>
      </c>
      <c r="H3506" s="1">
        <v>0</v>
      </c>
      <c r="I3506" s="1">
        <v>2.3598270000000001</v>
      </c>
    </row>
    <row r="3507" spans="1:9" x14ac:dyDescent="0.25">
      <c r="A3507" s="1">
        <v>2140240008</v>
      </c>
      <c r="B3507" s="1" t="s">
        <v>1879</v>
      </c>
      <c r="C3507" s="1" t="s">
        <v>130</v>
      </c>
      <c r="D3507" s="1" t="s">
        <v>131</v>
      </c>
      <c r="E3507" s="3">
        <v>59</v>
      </c>
      <c r="F3507" s="1" t="s">
        <v>36</v>
      </c>
      <c r="G3507" s="3">
        <v>0</v>
      </c>
      <c r="H3507" s="3">
        <v>0</v>
      </c>
      <c r="I3507" s="1">
        <v>2.2564410000000001</v>
      </c>
    </row>
    <row r="3508" spans="1:9" x14ac:dyDescent="0.25">
      <c r="A3508" s="1">
        <v>2140250005</v>
      </c>
      <c r="B3508" s="1" t="s">
        <v>1880</v>
      </c>
      <c r="C3508" s="1" t="s">
        <v>130</v>
      </c>
      <c r="D3508" s="1" t="s">
        <v>131</v>
      </c>
      <c r="E3508" s="3">
        <v>0</v>
      </c>
      <c r="F3508" s="1" t="s">
        <v>36</v>
      </c>
      <c r="G3508" s="3">
        <v>0</v>
      </c>
      <c r="H3508" s="3">
        <v>12500</v>
      </c>
      <c r="I3508" s="1">
        <v>0</v>
      </c>
    </row>
    <row r="3509" spans="1:9" x14ac:dyDescent="0.25">
      <c r="A3509" s="1">
        <v>2140250005</v>
      </c>
      <c r="B3509" s="1" t="s">
        <v>1880</v>
      </c>
      <c r="C3509" s="1" t="s">
        <v>126</v>
      </c>
      <c r="D3509" s="1" t="s">
        <v>127</v>
      </c>
      <c r="E3509" s="3">
        <v>12500</v>
      </c>
      <c r="F3509" s="1" t="s">
        <v>36</v>
      </c>
      <c r="G3509" s="1">
        <v>0</v>
      </c>
      <c r="H3509" s="3">
        <v>0</v>
      </c>
      <c r="I3509" s="1">
        <v>9.4414999999999999E-2</v>
      </c>
    </row>
    <row r="3510" spans="1:9" x14ac:dyDescent="0.25">
      <c r="A3510" s="1">
        <v>2140250005</v>
      </c>
      <c r="B3510" s="1" t="s">
        <v>1880</v>
      </c>
      <c r="C3510" s="1" t="s">
        <v>139</v>
      </c>
      <c r="D3510" s="1" t="s">
        <v>140</v>
      </c>
      <c r="E3510" s="3">
        <v>12500</v>
      </c>
      <c r="F3510" s="1" t="s">
        <v>36</v>
      </c>
      <c r="G3510" s="3">
        <v>12500</v>
      </c>
      <c r="H3510" s="1">
        <v>0</v>
      </c>
      <c r="I3510" s="1">
        <v>9.4414999999999999E-2</v>
      </c>
    </row>
    <row r="3511" spans="1:9" x14ac:dyDescent="0.25">
      <c r="A3511" s="1">
        <v>2140250008</v>
      </c>
      <c r="B3511" s="1" t="s">
        <v>1881</v>
      </c>
      <c r="C3511" s="1" t="s">
        <v>130</v>
      </c>
      <c r="D3511" s="1" t="s">
        <v>131</v>
      </c>
      <c r="E3511" s="1">
        <v>415</v>
      </c>
      <c r="F3511" s="1" t="s">
        <v>36</v>
      </c>
      <c r="G3511" s="1">
        <v>0</v>
      </c>
      <c r="H3511" s="1">
        <v>400</v>
      </c>
      <c r="I3511" s="1">
        <v>9.6530000000000005E-2</v>
      </c>
    </row>
    <row r="3512" spans="1:9" x14ac:dyDescent="0.25">
      <c r="A3512" s="1">
        <v>2140250008</v>
      </c>
      <c r="B3512" s="1" t="s">
        <v>1881</v>
      </c>
      <c r="C3512" s="1" t="s">
        <v>126</v>
      </c>
      <c r="D3512" s="1" t="s">
        <v>127</v>
      </c>
      <c r="E3512" s="1">
        <v>1</v>
      </c>
      <c r="F3512" s="1" t="s">
        <v>36</v>
      </c>
      <c r="G3512" s="1">
        <v>0</v>
      </c>
      <c r="H3512" s="1">
        <v>0</v>
      </c>
      <c r="I3512" s="1">
        <v>0.1</v>
      </c>
    </row>
    <row r="3513" spans="1:9" x14ac:dyDescent="0.25">
      <c r="A3513" s="1">
        <v>2140250008</v>
      </c>
      <c r="B3513" s="1" t="s">
        <v>1881</v>
      </c>
      <c r="C3513" s="1" t="s">
        <v>139</v>
      </c>
      <c r="D3513" s="1" t="s">
        <v>140</v>
      </c>
      <c r="E3513" s="1">
        <v>400</v>
      </c>
      <c r="F3513" s="1" t="s">
        <v>36</v>
      </c>
      <c r="G3513" s="3">
        <v>400</v>
      </c>
      <c r="H3513" s="3">
        <v>0</v>
      </c>
      <c r="I3513" s="1">
        <v>9.6525E-2</v>
      </c>
    </row>
    <row r="3514" spans="1:9" x14ac:dyDescent="0.25">
      <c r="A3514" s="1">
        <v>2140250010</v>
      </c>
      <c r="B3514" s="1" t="s">
        <v>1882</v>
      </c>
      <c r="C3514" s="1" t="s">
        <v>130</v>
      </c>
      <c r="D3514" s="1" t="s">
        <v>131</v>
      </c>
      <c r="E3514" s="3">
        <v>2180</v>
      </c>
      <c r="F3514" s="1" t="s">
        <v>36</v>
      </c>
      <c r="G3514" s="1">
        <v>0</v>
      </c>
      <c r="H3514" s="1">
        <v>0</v>
      </c>
      <c r="I3514" s="1">
        <v>9.5953999999999998E-2</v>
      </c>
    </row>
    <row r="3515" spans="1:9" x14ac:dyDescent="0.25">
      <c r="A3515" s="1">
        <v>2140250010</v>
      </c>
      <c r="B3515" s="1" t="s">
        <v>1882</v>
      </c>
      <c r="C3515" s="1" t="s">
        <v>126</v>
      </c>
      <c r="D3515" s="1" t="s">
        <v>127</v>
      </c>
      <c r="E3515" s="3">
        <v>1000</v>
      </c>
      <c r="F3515" s="1" t="s">
        <v>36</v>
      </c>
      <c r="G3515" s="1">
        <v>0</v>
      </c>
      <c r="H3515" s="3">
        <v>0</v>
      </c>
      <c r="I3515" s="1">
        <v>9.5949999999999994E-2</v>
      </c>
    </row>
    <row r="3516" spans="1:9" x14ac:dyDescent="0.25">
      <c r="A3516" s="1">
        <v>2140250011</v>
      </c>
      <c r="B3516" s="1" t="s">
        <v>1883</v>
      </c>
      <c r="C3516" s="1" t="s">
        <v>130</v>
      </c>
      <c r="D3516" s="1" t="s">
        <v>131</v>
      </c>
      <c r="E3516" s="1">
        <v>0</v>
      </c>
      <c r="F3516" s="1" t="s">
        <v>36</v>
      </c>
      <c r="G3516" s="3">
        <v>0</v>
      </c>
      <c r="H3516" s="3">
        <v>1000</v>
      </c>
      <c r="I3516" s="1">
        <v>0</v>
      </c>
    </row>
    <row r="3517" spans="1:9" x14ac:dyDescent="0.25">
      <c r="A3517" s="1">
        <v>2140250011</v>
      </c>
      <c r="B3517" s="1" t="s">
        <v>1883</v>
      </c>
      <c r="C3517" s="1" t="s">
        <v>126</v>
      </c>
      <c r="D3517" s="1" t="s">
        <v>127</v>
      </c>
      <c r="E3517" s="3">
        <v>1000</v>
      </c>
      <c r="F3517" s="1" t="s">
        <v>36</v>
      </c>
      <c r="G3517" s="3">
        <v>0</v>
      </c>
      <c r="H3517" s="3">
        <v>0</v>
      </c>
      <c r="I3517" s="1">
        <v>9.7909999999999997E-2</v>
      </c>
    </row>
    <row r="3518" spans="1:9" x14ac:dyDescent="0.25">
      <c r="A3518" s="1">
        <v>2140250011</v>
      </c>
      <c r="B3518" s="1" t="s">
        <v>1883</v>
      </c>
      <c r="C3518" s="1" t="s">
        <v>139</v>
      </c>
      <c r="D3518" s="1" t="s">
        <v>140</v>
      </c>
      <c r="E3518" s="3">
        <v>1000</v>
      </c>
      <c r="F3518" s="1" t="s">
        <v>36</v>
      </c>
      <c r="G3518" s="3">
        <v>1000</v>
      </c>
      <c r="H3518" s="1">
        <v>0</v>
      </c>
      <c r="I3518" s="1">
        <v>9.7909999999999997E-2</v>
      </c>
    </row>
    <row r="3519" spans="1:9" x14ac:dyDescent="0.25">
      <c r="A3519" s="1">
        <v>2140250013</v>
      </c>
      <c r="B3519" s="1" t="s">
        <v>1884</v>
      </c>
      <c r="C3519" s="1" t="s">
        <v>130</v>
      </c>
      <c r="D3519" s="1" t="s">
        <v>131</v>
      </c>
      <c r="E3519" s="1">
        <v>0</v>
      </c>
      <c r="F3519" s="1" t="s">
        <v>36</v>
      </c>
      <c r="G3519" s="3">
        <v>0</v>
      </c>
      <c r="H3519" s="3">
        <v>1500</v>
      </c>
      <c r="I3519" s="1">
        <v>0</v>
      </c>
    </row>
    <row r="3520" spans="1:9" x14ac:dyDescent="0.25">
      <c r="A3520" s="1">
        <v>2140250013</v>
      </c>
      <c r="B3520" s="1" t="s">
        <v>1884</v>
      </c>
      <c r="C3520" s="1" t="s">
        <v>126</v>
      </c>
      <c r="D3520" s="1" t="s">
        <v>127</v>
      </c>
      <c r="E3520" s="3">
        <v>1500</v>
      </c>
      <c r="F3520" s="1" t="s">
        <v>36</v>
      </c>
      <c r="G3520" s="1">
        <v>0</v>
      </c>
      <c r="H3520" s="3">
        <v>0</v>
      </c>
      <c r="I3520" s="1">
        <v>8.838E-2</v>
      </c>
    </row>
    <row r="3521" spans="1:9" x14ac:dyDescent="0.25">
      <c r="A3521" s="1">
        <v>2140250013</v>
      </c>
      <c r="B3521" s="1" t="s">
        <v>1884</v>
      </c>
      <c r="C3521" s="1" t="s">
        <v>139</v>
      </c>
      <c r="D3521" s="1" t="s">
        <v>140</v>
      </c>
      <c r="E3521" s="3">
        <v>1500</v>
      </c>
      <c r="F3521" s="1" t="s">
        <v>36</v>
      </c>
      <c r="G3521" s="3">
        <v>1500</v>
      </c>
      <c r="H3521" s="1">
        <v>0</v>
      </c>
      <c r="I3521" s="1">
        <v>8.838E-2</v>
      </c>
    </row>
    <row r="3522" spans="1:9" x14ac:dyDescent="0.25">
      <c r="A3522" s="1">
        <v>2140250019</v>
      </c>
      <c r="B3522" s="1" t="s">
        <v>1885</v>
      </c>
      <c r="C3522" s="1" t="s">
        <v>130</v>
      </c>
      <c r="D3522" s="1" t="s">
        <v>131</v>
      </c>
      <c r="E3522" s="3">
        <v>10954</v>
      </c>
      <c r="F3522" s="1" t="s">
        <v>1864</v>
      </c>
      <c r="G3522" s="3">
        <v>2201</v>
      </c>
      <c r="H3522" s="1">
        <v>0</v>
      </c>
      <c r="I3522" s="1">
        <v>0.84433000000000002</v>
      </c>
    </row>
    <row r="3523" spans="1:9" x14ac:dyDescent="0.25">
      <c r="A3523" s="1">
        <v>2140250019</v>
      </c>
      <c r="B3523" s="1" t="s">
        <v>1885</v>
      </c>
      <c r="C3523" s="1" t="s">
        <v>126</v>
      </c>
      <c r="D3523" s="1" t="s">
        <v>127</v>
      </c>
      <c r="E3523" s="1">
        <v>851</v>
      </c>
      <c r="F3523" s="1" t="s">
        <v>1864</v>
      </c>
      <c r="G3523" s="1">
        <v>0</v>
      </c>
      <c r="H3523" s="3">
        <v>0</v>
      </c>
      <c r="I3523" s="1">
        <v>0.65814300000000003</v>
      </c>
    </row>
    <row r="3524" spans="1:9" x14ac:dyDescent="0.25">
      <c r="A3524" s="1">
        <v>2140250019</v>
      </c>
      <c r="B3524" s="1" t="s">
        <v>1885</v>
      </c>
      <c r="C3524" s="1" t="s">
        <v>151</v>
      </c>
      <c r="D3524" s="1" t="s">
        <v>152</v>
      </c>
      <c r="E3524" s="3">
        <v>1234</v>
      </c>
      <c r="F3524" s="1" t="s">
        <v>1864</v>
      </c>
      <c r="G3524" s="1">
        <v>0</v>
      </c>
      <c r="H3524" s="1">
        <v>100</v>
      </c>
      <c r="I3524" s="1">
        <v>0.85576200000000002</v>
      </c>
    </row>
    <row r="3525" spans="1:9" x14ac:dyDescent="0.25">
      <c r="A3525" s="1">
        <v>2140250020</v>
      </c>
      <c r="B3525" s="1" t="s">
        <v>1886</v>
      </c>
      <c r="C3525" s="1" t="s">
        <v>130</v>
      </c>
      <c r="D3525" s="1" t="s">
        <v>131</v>
      </c>
      <c r="E3525" s="3">
        <v>69</v>
      </c>
      <c r="F3525" s="1" t="s">
        <v>1864</v>
      </c>
      <c r="G3525" s="3">
        <v>451</v>
      </c>
      <c r="H3525" s="1">
        <v>0</v>
      </c>
      <c r="I3525" s="1">
        <v>0.68101400000000001</v>
      </c>
    </row>
    <row r="3526" spans="1:9" x14ac:dyDescent="0.25">
      <c r="A3526" s="1">
        <v>2140250020</v>
      </c>
      <c r="B3526" s="1" t="s">
        <v>1886</v>
      </c>
      <c r="C3526" s="1" t="s">
        <v>126</v>
      </c>
      <c r="D3526" s="1" t="s">
        <v>127</v>
      </c>
      <c r="E3526" s="1">
        <v>143</v>
      </c>
      <c r="F3526" s="1" t="s">
        <v>1864</v>
      </c>
      <c r="G3526" s="3">
        <v>0</v>
      </c>
      <c r="H3526" s="1">
        <v>0</v>
      </c>
      <c r="I3526" s="1">
        <v>0.63636400000000004</v>
      </c>
    </row>
    <row r="3527" spans="1:9" x14ac:dyDescent="0.25">
      <c r="A3527" s="1">
        <v>2140250020</v>
      </c>
      <c r="B3527" s="1" t="s">
        <v>1886</v>
      </c>
      <c r="C3527" s="1" t="s">
        <v>151</v>
      </c>
      <c r="D3527" s="1" t="s">
        <v>152</v>
      </c>
      <c r="E3527" s="3">
        <v>1082</v>
      </c>
      <c r="F3527" s="1" t="s">
        <v>1864</v>
      </c>
      <c r="G3527" s="1">
        <v>0</v>
      </c>
      <c r="H3527" s="1">
        <v>0</v>
      </c>
      <c r="I3527" s="1">
        <v>0.68098899999999996</v>
      </c>
    </row>
    <row r="3528" spans="1:9" x14ac:dyDescent="0.25">
      <c r="A3528" s="1">
        <v>2140250021</v>
      </c>
      <c r="B3528" s="1" t="s">
        <v>1887</v>
      </c>
      <c r="C3528" s="1" t="s">
        <v>130</v>
      </c>
      <c r="D3528" s="1" t="s">
        <v>131</v>
      </c>
      <c r="E3528" s="3">
        <v>10471</v>
      </c>
      <c r="F3528" s="1" t="s">
        <v>1864</v>
      </c>
      <c r="G3528" s="3">
        <v>1652</v>
      </c>
      <c r="H3528" s="1">
        <v>0</v>
      </c>
      <c r="I3528" s="1">
        <v>0.71122799999999997</v>
      </c>
    </row>
    <row r="3529" spans="1:9" x14ac:dyDescent="0.25">
      <c r="A3529" s="1">
        <v>2140250021</v>
      </c>
      <c r="B3529" s="1" t="s">
        <v>1887</v>
      </c>
      <c r="C3529" s="1" t="s">
        <v>126</v>
      </c>
      <c r="D3529" s="1" t="s">
        <v>127</v>
      </c>
      <c r="E3529" s="3">
        <v>2326</v>
      </c>
      <c r="F3529" s="1" t="s">
        <v>1864</v>
      </c>
      <c r="G3529" s="1">
        <v>0</v>
      </c>
      <c r="H3529" s="1">
        <v>0</v>
      </c>
      <c r="I3529" s="1">
        <v>0.64836199999999999</v>
      </c>
    </row>
    <row r="3530" spans="1:9" x14ac:dyDescent="0.25">
      <c r="A3530" s="1">
        <v>2140250021</v>
      </c>
      <c r="B3530" s="1" t="s">
        <v>1887</v>
      </c>
      <c r="C3530" s="1" t="s">
        <v>151</v>
      </c>
      <c r="D3530" s="1" t="s">
        <v>152</v>
      </c>
      <c r="E3530" s="3">
        <v>1995</v>
      </c>
      <c r="F3530" s="1" t="s">
        <v>1864</v>
      </c>
      <c r="G3530" s="1">
        <v>0</v>
      </c>
      <c r="H3530" s="1">
        <v>0</v>
      </c>
      <c r="I3530" s="1">
        <v>0.71125799999999995</v>
      </c>
    </row>
    <row r="3531" spans="1:9" x14ac:dyDescent="0.25">
      <c r="A3531" s="1">
        <v>2140250022</v>
      </c>
      <c r="B3531" s="1" t="s">
        <v>1888</v>
      </c>
      <c r="C3531" s="1" t="s">
        <v>130</v>
      </c>
      <c r="D3531" s="1" t="s">
        <v>131</v>
      </c>
      <c r="E3531" s="3">
        <v>0</v>
      </c>
      <c r="F3531" s="1" t="s">
        <v>36</v>
      </c>
      <c r="G3531" s="1">
        <v>0</v>
      </c>
      <c r="H3531" s="3">
        <v>2000</v>
      </c>
      <c r="I3531" s="1">
        <v>0</v>
      </c>
    </row>
    <row r="3532" spans="1:9" x14ac:dyDescent="0.25">
      <c r="A3532" s="1">
        <v>2140250022</v>
      </c>
      <c r="B3532" s="1" t="s">
        <v>1888</v>
      </c>
      <c r="C3532" s="1" t="s">
        <v>126</v>
      </c>
      <c r="D3532" s="1" t="s">
        <v>127</v>
      </c>
      <c r="E3532" s="3">
        <v>2000</v>
      </c>
      <c r="F3532" s="1" t="s">
        <v>36</v>
      </c>
      <c r="G3532" s="1">
        <v>0</v>
      </c>
      <c r="H3532" s="1">
        <v>0</v>
      </c>
      <c r="I3532" s="1">
        <v>0.13733000000000001</v>
      </c>
    </row>
    <row r="3533" spans="1:9" x14ac:dyDescent="0.25">
      <c r="A3533" s="1">
        <v>2140250022</v>
      </c>
      <c r="B3533" s="1" t="s">
        <v>1888</v>
      </c>
      <c r="C3533" s="1" t="s">
        <v>139</v>
      </c>
      <c r="D3533" s="1" t="s">
        <v>140</v>
      </c>
      <c r="E3533" s="3">
        <v>2000</v>
      </c>
      <c r="F3533" s="1" t="s">
        <v>36</v>
      </c>
      <c r="G3533" s="3">
        <v>2000</v>
      </c>
      <c r="H3533" s="1">
        <v>0</v>
      </c>
      <c r="I3533" s="1">
        <v>0.13733000000000001</v>
      </c>
    </row>
    <row r="3534" spans="1:9" x14ac:dyDescent="0.25">
      <c r="A3534" s="1">
        <v>2140250026</v>
      </c>
      <c r="B3534" s="1" t="s">
        <v>1889</v>
      </c>
      <c r="C3534" s="1" t="s">
        <v>130</v>
      </c>
      <c r="D3534" s="1" t="s">
        <v>131</v>
      </c>
      <c r="E3534" s="1">
        <v>0</v>
      </c>
      <c r="F3534" s="1" t="s">
        <v>36</v>
      </c>
      <c r="G3534" s="1">
        <v>0</v>
      </c>
      <c r="H3534" s="3">
        <v>1500</v>
      </c>
      <c r="I3534" s="1">
        <v>0</v>
      </c>
    </row>
    <row r="3535" spans="1:9" x14ac:dyDescent="0.25">
      <c r="A3535" s="1">
        <v>2140250026</v>
      </c>
      <c r="B3535" s="1" t="s">
        <v>1889</v>
      </c>
      <c r="C3535" s="1" t="s">
        <v>126</v>
      </c>
      <c r="D3535" s="1" t="s">
        <v>127</v>
      </c>
      <c r="E3535" s="3">
        <v>1500</v>
      </c>
      <c r="F3535" s="1" t="s">
        <v>36</v>
      </c>
      <c r="G3535" s="1">
        <v>0</v>
      </c>
      <c r="H3535" s="1">
        <v>0</v>
      </c>
      <c r="I3535" s="1">
        <v>8.8427000000000006E-2</v>
      </c>
    </row>
    <row r="3536" spans="1:9" x14ac:dyDescent="0.25">
      <c r="A3536" s="1">
        <v>2140250026</v>
      </c>
      <c r="B3536" s="1" t="s">
        <v>1889</v>
      </c>
      <c r="C3536" s="1" t="s">
        <v>139</v>
      </c>
      <c r="D3536" s="1" t="s">
        <v>140</v>
      </c>
      <c r="E3536" s="3">
        <v>1500</v>
      </c>
      <c r="F3536" s="1" t="s">
        <v>36</v>
      </c>
      <c r="G3536" s="3">
        <v>1500</v>
      </c>
      <c r="H3536" s="1">
        <v>0</v>
      </c>
      <c r="I3536" s="1">
        <v>8.8427000000000006E-2</v>
      </c>
    </row>
    <row r="3537" spans="1:9" x14ac:dyDescent="0.25">
      <c r="A3537" s="1">
        <v>2140250027</v>
      </c>
      <c r="B3537" s="1" t="s">
        <v>1890</v>
      </c>
      <c r="C3537" s="1" t="s">
        <v>130</v>
      </c>
      <c r="D3537" s="1" t="s">
        <v>131</v>
      </c>
      <c r="E3537" s="3">
        <v>0</v>
      </c>
      <c r="F3537" s="1" t="s">
        <v>36</v>
      </c>
      <c r="G3537" s="1">
        <v>0</v>
      </c>
      <c r="H3537" s="3">
        <v>21000</v>
      </c>
      <c r="I3537" s="1">
        <v>0</v>
      </c>
    </row>
    <row r="3538" spans="1:9" x14ac:dyDescent="0.25">
      <c r="A3538" s="1">
        <v>2140250027</v>
      </c>
      <c r="B3538" s="1" t="s">
        <v>1890</v>
      </c>
      <c r="C3538" s="1" t="s">
        <v>126</v>
      </c>
      <c r="D3538" s="1" t="s">
        <v>127</v>
      </c>
      <c r="E3538" s="3">
        <v>21000</v>
      </c>
      <c r="F3538" s="1" t="s">
        <v>36</v>
      </c>
      <c r="G3538" s="1">
        <v>0</v>
      </c>
      <c r="H3538" s="1">
        <v>0</v>
      </c>
      <c r="I3538" s="1">
        <v>8.6527999999999994E-2</v>
      </c>
    </row>
    <row r="3539" spans="1:9" x14ac:dyDescent="0.25">
      <c r="A3539" s="1">
        <v>2140250027</v>
      </c>
      <c r="B3539" s="1" t="s">
        <v>1890</v>
      </c>
      <c r="C3539" s="1" t="s">
        <v>139</v>
      </c>
      <c r="D3539" s="1" t="s">
        <v>140</v>
      </c>
      <c r="E3539" s="3">
        <v>21000</v>
      </c>
      <c r="F3539" s="1" t="s">
        <v>36</v>
      </c>
      <c r="G3539" s="3">
        <v>21000</v>
      </c>
      <c r="H3539" s="1">
        <v>0</v>
      </c>
      <c r="I3539" s="1">
        <v>8.6527999999999994E-2</v>
      </c>
    </row>
    <row r="3540" spans="1:9" x14ac:dyDescent="0.25">
      <c r="A3540" s="1">
        <v>2140250028</v>
      </c>
      <c r="B3540" s="1" t="s">
        <v>1891</v>
      </c>
      <c r="C3540" s="1" t="s">
        <v>130</v>
      </c>
      <c r="D3540" s="1" t="s">
        <v>131</v>
      </c>
      <c r="E3540" s="3">
        <v>7</v>
      </c>
      <c r="F3540" s="1" t="s">
        <v>36</v>
      </c>
      <c r="G3540" s="1">
        <v>0</v>
      </c>
      <c r="H3540" s="1">
        <v>0</v>
      </c>
      <c r="I3540" s="1">
        <v>8.5713999999999999E-2</v>
      </c>
    </row>
    <row r="3541" spans="1:9" x14ac:dyDescent="0.25">
      <c r="A3541" s="1">
        <v>2140250029</v>
      </c>
      <c r="B3541" s="1" t="s">
        <v>1892</v>
      </c>
      <c r="C3541" s="1" t="s">
        <v>130</v>
      </c>
      <c r="D3541" s="1" t="s">
        <v>131</v>
      </c>
      <c r="E3541" s="1">
        <v>0</v>
      </c>
      <c r="F3541" s="1" t="s">
        <v>1893</v>
      </c>
      <c r="G3541" s="1">
        <v>0</v>
      </c>
      <c r="H3541" s="3">
        <v>8</v>
      </c>
      <c r="I3541" s="1">
        <v>0</v>
      </c>
    </row>
    <row r="3542" spans="1:9" x14ac:dyDescent="0.25">
      <c r="A3542" s="1">
        <v>2140250029</v>
      </c>
      <c r="B3542" s="1" t="s">
        <v>1892</v>
      </c>
      <c r="C3542" s="1" t="s">
        <v>126</v>
      </c>
      <c r="D3542" s="1" t="s">
        <v>127</v>
      </c>
      <c r="E3542" s="3">
        <v>8</v>
      </c>
      <c r="F3542" s="1" t="s">
        <v>1893</v>
      </c>
      <c r="G3542" s="1">
        <v>0</v>
      </c>
      <c r="H3542" s="1">
        <v>0</v>
      </c>
      <c r="I3542" s="1">
        <v>58.134999999999998</v>
      </c>
    </row>
    <row r="3543" spans="1:9" x14ac:dyDescent="0.25">
      <c r="A3543" s="1">
        <v>2140250029</v>
      </c>
      <c r="B3543" s="1" t="s">
        <v>1892</v>
      </c>
      <c r="C3543" s="1" t="s">
        <v>139</v>
      </c>
      <c r="D3543" s="1" t="s">
        <v>140</v>
      </c>
      <c r="E3543" s="3">
        <v>8</v>
      </c>
      <c r="F3543" s="1" t="s">
        <v>1893</v>
      </c>
      <c r="G3543" s="3">
        <v>8</v>
      </c>
      <c r="H3543" s="1">
        <v>0</v>
      </c>
      <c r="I3543" s="1">
        <v>58.134999999999998</v>
      </c>
    </row>
    <row r="3544" spans="1:9" x14ac:dyDescent="0.25">
      <c r="A3544" s="1">
        <v>2140250030</v>
      </c>
      <c r="B3544" s="1" t="s">
        <v>1894</v>
      </c>
      <c r="C3544" s="1" t="s">
        <v>130</v>
      </c>
      <c r="D3544" s="1" t="s">
        <v>131</v>
      </c>
      <c r="E3544" s="1">
        <v>4.96</v>
      </c>
      <c r="F3544" s="1" t="s">
        <v>1893</v>
      </c>
      <c r="G3544" s="1">
        <v>0</v>
      </c>
      <c r="H3544" s="3">
        <v>0</v>
      </c>
      <c r="I3544" s="1">
        <v>63.826613000000002</v>
      </c>
    </row>
    <row r="3545" spans="1:9" x14ac:dyDescent="0.25">
      <c r="A3545" s="1">
        <v>2140250030</v>
      </c>
      <c r="B3545" s="1" t="s">
        <v>1894</v>
      </c>
      <c r="C3545" s="1" t="s">
        <v>126</v>
      </c>
      <c r="D3545" s="1" t="s">
        <v>127</v>
      </c>
      <c r="E3545" s="1">
        <v>4</v>
      </c>
      <c r="F3545" s="1" t="s">
        <v>1893</v>
      </c>
      <c r="G3545" s="1">
        <v>0</v>
      </c>
      <c r="H3545" s="1">
        <v>0</v>
      </c>
      <c r="I3545" s="1">
        <v>63.825000000000003</v>
      </c>
    </row>
    <row r="3546" spans="1:9" x14ac:dyDescent="0.25">
      <c r="A3546" s="1">
        <v>2140260002</v>
      </c>
      <c r="B3546" s="1" t="s">
        <v>1895</v>
      </c>
      <c r="C3546" s="1" t="s">
        <v>130</v>
      </c>
      <c r="D3546" s="1" t="s">
        <v>131</v>
      </c>
      <c r="E3546" s="3">
        <v>0</v>
      </c>
      <c r="F3546" s="1" t="s">
        <v>36</v>
      </c>
      <c r="G3546" s="1">
        <v>50</v>
      </c>
      <c r="H3546" s="1">
        <v>0</v>
      </c>
      <c r="I3546" s="1">
        <v>0</v>
      </c>
    </row>
    <row r="3547" spans="1:9" x14ac:dyDescent="0.25">
      <c r="A3547" s="1">
        <v>2140260002</v>
      </c>
      <c r="B3547" s="1" t="s">
        <v>1895</v>
      </c>
      <c r="C3547" s="1" t="s">
        <v>137</v>
      </c>
      <c r="D3547" s="1" t="s">
        <v>138</v>
      </c>
      <c r="E3547" s="1">
        <v>0</v>
      </c>
      <c r="F3547" s="1" t="s">
        <v>36</v>
      </c>
      <c r="G3547" s="1">
        <v>0</v>
      </c>
      <c r="H3547" s="1">
        <v>50</v>
      </c>
      <c r="I3547" s="1">
        <v>0</v>
      </c>
    </row>
    <row r="3548" spans="1:9" x14ac:dyDescent="0.25">
      <c r="A3548" s="1">
        <v>2140260005</v>
      </c>
      <c r="B3548" s="1" t="s">
        <v>1896</v>
      </c>
      <c r="C3548" s="1" t="s">
        <v>130</v>
      </c>
      <c r="D3548" s="1" t="s">
        <v>131</v>
      </c>
      <c r="E3548" s="1">
        <v>2</v>
      </c>
      <c r="F3548" s="1" t="s">
        <v>36</v>
      </c>
      <c r="G3548" s="1">
        <v>0</v>
      </c>
      <c r="H3548" s="3">
        <v>0</v>
      </c>
      <c r="I3548" s="1">
        <v>2.3149999999999999</v>
      </c>
    </row>
    <row r="3549" spans="1:9" x14ac:dyDescent="0.25">
      <c r="A3549" s="1">
        <v>2140260010</v>
      </c>
      <c r="B3549" s="1" t="s">
        <v>1897</v>
      </c>
      <c r="C3549" s="1" t="s">
        <v>130</v>
      </c>
      <c r="D3549" s="1" t="s">
        <v>131</v>
      </c>
      <c r="E3549" s="3">
        <v>8</v>
      </c>
      <c r="F3549" s="1" t="s">
        <v>36</v>
      </c>
      <c r="G3549" s="3">
        <v>0</v>
      </c>
      <c r="H3549" s="1">
        <v>0</v>
      </c>
      <c r="I3549" s="1">
        <v>1.7350000000000001</v>
      </c>
    </row>
    <row r="3550" spans="1:9" x14ac:dyDescent="0.25">
      <c r="A3550" s="1">
        <v>2140260013</v>
      </c>
      <c r="B3550" s="1" t="s">
        <v>1898</v>
      </c>
      <c r="C3550" s="1" t="s">
        <v>130</v>
      </c>
      <c r="D3550" s="1" t="s">
        <v>131</v>
      </c>
      <c r="E3550" s="3">
        <v>6</v>
      </c>
      <c r="F3550" s="1" t="s">
        <v>36</v>
      </c>
      <c r="G3550" s="1">
        <v>0</v>
      </c>
      <c r="H3550" s="1">
        <v>0</v>
      </c>
      <c r="I3550" s="1">
        <v>2.37</v>
      </c>
    </row>
    <row r="3551" spans="1:9" x14ac:dyDescent="0.25">
      <c r="A3551" s="1">
        <v>2140260013</v>
      </c>
      <c r="B3551" s="1" t="s">
        <v>1898</v>
      </c>
      <c r="C3551" s="1" t="s">
        <v>126</v>
      </c>
      <c r="D3551" s="1" t="s">
        <v>127</v>
      </c>
      <c r="E3551" s="1">
        <v>2</v>
      </c>
      <c r="F3551" s="1" t="s">
        <v>36</v>
      </c>
      <c r="G3551" s="1">
        <v>0</v>
      </c>
      <c r="H3551" s="1">
        <v>0</v>
      </c>
      <c r="I3551" s="1">
        <v>2.37</v>
      </c>
    </row>
    <row r="3552" spans="1:9" x14ac:dyDescent="0.25">
      <c r="A3552" s="1">
        <v>2140260015</v>
      </c>
      <c r="B3552" s="1" t="s">
        <v>1899</v>
      </c>
      <c r="C3552" s="1" t="s">
        <v>130</v>
      </c>
      <c r="D3552" s="1" t="s">
        <v>131</v>
      </c>
      <c r="E3552" s="3">
        <v>13</v>
      </c>
      <c r="F3552" s="1" t="s">
        <v>36</v>
      </c>
      <c r="G3552" s="1">
        <v>0</v>
      </c>
      <c r="H3552" s="1">
        <v>0</v>
      </c>
      <c r="I3552" s="1">
        <v>3.0953849999999998</v>
      </c>
    </row>
    <row r="3553" spans="1:9" x14ac:dyDescent="0.25">
      <c r="A3553" s="1">
        <v>2140260015</v>
      </c>
      <c r="B3553" s="1" t="s">
        <v>1899</v>
      </c>
      <c r="C3553" s="1" t="s">
        <v>126</v>
      </c>
      <c r="D3553" s="1" t="s">
        <v>127</v>
      </c>
      <c r="E3553" s="3">
        <v>3</v>
      </c>
      <c r="F3553" s="1" t="s">
        <v>36</v>
      </c>
      <c r="G3553" s="3">
        <v>0</v>
      </c>
      <c r="H3553" s="1">
        <v>0</v>
      </c>
      <c r="I3553" s="1">
        <v>3.0966670000000001</v>
      </c>
    </row>
    <row r="3554" spans="1:9" x14ac:dyDescent="0.25">
      <c r="A3554" s="1">
        <v>2140270001</v>
      </c>
      <c r="B3554" s="1" t="s">
        <v>1900</v>
      </c>
      <c r="C3554" s="1" t="s">
        <v>130</v>
      </c>
      <c r="D3554" s="1" t="s">
        <v>131</v>
      </c>
      <c r="E3554" s="3">
        <v>15</v>
      </c>
      <c r="F3554" s="1" t="s">
        <v>36</v>
      </c>
      <c r="G3554" s="1">
        <v>0</v>
      </c>
      <c r="H3554" s="1">
        <v>0</v>
      </c>
      <c r="I3554" s="1">
        <v>2.8173330000000001</v>
      </c>
    </row>
    <row r="3555" spans="1:9" x14ac:dyDescent="0.25">
      <c r="A3555" s="1">
        <v>2140270002</v>
      </c>
      <c r="B3555" s="1" t="s">
        <v>1901</v>
      </c>
      <c r="C3555" s="1" t="s">
        <v>130</v>
      </c>
      <c r="D3555" s="1" t="s">
        <v>131</v>
      </c>
      <c r="E3555" s="3">
        <v>189</v>
      </c>
      <c r="F3555" s="1" t="s">
        <v>36</v>
      </c>
      <c r="G3555" s="1">
        <v>0</v>
      </c>
      <c r="H3555" s="1">
        <v>0</v>
      </c>
      <c r="I3555" s="1">
        <v>2.8529629999999999</v>
      </c>
    </row>
    <row r="3556" spans="1:9" x14ac:dyDescent="0.25">
      <c r="A3556" s="1">
        <v>2140320006</v>
      </c>
      <c r="B3556" s="1" t="s">
        <v>1902</v>
      </c>
      <c r="C3556" s="1" t="s">
        <v>130</v>
      </c>
      <c r="D3556" s="1" t="s">
        <v>131</v>
      </c>
      <c r="E3556" s="1">
        <v>841.7</v>
      </c>
      <c r="F3556" s="1" t="s">
        <v>89</v>
      </c>
      <c r="G3556" s="1">
        <v>0</v>
      </c>
      <c r="H3556" s="1">
        <v>0</v>
      </c>
      <c r="I3556" s="1">
        <v>1.6938340000000001</v>
      </c>
    </row>
    <row r="3557" spans="1:9" x14ac:dyDescent="0.25">
      <c r="A3557" s="1">
        <v>2140320012</v>
      </c>
      <c r="B3557" s="1" t="s">
        <v>1903</v>
      </c>
      <c r="C3557" s="1" t="s">
        <v>130</v>
      </c>
      <c r="D3557" s="1" t="s">
        <v>131</v>
      </c>
      <c r="E3557" s="1">
        <v>477</v>
      </c>
      <c r="F3557" s="1" t="s">
        <v>1015</v>
      </c>
      <c r="G3557" s="1">
        <v>0</v>
      </c>
      <c r="H3557" s="1">
        <v>0</v>
      </c>
      <c r="I3557" s="1">
        <v>1.5064150000000001</v>
      </c>
    </row>
    <row r="3558" spans="1:9" x14ac:dyDescent="0.25">
      <c r="A3558" s="1">
        <v>2140320013</v>
      </c>
      <c r="B3558" s="1" t="s">
        <v>1904</v>
      </c>
      <c r="C3558" s="1" t="s">
        <v>130</v>
      </c>
      <c r="D3558" s="1" t="s">
        <v>131</v>
      </c>
      <c r="E3558" s="1">
        <v>625</v>
      </c>
      <c r="F3558" s="1" t="s">
        <v>1015</v>
      </c>
      <c r="G3558" s="3">
        <v>0</v>
      </c>
      <c r="H3558" s="1">
        <v>0</v>
      </c>
      <c r="I3558" s="1">
        <v>1.56856</v>
      </c>
    </row>
    <row r="3559" spans="1:9" x14ac:dyDescent="0.25">
      <c r="A3559" s="1">
        <v>2140320014</v>
      </c>
      <c r="B3559" s="1" t="s">
        <v>1905</v>
      </c>
      <c r="C3559" s="1" t="s">
        <v>130</v>
      </c>
      <c r="D3559" s="1" t="s">
        <v>131</v>
      </c>
      <c r="E3559" s="3">
        <v>225</v>
      </c>
      <c r="F3559" s="1" t="s">
        <v>1015</v>
      </c>
      <c r="G3559" s="1">
        <v>0</v>
      </c>
      <c r="H3559" s="1">
        <v>0</v>
      </c>
      <c r="I3559" s="1">
        <v>1.2281329999999999</v>
      </c>
    </row>
    <row r="3560" spans="1:9" x14ac:dyDescent="0.25">
      <c r="A3560" s="1">
        <v>2140320015</v>
      </c>
      <c r="B3560" s="1" t="s">
        <v>1906</v>
      </c>
      <c r="C3560" s="1" t="s">
        <v>130</v>
      </c>
      <c r="D3560" s="1" t="s">
        <v>131</v>
      </c>
      <c r="E3560" s="1">
        <v>707</v>
      </c>
      <c r="F3560" s="1" t="s">
        <v>1015</v>
      </c>
      <c r="G3560" s="3">
        <v>0</v>
      </c>
      <c r="H3560" s="1">
        <v>0</v>
      </c>
      <c r="I3560" s="1">
        <v>1.273352</v>
      </c>
    </row>
    <row r="3561" spans="1:9" x14ac:dyDescent="0.25">
      <c r="A3561" s="1">
        <v>2140320016</v>
      </c>
      <c r="B3561" s="1" t="s">
        <v>1907</v>
      </c>
      <c r="C3561" s="1" t="s">
        <v>130</v>
      </c>
      <c r="D3561" s="1" t="s">
        <v>131</v>
      </c>
      <c r="E3561" s="3">
        <v>732</v>
      </c>
      <c r="F3561" s="1" t="s">
        <v>1015</v>
      </c>
      <c r="G3561" s="1">
        <v>0</v>
      </c>
      <c r="H3561" s="1">
        <v>0</v>
      </c>
      <c r="I3561" s="1">
        <v>1.733743</v>
      </c>
    </row>
    <row r="3562" spans="1:9" x14ac:dyDescent="0.25">
      <c r="A3562" s="1">
        <v>2140320019</v>
      </c>
      <c r="B3562" s="1" t="s">
        <v>1908</v>
      </c>
      <c r="C3562" s="1" t="s">
        <v>130</v>
      </c>
      <c r="D3562" s="1" t="s">
        <v>131</v>
      </c>
      <c r="E3562" s="1">
        <v>132</v>
      </c>
      <c r="F3562" s="1" t="s">
        <v>1015</v>
      </c>
      <c r="G3562" s="1">
        <v>0</v>
      </c>
      <c r="H3562" s="1">
        <v>0</v>
      </c>
      <c r="I3562" s="1">
        <v>1.2359089999999999</v>
      </c>
    </row>
    <row r="3563" spans="1:9" x14ac:dyDescent="0.25">
      <c r="A3563" s="1">
        <v>2140320020</v>
      </c>
      <c r="B3563" s="1" t="s">
        <v>1909</v>
      </c>
      <c r="C3563" s="1" t="s">
        <v>130</v>
      </c>
      <c r="D3563" s="1" t="s">
        <v>131</v>
      </c>
      <c r="E3563" s="1">
        <v>108</v>
      </c>
      <c r="F3563" s="1" t="s">
        <v>1015</v>
      </c>
      <c r="G3563" s="1">
        <v>0</v>
      </c>
      <c r="H3563" s="1">
        <v>0</v>
      </c>
      <c r="I3563" s="1">
        <v>1.337037</v>
      </c>
    </row>
    <row r="3564" spans="1:9" x14ac:dyDescent="0.25">
      <c r="A3564" s="1">
        <v>2140320022</v>
      </c>
      <c r="B3564" s="1" t="s">
        <v>1910</v>
      </c>
      <c r="C3564" s="1" t="s">
        <v>130</v>
      </c>
      <c r="D3564" s="1" t="s">
        <v>131</v>
      </c>
      <c r="E3564" s="1">
        <v>4</v>
      </c>
      <c r="F3564" s="1" t="s">
        <v>1015</v>
      </c>
      <c r="G3564" s="3">
        <v>0</v>
      </c>
      <c r="H3564" s="1">
        <v>0</v>
      </c>
      <c r="I3564" s="1">
        <v>1.04</v>
      </c>
    </row>
    <row r="3565" spans="1:9" x14ac:dyDescent="0.25">
      <c r="A3565" s="1">
        <v>2140320023</v>
      </c>
      <c r="B3565" s="1" t="s">
        <v>1911</v>
      </c>
      <c r="C3565" s="1" t="s">
        <v>130</v>
      </c>
      <c r="D3565" s="1" t="s">
        <v>131</v>
      </c>
      <c r="E3565" s="1">
        <v>17</v>
      </c>
      <c r="F3565" s="1" t="s">
        <v>1015</v>
      </c>
      <c r="G3565" s="1">
        <v>0</v>
      </c>
      <c r="H3565" s="1">
        <v>0</v>
      </c>
      <c r="I3565" s="1">
        <v>1.0347059999999999</v>
      </c>
    </row>
    <row r="3566" spans="1:9" x14ac:dyDescent="0.25">
      <c r="A3566" s="1">
        <v>2140320024</v>
      </c>
      <c r="B3566" s="1" t="s">
        <v>1912</v>
      </c>
      <c r="C3566" s="1" t="s">
        <v>130</v>
      </c>
      <c r="D3566" s="1" t="s">
        <v>131</v>
      </c>
      <c r="E3566" s="1">
        <v>10</v>
      </c>
      <c r="F3566" s="1" t="s">
        <v>1015</v>
      </c>
      <c r="G3566" s="1">
        <v>0</v>
      </c>
      <c r="H3566" s="1">
        <v>0</v>
      </c>
      <c r="I3566" s="1">
        <v>1.052</v>
      </c>
    </row>
    <row r="3567" spans="1:9" x14ac:dyDescent="0.25">
      <c r="A3567" s="1">
        <v>2140320025</v>
      </c>
      <c r="B3567" s="1" t="s">
        <v>1913</v>
      </c>
      <c r="C3567" s="1" t="s">
        <v>130</v>
      </c>
      <c r="D3567" s="1" t="s">
        <v>131</v>
      </c>
      <c r="E3567" s="1">
        <v>6</v>
      </c>
      <c r="F3567" s="1" t="s">
        <v>1015</v>
      </c>
      <c r="G3567" s="1">
        <v>0</v>
      </c>
      <c r="H3567" s="1">
        <v>0</v>
      </c>
      <c r="I3567" s="1">
        <v>1.0333330000000001</v>
      </c>
    </row>
    <row r="3568" spans="1:9" x14ac:dyDescent="0.25">
      <c r="A3568" s="1">
        <v>2140320026</v>
      </c>
      <c r="B3568" s="1" t="s">
        <v>1914</v>
      </c>
      <c r="C3568" s="1" t="s">
        <v>130</v>
      </c>
      <c r="D3568" s="1" t="s">
        <v>131</v>
      </c>
      <c r="E3568" s="1">
        <v>7</v>
      </c>
      <c r="F3568" s="1" t="s">
        <v>1015</v>
      </c>
      <c r="G3568" s="1">
        <v>0</v>
      </c>
      <c r="H3568" s="1">
        <v>0</v>
      </c>
      <c r="I3568" s="1">
        <v>1.05</v>
      </c>
    </row>
    <row r="3569" spans="1:9" x14ac:dyDescent="0.25">
      <c r="A3569" s="1">
        <v>2140340001</v>
      </c>
      <c r="B3569" s="1" t="s">
        <v>1915</v>
      </c>
      <c r="C3569" s="1" t="s">
        <v>130</v>
      </c>
      <c r="D3569" s="1" t="s">
        <v>131</v>
      </c>
      <c r="E3569" s="3">
        <v>72045</v>
      </c>
      <c r="F3569" s="1" t="s">
        <v>36</v>
      </c>
      <c r="G3569" s="1">
        <v>0</v>
      </c>
      <c r="H3569" s="1">
        <v>0</v>
      </c>
      <c r="I3569" s="1">
        <v>3.8855000000000001E-2</v>
      </c>
    </row>
    <row r="3570" spans="1:9" x14ac:dyDescent="0.25">
      <c r="A3570" s="1">
        <v>2140340003</v>
      </c>
      <c r="B3570" s="1" t="s">
        <v>1916</v>
      </c>
      <c r="C3570" s="1" t="s">
        <v>130</v>
      </c>
      <c r="D3570" s="1" t="s">
        <v>131</v>
      </c>
      <c r="E3570" s="3">
        <v>83580</v>
      </c>
      <c r="F3570" s="1" t="s">
        <v>36</v>
      </c>
      <c r="G3570" s="1">
        <v>0</v>
      </c>
      <c r="H3570" s="1">
        <v>0</v>
      </c>
      <c r="I3570" s="1">
        <v>2.4816000000000001E-2</v>
      </c>
    </row>
    <row r="3571" spans="1:9" x14ac:dyDescent="0.25">
      <c r="A3571" s="1">
        <v>2140340004</v>
      </c>
      <c r="B3571" s="1" t="s">
        <v>1917</v>
      </c>
      <c r="C3571" s="1" t="s">
        <v>130</v>
      </c>
      <c r="D3571" s="1" t="s">
        <v>131</v>
      </c>
      <c r="E3571" s="3">
        <v>2400</v>
      </c>
      <c r="F3571" s="1" t="s">
        <v>36</v>
      </c>
      <c r="G3571" s="1">
        <v>0</v>
      </c>
      <c r="H3571" s="1">
        <v>0</v>
      </c>
      <c r="I3571" s="1">
        <v>2.4816999999999999E-2</v>
      </c>
    </row>
    <row r="3572" spans="1:9" x14ac:dyDescent="0.25">
      <c r="A3572" s="1">
        <v>2140350001</v>
      </c>
      <c r="B3572" s="1" t="s">
        <v>1918</v>
      </c>
      <c r="C3572" s="1" t="s">
        <v>130</v>
      </c>
      <c r="D3572" s="1" t="s">
        <v>131</v>
      </c>
      <c r="E3572" s="1">
        <v>654</v>
      </c>
      <c r="F3572" s="1" t="s">
        <v>1015</v>
      </c>
      <c r="G3572" s="3">
        <v>0</v>
      </c>
      <c r="H3572" s="1">
        <v>0</v>
      </c>
      <c r="I3572" s="1">
        <v>1.8226150000000001</v>
      </c>
    </row>
    <row r="3573" spans="1:9" x14ac:dyDescent="0.25">
      <c r="A3573" s="1">
        <v>2140350002</v>
      </c>
      <c r="B3573" s="1" t="s">
        <v>1919</v>
      </c>
      <c r="C3573" s="1" t="s">
        <v>130</v>
      </c>
      <c r="D3573" s="1" t="s">
        <v>131</v>
      </c>
      <c r="E3573" s="1">
        <v>264</v>
      </c>
      <c r="F3573" s="1" t="s">
        <v>1015</v>
      </c>
      <c r="G3573" s="1">
        <v>0</v>
      </c>
      <c r="H3573" s="1">
        <v>0</v>
      </c>
      <c r="I3573" s="1">
        <v>1.2107950000000001</v>
      </c>
    </row>
    <row r="3574" spans="1:9" x14ac:dyDescent="0.25">
      <c r="A3574" s="1">
        <v>2140350003</v>
      </c>
      <c r="B3574" s="1" t="s">
        <v>1920</v>
      </c>
      <c r="C3574" s="1" t="s">
        <v>130</v>
      </c>
      <c r="D3574" s="1" t="s">
        <v>131</v>
      </c>
      <c r="E3574" s="1">
        <v>4</v>
      </c>
      <c r="F3574" s="1" t="s">
        <v>1015</v>
      </c>
      <c r="G3574" s="1">
        <v>0</v>
      </c>
      <c r="H3574" s="1">
        <v>0</v>
      </c>
      <c r="I3574" s="1">
        <v>1.17</v>
      </c>
    </row>
    <row r="3575" spans="1:9" x14ac:dyDescent="0.25">
      <c r="A3575" s="1">
        <v>2140350005</v>
      </c>
      <c r="B3575" s="1" t="s">
        <v>1921</v>
      </c>
      <c r="C3575" s="1" t="s">
        <v>130</v>
      </c>
      <c r="D3575" s="1" t="s">
        <v>131</v>
      </c>
      <c r="E3575" s="1">
        <v>719</v>
      </c>
      <c r="F3575" s="1" t="s">
        <v>1015</v>
      </c>
      <c r="G3575" s="1">
        <v>0</v>
      </c>
      <c r="H3575" s="1">
        <v>0</v>
      </c>
      <c r="I3575" s="1">
        <v>1.2561610000000001</v>
      </c>
    </row>
    <row r="3576" spans="1:9" x14ac:dyDescent="0.25">
      <c r="A3576" s="1">
        <v>2140350006</v>
      </c>
      <c r="B3576" s="1" t="s">
        <v>1922</v>
      </c>
      <c r="C3576" s="1" t="s">
        <v>130</v>
      </c>
      <c r="D3576" s="1" t="s">
        <v>131</v>
      </c>
      <c r="E3576" s="3">
        <v>1389</v>
      </c>
      <c r="F3576" s="1" t="s">
        <v>1015</v>
      </c>
      <c r="G3576" s="1">
        <v>0</v>
      </c>
      <c r="H3576" s="1">
        <v>0</v>
      </c>
      <c r="I3576" s="1">
        <v>1.2811809999999999</v>
      </c>
    </row>
    <row r="3577" spans="1:9" x14ac:dyDescent="0.25">
      <c r="A3577" s="1">
        <v>2140350008</v>
      </c>
      <c r="B3577" s="1" t="s">
        <v>1923</v>
      </c>
      <c r="C3577" s="1" t="s">
        <v>130</v>
      </c>
      <c r="D3577" s="1" t="s">
        <v>131</v>
      </c>
      <c r="E3577" s="3">
        <v>543</v>
      </c>
      <c r="F3577" s="1" t="s">
        <v>1015</v>
      </c>
      <c r="G3577" s="3">
        <v>0</v>
      </c>
      <c r="H3577" s="3">
        <v>0</v>
      </c>
      <c r="I3577" s="1">
        <v>1.4937020000000001</v>
      </c>
    </row>
    <row r="3578" spans="1:9" x14ac:dyDescent="0.25">
      <c r="A3578" s="1">
        <v>2140350009</v>
      </c>
      <c r="B3578" s="1" t="s">
        <v>1924</v>
      </c>
      <c r="C3578" s="1" t="s">
        <v>130</v>
      </c>
      <c r="D3578" s="1" t="s">
        <v>131</v>
      </c>
      <c r="E3578" s="3">
        <v>1279</v>
      </c>
      <c r="F3578" s="1" t="s">
        <v>1015</v>
      </c>
      <c r="G3578" s="1">
        <v>0</v>
      </c>
      <c r="H3578" s="1">
        <v>0</v>
      </c>
      <c r="I3578" s="1">
        <v>1.218178</v>
      </c>
    </row>
    <row r="3579" spans="1:9" x14ac:dyDescent="0.25">
      <c r="A3579" s="1">
        <v>2140350010</v>
      </c>
      <c r="B3579" s="1" t="s">
        <v>1925</v>
      </c>
      <c r="C3579" s="1" t="s">
        <v>130</v>
      </c>
      <c r="D3579" s="1" t="s">
        <v>131</v>
      </c>
      <c r="E3579" s="3">
        <v>685</v>
      </c>
      <c r="F3579" s="1" t="s">
        <v>1015</v>
      </c>
      <c r="G3579" s="1">
        <v>0</v>
      </c>
      <c r="H3579" s="1">
        <v>0</v>
      </c>
      <c r="I3579" s="1">
        <v>1.412088</v>
      </c>
    </row>
    <row r="3580" spans="1:9" x14ac:dyDescent="0.25">
      <c r="A3580" s="1">
        <v>2140350011</v>
      </c>
      <c r="B3580" s="1" t="s">
        <v>1926</v>
      </c>
      <c r="C3580" s="1" t="s">
        <v>130</v>
      </c>
      <c r="D3580" s="1" t="s">
        <v>131</v>
      </c>
      <c r="E3580" s="1">
        <v>402</v>
      </c>
      <c r="F3580" s="1" t="s">
        <v>1015</v>
      </c>
      <c r="G3580" s="3">
        <v>0</v>
      </c>
      <c r="H3580" s="1">
        <v>0</v>
      </c>
      <c r="I3580" s="1">
        <v>1.9998009999999999</v>
      </c>
    </row>
    <row r="3581" spans="1:9" x14ac:dyDescent="0.25">
      <c r="A3581" s="1">
        <v>2140360001</v>
      </c>
      <c r="B3581" s="1" t="s">
        <v>1927</v>
      </c>
      <c r="C3581" s="1" t="s">
        <v>130</v>
      </c>
      <c r="D3581" s="1" t="s">
        <v>131</v>
      </c>
      <c r="E3581" s="1">
        <v>743</v>
      </c>
      <c r="F3581" s="1" t="s">
        <v>1928</v>
      </c>
      <c r="G3581" s="1">
        <v>300</v>
      </c>
      <c r="H3581" s="1">
        <v>0</v>
      </c>
      <c r="I3581" s="1">
        <v>1.143769</v>
      </c>
    </row>
    <row r="3582" spans="1:9" x14ac:dyDescent="0.25">
      <c r="A3582" s="1">
        <v>2140360001</v>
      </c>
      <c r="B3582" s="1" t="s">
        <v>1927</v>
      </c>
      <c r="C3582" s="1" t="s">
        <v>151</v>
      </c>
      <c r="D3582" s="1" t="s">
        <v>152</v>
      </c>
      <c r="E3582" s="1">
        <v>408</v>
      </c>
      <c r="F3582" s="1" t="s">
        <v>1928</v>
      </c>
      <c r="G3582" s="1">
        <v>0</v>
      </c>
      <c r="H3582" s="1">
        <v>0</v>
      </c>
      <c r="I3582" s="1">
        <v>1.143775</v>
      </c>
    </row>
    <row r="3583" spans="1:9" x14ac:dyDescent="0.25">
      <c r="A3583" s="1">
        <v>2140360002</v>
      </c>
      <c r="B3583" s="1" t="s">
        <v>1929</v>
      </c>
      <c r="C3583" s="1" t="s">
        <v>130</v>
      </c>
      <c r="D3583" s="1" t="s">
        <v>131</v>
      </c>
      <c r="E3583" s="3">
        <v>1225</v>
      </c>
      <c r="F3583" s="1" t="s">
        <v>1930</v>
      </c>
      <c r="G3583" s="1">
        <v>150</v>
      </c>
      <c r="H3583" s="1">
        <v>0</v>
      </c>
      <c r="I3583" s="1">
        <v>1.207559</v>
      </c>
    </row>
    <row r="3584" spans="1:9" x14ac:dyDescent="0.25">
      <c r="A3584" s="1">
        <v>2140360002</v>
      </c>
      <c r="B3584" s="1" t="s">
        <v>1929</v>
      </c>
      <c r="C3584" s="1" t="s">
        <v>151</v>
      </c>
      <c r="D3584" s="1" t="s">
        <v>152</v>
      </c>
      <c r="E3584" s="1">
        <v>672</v>
      </c>
      <c r="F3584" s="1" t="s">
        <v>1930</v>
      </c>
      <c r="G3584" s="1">
        <v>0</v>
      </c>
      <c r="H3584" s="3">
        <v>0</v>
      </c>
      <c r="I3584" s="1">
        <v>1.2260120000000001</v>
      </c>
    </row>
    <row r="3585" spans="1:9" x14ac:dyDescent="0.25">
      <c r="A3585" s="1">
        <v>2140370001</v>
      </c>
      <c r="B3585" s="1" t="s">
        <v>1931</v>
      </c>
      <c r="C3585" s="1" t="s">
        <v>130</v>
      </c>
      <c r="D3585" s="1" t="s">
        <v>131</v>
      </c>
      <c r="E3585" s="1">
        <v>822</v>
      </c>
      <c r="F3585" s="1" t="s">
        <v>1932</v>
      </c>
      <c r="G3585" s="3">
        <v>1272</v>
      </c>
      <c r="H3585" s="1">
        <v>0</v>
      </c>
      <c r="I3585" s="1">
        <v>0.49096099999999998</v>
      </c>
    </row>
    <row r="3586" spans="1:9" x14ac:dyDescent="0.25">
      <c r="A3586" s="1">
        <v>2140370001</v>
      </c>
      <c r="B3586" s="1" t="s">
        <v>1931</v>
      </c>
      <c r="C3586" s="1" t="s">
        <v>151</v>
      </c>
      <c r="D3586" s="1" t="s">
        <v>152</v>
      </c>
      <c r="E3586" s="3">
        <v>1788</v>
      </c>
      <c r="F3586" s="1" t="s">
        <v>1932</v>
      </c>
      <c r="G3586" s="1">
        <v>0</v>
      </c>
      <c r="H3586" s="1">
        <v>0</v>
      </c>
      <c r="I3586" s="1">
        <v>0.49360700000000002</v>
      </c>
    </row>
    <row r="3587" spans="1:9" x14ac:dyDescent="0.25">
      <c r="A3587" s="1">
        <v>2140370002</v>
      </c>
      <c r="B3587" s="1" t="s">
        <v>1933</v>
      </c>
      <c r="C3587" s="1" t="s">
        <v>130</v>
      </c>
      <c r="D3587" s="1" t="s">
        <v>131</v>
      </c>
      <c r="E3587" s="1">
        <v>296</v>
      </c>
      <c r="F3587" s="1" t="s">
        <v>1932</v>
      </c>
      <c r="G3587" s="1">
        <v>612</v>
      </c>
      <c r="H3587" s="1">
        <v>84</v>
      </c>
      <c r="I3587" s="1">
        <v>0.54006799999999999</v>
      </c>
    </row>
    <row r="3588" spans="1:9" x14ac:dyDescent="0.25">
      <c r="A3588" s="1">
        <v>2140370002</v>
      </c>
      <c r="B3588" s="1" t="s">
        <v>1933</v>
      </c>
      <c r="C3588" s="1" t="s">
        <v>151</v>
      </c>
      <c r="D3588" s="1" t="s">
        <v>152</v>
      </c>
      <c r="E3588" s="1">
        <v>0</v>
      </c>
      <c r="F3588" s="1" t="s">
        <v>1932</v>
      </c>
      <c r="G3588" s="3">
        <v>84</v>
      </c>
      <c r="H3588" s="3">
        <v>0</v>
      </c>
      <c r="I3588" s="1">
        <v>0.54004600000000003</v>
      </c>
    </row>
    <row r="3589" spans="1:9" x14ac:dyDescent="0.25">
      <c r="A3589" s="1">
        <v>2140370003</v>
      </c>
      <c r="B3589" s="1" t="s">
        <v>1934</v>
      </c>
      <c r="C3589" s="1" t="s">
        <v>130</v>
      </c>
      <c r="D3589" s="1" t="s">
        <v>131</v>
      </c>
      <c r="E3589" s="3">
        <v>1131</v>
      </c>
      <c r="F3589" s="1" t="s">
        <v>1932</v>
      </c>
      <c r="G3589" s="3">
        <v>1290</v>
      </c>
      <c r="H3589" s="1">
        <v>0</v>
      </c>
      <c r="I3589" s="1">
        <v>0.488568</v>
      </c>
    </row>
    <row r="3590" spans="1:9" x14ac:dyDescent="0.25">
      <c r="A3590" s="1">
        <v>2140370003</v>
      </c>
      <c r="B3590" s="1" t="s">
        <v>1934</v>
      </c>
      <c r="C3590" s="1" t="s">
        <v>151</v>
      </c>
      <c r="D3590" s="1" t="s">
        <v>152</v>
      </c>
      <c r="E3590" s="1">
        <v>189</v>
      </c>
      <c r="F3590" s="1" t="s">
        <v>1932</v>
      </c>
      <c r="G3590" s="1">
        <v>0</v>
      </c>
      <c r="H3590" s="1">
        <v>0</v>
      </c>
      <c r="I3590" s="1">
        <v>0.50042299999999995</v>
      </c>
    </row>
    <row r="3591" spans="1:9" x14ac:dyDescent="0.25">
      <c r="A3591" s="1">
        <v>2140370004</v>
      </c>
      <c r="B3591" s="1" t="s">
        <v>1935</v>
      </c>
      <c r="C3591" s="1" t="s">
        <v>130</v>
      </c>
      <c r="D3591" s="1" t="s">
        <v>131</v>
      </c>
      <c r="E3591" s="1">
        <v>53</v>
      </c>
      <c r="F3591" s="1" t="s">
        <v>1932</v>
      </c>
      <c r="G3591" s="3">
        <v>215</v>
      </c>
      <c r="H3591" s="1">
        <v>0</v>
      </c>
      <c r="I3591" s="1">
        <v>0.68962299999999999</v>
      </c>
    </row>
    <row r="3592" spans="1:9" x14ac:dyDescent="0.25">
      <c r="A3592" s="1">
        <v>2140370004</v>
      </c>
      <c r="B3592" s="1" t="s">
        <v>1935</v>
      </c>
      <c r="C3592" s="1" t="s">
        <v>151</v>
      </c>
      <c r="D3592" s="1" t="s">
        <v>152</v>
      </c>
      <c r="E3592" s="1">
        <v>420</v>
      </c>
      <c r="F3592" s="1" t="s">
        <v>1932</v>
      </c>
      <c r="G3592" s="3">
        <v>0</v>
      </c>
      <c r="H3592" s="1">
        <v>0</v>
      </c>
      <c r="I3592" s="1">
        <v>0.68971400000000005</v>
      </c>
    </row>
    <row r="3593" spans="1:9" x14ac:dyDescent="0.25">
      <c r="A3593" s="1">
        <v>2140370005</v>
      </c>
      <c r="B3593" s="1" t="s">
        <v>1936</v>
      </c>
      <c r="C3593" s="1" t="s">
        <v>130</v>
      </c>
      <c r="D3593" s="1" t="s">
        <v>131</v>
      </c>
      <c r="E3593" s="1">
        <v>177</v>
      </c>
      <c r="F3593" s="1" t="s">
        <v>1932</v>
      </c>
      <c r="G3593" s="1">
        <v>5</v>
      </c>
      <c r="H3593" s="3">
        <v>0</v>
      </c>
      <c r="I3593" s="1">
        <v>0.60276799999999997</v>
      </c>
    </row>
    <row r="3594" spans="1:9" x14ac:dyDescent="0.25">
      <c r="A3594" s="1">
        <v>2140370005</v>
      </c>
      <c r="B3594" s="1" t="s">
        <v>1936</v>
      </c>
      <c r="C3594" s="1" t="s">
        <v>151</v>
      </c>
      <c r="D3594" s="1" t="s">
        <v>152</v>
      </c>
      <c r="E3594" s="1">
        <v>384</v>
      </c>
      <c r="F3594" s="1" t="s">
        <v>1932</v>
      </c>
      <c r="G3594" s="1">
        <v>0</v>
      </c>
      <c r="H3594" s="1">
        <v>0</v>
      </c>
      <c r="I3594" s="1">
        <v>0.60275999999999996</v>
      </c>
    </row>
    <row r="3595" spans="1:9" x14ac:dyDescent="0.25">
      <c r="A3595" s="1">
        <v>2140370006</v>
      </c>
      <c r="B3595" s="1" t="s">
        <v>1937</v>
      </c>
      <c r="C3595" s="1" t="s">
        <v>130</v>
      </c>
      <c r="D3595" s="1" t="s">
        <v>131</v>
      </c>
      <c r="E3595" s="3">
        <v>2</v>
      </c>
      <c r="F3595" s="1" t="s">
        <v>1932</v>
      </c>
      <c r="G3595" s="1">
        <v>150</v>
      </c>
      <c r="H3595" s="1">
        <v>0</v>
      </c>
      <c r="I3595" s="1">
        <v>0.56499999999999995</v>
      </c>
    </row>
    <row r="3596" spans="1:9" x14ac:dyDescent="0.25">
      <c r="A3596" s="1">
        <v>2140370006</v>
      </c>
      <c r="B3596" s="1" t="s">
        <v>1937</v>
      </c>
      <c r="C3596" s="1" t="s">
        <v>151</v>
      </c>
      <c r="D3596" s="1" t="s">
        <v>152</v>
      </c>
      <c r="E3596" s="1">
        <v>492</v>
      </c>
      <c r="F3596" s="1" t="s">
        <v>1932</v>
      </c>
      <c r="G3596" s="1">
        <v>0</v>
      </c>
      <c r="H3596" s="1">
        <v>0</v>
      </c>
      <c r="I3596" s="1">
        <v>0.56327199999999999</v>
      </c>
    </row>
    <row r="3597" spans="1:9" x14ac:dyDescent="0.25">
      <c r="A3597" s="1">
        <v>2140370007</v>
      </c>
      <c r="B3597" s="1" t="s">
        <v>1938</v>
      </c>
      <c r="C3597" s="1" t="s">
        <v>130</v>
      </c>
      <c r="D3597" s="1" t="s">
        <v>131</v>
      </c>
      <c r="E3597" s="1">
        <v>164</v>
      </c>
      <c r="F3597" s="1" t="s">
        <v>1932</v>
      </c>
      <c r="G3597" s="1">
        <v>0</v>
      </c>
      <c r="H3597" s="1">
        <v>0</v>
      </c>
      <c r="I3597" s="1">
        <v>0.52323200000000003</v>
      </c>
    </row>
    <row r="3598" spans="1:9" x14ac:dyDescent="0.25">
      <c r="A3598" s="1">
        <v>2140370007</v>
      </c>
      <c r="B3598" s="1" t="s">
        <v>1938</v>
      </c>
      <c r="C3598" s="1" t="s">
        <v>151</v>
      </c>
      <c r="D3598" s="1" t="s">
        <v>152</v>
      </c>
      <c r="E3598" s="1">
        <v>672</v>
      </c>
      <c r="F3598" s="1" t="s">
        <v>1932</v>
      </c>
      <c r="G3598" s="1">
        <v>0</v>
      </c>
      <c r="H3598" s="1">
        <v>0</v>
      </c>
      <c r="I3598" s="1">
        <v>0.52327400000000002</v>
      </c>
    </row>
    <row r="3599" spans="1:9" x14ac:dyDescent="0.25">
      <c r="A3599" s="1">
        <v>2140370008</v>
      </c>
      <c r="B3599" s="1" t="s">
        <v>1939</v>
      </c>
      <c r="C3599" s="1" t="s">
        <v>130</v>
      </c>
      <c r="D3599" s="1" t="s">
        <v>131</v>
      </c>
      <c r="E3599" s="3">
        <v>323</v>
      </c>
      <c r="F3599" s="1" t="s">
        <v>1932</v>
      </c>
      <c r="G3599" s="1">
        <v>414</v>
      </c>
      <c r="H3599" s="1">
        <v>0</v>
      </c>
      <c r="I3599" s="1">
        <v>0.51603699999999997</v>
      </c>
    </row>
    <row r="3600" spans="1:9" x14ac:dyDescent="0.25">
      <c r="A3600" s="1">
        <v>2140370008</v>
      </c>
      <c r="B3600" s="1" t="s">
        <v>1939</v>
      </c>
      <c r="C3600" s="1" t="s">
        <v>151</v>
      </c>
      <c r="D3600" s="1" t="s">
        <v>152</v>
      </c>
      <c r="E3600" s="1">
        <v>916</v>
      </c>
      <c r="F3600" s="1" t="s">
        <v>1932</v>
      </c>
      <c r="G3600" s="1">
        <v>0</v>
      </c>
      <c r="H3600" s="1">
        <v>0</v>
      </c>
      <c r="I3600" s="1">
        <v>0.51622299999999999</v>
      </c>
    </row>
    <row r="3601" spans="1:9" x14ac:dyDescent="0.25">
      <c r="A3601" s="1">
        <v>2140370009</v>
      </c>
      <c r="B3601" s="1" t="s">
        <v>1940</v>
      </c>
      <c r="C3601" s="1" t="s">
        <v>130</v>
      </c>
      <c r="D3601" s="1" t="s">
        <v>131</v>
      </c>
      <c r="E3601" s="1">
        <v>183</v>
      </c>
      <c r="F3601" s="1" t="s">
        <v>1932</v>
      </c>
      <c r="G3601" s="1">
        <v>0</v>
      </c>
      <c r="H3601" s="1">
        <v>0</v>
      </c>
      <c r="I3601" s="1">
        <v>0.80879800000000002</v>
      </c>
    </row>
    <row r="3602" spans="1:9" x14ac:dyDescent="0.25">
      <c r="A3602" s="1">
        <v>2140370010</v>
      </c>
      <c r="B3602" s="1" t="s">
        <v>1941</v>
      </c>
      <c r="C3602" s="1" t="s">
        <v>130</v>
      </c>
      <c r="D3602" s="1" t="s">
        <v>131</v>
      </c>
      <c r="E3602" s="1">
        <v>233</v>
      </c>
      <c r="F3602" s="1" t="s">
        <v>1932</v>
      </c>
      <c r="G3602" s="1">
        <v>462</v>
      </c>
      <c r="H3602" s="1">
        <v>0</v>
      </c>
      <c r="I3602" s="1">
        <v>0.52073000000000003</v>
      </c>
    </row>
    <row r="3603" spans="1:9" x14ac:dyDescent="0.25">
      <c r="A3603" s="1">
        <v>2140370010</v>
      </c>
      <c r="B3603" s="1" t="s">
        <v>1941</v>
      </c>
      <c r="C3603" s="1" t="s">
        <v>151</v>
      </c>
      <c r="D3603" s="1" t="s">
        <v>152</v>
      </c>
      <c r="E3603" s="1">
        <v>156</v>
      </c>
      <c r="F3603" s="1" t="s">
        <v>1932</v>
      </c>
      <c r="G3603" s="1">
        <v>0</v>
      </c>
      <c r="H3603" s="1">
        <v>0</v>
      </c>
      <c r="I3603" s="1">
        <v>0.52076900000000004</v>
      </c>
    </row>
    <row r="3604" spans="1:9" x14ac:dyDescent="0.25">
      <c r="A3604" s="1">
        <v>2140370011</v>
      </c>
      <c r="B3604" s="1" t="s">
        <v>1942</v>
      </c>
      <c r="C3604" s="1" t="s">
        <v>130</v>
      </c>
      <c r="D3604" s="1" t="s">
        <v>131</v>
      </c>
      <c r="E3604" s="1">
        <v>226</v>
      </c>
      <c r="F3604" s="1" t="s">
        <v>1932</v>
      </c>
      <c r="G3604" s="3">
        <v>1038</v>
      </c>
      <c r="H3604" s="1">
        <v>500</v>
      </c>
      <c r="I3604" s="1">
        <v>0.54938100000000001</v>
      </c>
    </row>
    <row r="3605" spans="1:9" x14ac:dyDescent="0.25">
      <c r="A3605" s="1">
        <v>2140370011</v>
      </c>
      <c r="B3605" s="1" t="s">
        <v>1942</v>
      </c>
      <c r="C3605" s="1" t="s">
        <v>151</v>
      </c>
      <c r="D3605" s="1" t="s">
        <v>152</v>
      </c>
      <c r="E3605" s="1">
        <v>0</v>
      </c>
      <c r="F3605" s="1" t="s">
        <v>1932</v>
      </c>
      <c r="G3605" s="1">
        <v>500</v>
      </c>
      <c r="H3605" s="1">
        <v>0</v>
      </c>
      <c r="I3605" s="1">
        <v>0.54935500000000004</v>
      </c>
    </row>
    <row r="3606" spans="1:9" x14ac:dyDescent="0.25">
      <c r="A3606" s="1">
        <v>2140370012</v>
      </c>
      <c r="B3606" s="1" t="s">
        <v>1943</v>
      </c>
      <c r="C3606" s="1" t="s">
        <v>130</v>
      </c>
      <c r="D3606" s="1" t="s">
        <v>131</v>
      </c>
      <c r="E3606" s="1">
        <v>441</v>
      </c>
      <c r="F3606" s="1" t="s">
        <v>1932</v>
      </c>
      <c r="G3606" s="3">
        <v>1290</v>
      </c>
      <c r="H3606" s="1">
        <v>0</v>
      </c>
      <c r="I3606" s="1">
        <v>0.51764200000000005</v>
      </c>
    </row>
    <row r="3607" spans="1:9" x14ac:dyDescent="0.25">
      <c r="A3607" s="1">
        <v>2140370012</v>
      </c>
      <c r="B3607" s="1" t="s">
        <v>1943</v>
      </c>
      <c r="C3607" s="1" t="s">
        <v>151</v>
      </c>
      <c r="D3607" s="1" t="s">
        <v>152</v>
      </c>
      <c r="E3607" s="1">
        <v>720</v>
      </c>
      <c r="F3607" s="1" t="s">
        <v>1932</v>
      </c>
      <c r="G3607" s="1">
        <v>0</v>
      </c>
      <c r="H3607" s="1">
        <v>0</v>
      </c>
      <c r="I3607" s="1">
        <v>0.51770799999999995</v>
      </c>
    </row>
    <row r="3608" spans="1:9" x14ac:dyDescent="0.25">
      <c r="A3608" s="1">
        <v>2140380001</v>
      </c>
      <c r="B3608" s="1" t="s">
        <v>1944</v>
      </c>
      <c r="C3608" s="1" t="s">
        <v>130</v>
      </c>
      <c r="D3608" s="1" t="s">
        <v>131</v>
      </c>
      <c r="E3608" s="3">
        <v>1658</v>
      </c>
      <c r="F3608" s="1" t="s">
        <v>1930</v>
      </c>
      <c r="G3608" s="1">
        <v>0</v>
      </c>
      <c r="H3608" s="1">
        <v>0</v>
      </c>
      <c r="I3608" s="1">
        <v>1.5244930000000001</v>
      </c>
    </row>
    <row r="3609" spans="1:9" x14ac:dyDescent="0.25">
      <c r="A3609" s="1">
        <v>2140390001</v>
      </c>
      <c r="B3609" s="1" t="s">
        <v>1945</v>
      </c>
      <c r="C3609" s="1" t="s">
        <v>130</v>
      </c>
      <c r="D3609" s="1" t="s">
        <v>131</v>
      </c>
      <c r="E3609" s="3">
        <v>3631</v>
      </c>
      <c r="F3609" s="1" t="s">
        <v>1930</v>
      </c>
      <c r="G3609" s="3">
        <v>2200</v>
      </c>
      <c r="H3609" s="1">
        <v>654</v>
      </c>
      <c r="I3609" s="1">
        <v>0.90296299999999996</v>
      </c>
    </row>
    <row r="3610" spans="1:9" x14ac:dyDescent="0.25">
      <c r="A3610" s="1">
        <v>2140390001</v>
      </c>
      <c r="B3610" s="1" t="s">
        <v>1945</v>
      </c>
      <c r="C3610" s="1" t="s">
        <v>142</v>
      </c>
      <c r="D3610" s="1" t="s">
        <v>143</v>
      </c>
      <c r="E3610" s="1">
        <v>0</v>
      </c>
      <c r="F3610" s="1" t="s">
        <v>1930</v>
      </c>
      <c r="G3610" s="1">
        <v>33</v>
      </c>
      <c r="H3610" s="1">
        <v>0</v>
      </c>
      <c r="I3610" s="1">
        <v>0.87048400000000004</v>
      </c>
    </row>
    <row r="3611" spans="1:9" x14ac:dyDescent="0.25">
      <c r="A3611" s="1">
        <v>2140390001</v>
      </c>
      <c r="B3611" s="1" t="s">
        <v>1945</v>
      </c>
      <c r="C3611" s="1" t="s">
        <v>151</v>
      </c>
      <c r="D3611" s="1" t="s">
        <v>152</v>
      </c>
      <c r="E3611" s="1">
        <v>0</v>
      </c>
      <c r="F3611" s="1" t="s">
        <v>1930</v>
      </c>
      <c r="G3611" s="1">
        <v>621</v>
      </c>
      <c r="H3611" s="1">
        <v>0</v>
      </c>
      <c r="I3611" s="1">
        <v>0.86878900000000003</v>
      </c>
    </row>
    <row r="3612" spans="1:9" x14ac:dyDescent="0.25">
      <c r="A3612" s="1">
        <v>2140400001</v>
      </c>
      <c r="B3612" s="1" t="s">
        <v>1946</v>
      </c>
      <c r="C3612" s="1" t="s">
        <v>130</v>
      </c>
      <c r="D3612" s="1" t="s">
        <v>131</v>
      </c>
      <c r="E3612" s="3">
        <v>1125</v>
      </c>
      <c r="F3612" s="1" t="s">
        <v>1864</v>
      </c>
      <c r="G3612" s="3">
        <v>1500</v>
      </c>
      <c r="H3612" s="1">
        <v>0</v>
      </c>
      <c r="I3612" s="1">
        <v>0.74046199999999995</v>
      </c>
    </row>
    <row r="3613" spans="1:9" x14ac:dyDescent="0.25">
      <c r="A3613" s="1">
        <v>2140400001</v>
      </c>
      <c r="B3613" s="1" t="s">
        <v>1946</v>
      </c>
      <c r="C3613" s="1" t="s">
        <v>151</v>
      </c>
      <c r="D3613" s="1" t="s">
        <v>152</v>
      </c>
      <c r="E3613" s="3">
        <v>2417</v>
      </c>
      <c r="F3613" s="1" t="s">
        <v>1864</v>
      </c>
      <c r="G3613" s="1">
        <v>0</v>
      </c>
      <c r="H3613" s="1">
        <v>0</v>
      </c>
      <c r="I3613" s="1">
        <v>0.73313200000000001</v>
      </c>
    </row>
    <row r="3614" spans="1:9" x14ac:dyDescent="0.25">
      <c r="A3614" s="1">
        <v>2140400002</v>
      </c>
      <c r="B3614" s="1" t="s">
        <v>1947</v>
      </c>
      <c r="C3614" s="1" t="s">
        <v>130</v>
      </c>
      <c r="D3614" s="1" t="s">
        <v>131</v>
      </c>
      <c r="E3614" s="3">
        <v>1200</v>
      </c>
      <c r="F3614" s="1" t="s">
        <v>1864</v>
      </c>
      <c r="G3614" s="3">
        <v>1425</v>
      </c>
      <c r="H3614" s="1">
        <v>0</v>
      </c>
      <c r="I3614" s="1">
        <v>0.69287500000000002</v>
      </c>
    </row>
    <row r="3615" spans="1:9" x14ac:dyDescent="0.25">
      <c r="A3615" s="1">
        <v>2140400002</v>
      </c>
      <c r="B3615" s="1" t="s">
        <v>1947</v>
      </c>
      <c r="C3615" s="1" t="s">
        <v>151</v>
      </c>
      <c r="D3615" s="1" t="s">
        <v>152</v>
      </c>
      <c r="E3615" s="3">
        <v>2132</v>
      </c>
      <c r="F3615" s="1" t="s">
        <v>1864</v>
      </c>
      <c r="G3615" s="1">
        <v>0</v>
      </c>
      <c r="H3615" s="3">
        <v>0</v>
      </c>
      <c r="I3615" s="1">
        <v>0.697129</v>
      </c>
    </row>
    <row r="3616" spans="1:9" x14ac:dyDescent="0.25">
      <c r="A3616" s="1">
        <v>2140400003</v>
      </c>
      <c r="B3616" s="1" t="s">
        <v>1948</v>
      </c>
      <c r="C3616" s="1" t="s">
        <v>130</v>
      </c>
      <c r="D3616" s="1" t="s">
        <v>131</v>
      </c>
      <c r="E3616" s="1">
        <v>221</v>
      </c>
      <c r="F3616" s="1" t="s">
        <v>1864</v>
      </c>
      <c r="G3616" s="1">
        <v>400</v>
      </c>
      <c r="H3616" s="1">
        <v>0</v>
      </c>
      <c r="I3616" s="1">
        <v>0.89819000000000004</v>
      </c>
    </row>
    <row r="3617" spans="1:9" x14ac:dyDescent="0.25">
      <c r="A3617" s="1">
        <v>2140400003</v>
      </c>
      <c r="B3617" s="1" t="s">
        <v>1948</v>
      </c>
      <c r="C3617" s="1" t="s">
        <v>151</v>
      </c>
      <c r="D3617" s="1" t="s">
        <v>152</v>
      </c>
      <c r="E3617" s="1">
        <v>300</v>
      </c>
      <c r="F3617" s="1" t="s">
        <v>1864</v>
      </c>
      <c r="G3617" s="1">
        <v>0</v>
      </c>
      <c r="H3617" s="1">
        <v>0</v>
      </c>
      <c r="I3617" s="1">
        <v>0.8982</v>
      </c>
    </row>
    <row r="3618" spans="1:9" x14ac:dyDescent="0.25">
      <c r="A3618" s="1">
        <v>2140400004</v>
      </c>
      <c r="B3618" s="1" t="s">
        <v>1949</v>
      </c>
      <c r="C3618" s="1" t="s">
        <v>130</v>
      </c>
      <c r="D3618" s="1" t="s">
        <v>131</v>
      </c>
      <c r="E3618" s="1">
        <v>641</v>
      </c>
      <c r="F3618" s="1" t="s">
        <v>1864</v>
      </c>
      <c r="G3618" s="1">
        <v>625</v>
      </c>
      <c r="H3618" s="1">
        <v>0</v>
      </c>
      <c r="I3618" s="1">
        <v>0.69932899999999998</v>
      </c>
    </row>
    <row r="3619" spans="1:9" x14ac:dyDescent="0.25">
      <c r="A3619" s="1">
        <v>2140400004</v>
      </c>
      <c r="B3619" s="1" t="s">
        <v>1949</v>
      </c>
      <c r="C3619" s="1" t="s">
        <v>151</v>
      </c>
      <c r="D3619" s="1" t="s">
        <v>152</v>
      </c>
      <c r="E3619" s="3">
        <v>243</v>
      </c>
      <c r="F3619" s="1" t="s">
        <v>1864</v>
      </c>
      <c r="G3619" s="1">
        <v>0</v>
      </c>
      <c r="H3619" s="1">
        <v>0</v>
      </c>
      <c r="I3619" s="1">
        <v>0.70304500000000003</v>
      </c>
    </row>
    <row r="3620" spans="1:9" x14ac:dyDescent="0.25">
      <c r="A3620" s="1">
        <v>2140400005</v>
      </c>
      <c r="B3620" s="1" t="s">
        <v>1950</v>
      </c>
      <c r="C3620" s="1" t="s">
        <v>130</v>
      </c>
      <c r="D3620" s="1" t="s">
        <v>131</v>
      </c>
      <c r="E3620" s="1">
        <v>445</v>
      </c>
      <c r="F3620" s="1" t="s">
        <v>1864</v>
      </c>
      <c r="G3620" s="1">
        <v>500</v>
      </c>
      <c r="H3620" s="1">
        <v>0</v>
      </c>
      <c r="I3620" s="1">
        <v>0.72352799999999995</v>
      </c>
    </row>
    <row r="3621" spans="1:9" x14ac:dyDescent="0.25">
      <c r="A3621" s="1">
        <v>2140400005</v>
      </c>
      <c r="B3621" s="1" t="s">
        <v>1950</v>
      </c>
      <c r="C3621" s="1" t="s">
        <v>151</v>
      </c>
      <c r="D3621" s="1" t="s">
        <v>152</v>
      </c>
      <c r="E3621" s="3">
        <v>1100</v>
      </c>
      <c r="F3621" s="1" t="s">
        <v>1864</v>
      </c>
      <c r="G3621" s="1">
        <v>0</v>
      </c>
      <c r="H3621" s="1">
        <v>0</v>
      </c>
      <c r="I3621" s="1">
        <v>0.72350899999999996</v>
      </c>
    </row>
    <row r="3622" spans="1:9" x14ac:dyDescent="0.25">
      <c r="A3622" s="1">
        <v>2140400006</v>
      </c>
      <c r="B3622" s="1" t="s">
        <v>1951</v>
      </c>
      <c r="C3622" s="1" t="s">
        <v>130</v>
      </c>
      <c r="D3622" s="1" t="s">
        <v>131</v>
      </c>
      <c r="E3622" s="3">
        <v>179</v>
      </c>
      <c r="F3622" s="1" t="s">
        <v>1864</v>
      </c>
      <c r="G3622" s="1">
        <v>0</v>
      </c>
      <c r="H3622" s="1">
        <v>0</v>
      </c>
      <c r="I3622" s="1">
        <v>0.77290499999999995</v>
      </c>
    </row>
    <row r="3623" spans="1:9" x14ac:dyDescent="0.25">
      <c r="A3623" s="1">
        <v>2140400006</v>
      </c>
      <c r="B3623" s="1" t="s">
        <v>1951</v>
      </c>
      <c r="C3623" s="1" t="s">
        <v>151</v>
      </c>
      <c r="D3623" s="1" t="s">
        <v>152</v>
      </c>
      <c r="E3623" s="1">
        <v>275</v>
      </c>
      <c r="F3623" s="1" t="s">
        <v>1864</v>
      </c>
      <c r="G3623" s="1">
        <v>0</v>
      </c>
      <c r="H3623" s="1">
        <v>0</v>
      </c>
      <c r="I3623" s="1">
        <v>0.77287300000000003</v>
      </c>
    </row>
    <row r="3624" spans="1:9" x14ac:dyDescent="0.25">
      <c r="A3624" s="1">
        <v>2140400007</v>
      </c>
      <c r="B3624" s="1" t="s">
        <v>1952</v>
      </c>
      <c r="C3624" s="1" t="s">
        <v>130</v>
      </c>
      <c r="D3624" s="1" t="s">
        <v>131</v>
      </c>
      <c r="E3624" s="1">
        <v>189</v>
      </c>
      <c r="F3624" s="1" t="s">
        <v>1864</v>
      </c>
      <c r="G3624" s="3">
        <v>1125</v>
      </c>
      <c r="H3624" s="1">
        <v>461</v>
      </c>
      <c r="I3624" s="1">
        <v>0.77381</v>
      </c>
    </row>
    <row r="3625" spans="1:9" x14ac:dyDescent="0.25">
      <c r="A3625" s="1">
        <v>2140400007</v>
      </c>
      <c r="B3625" s="1" t="s">
        <v>1952</v>
      </c>
      <c r="C3625" s="1" t="s">
        <v>151</v>
      </c>
      <c r="D3625" s="1" t="s">
        <v>152</v>
      </c>
      <c r="E3625" s="3">
        <v>0</v>
      </c>
      <c r="F3625" s="1" t="s">
        <v>1864</v>
      </c>
      <c r="G3625" s="1">
        <v>461</v>
      </c>
      <c r="H3625" s="1">
        <v>0</v>
      </c>
      <c r="I3625" s="1">
        <v>0.77377200000000002</v>
      </c>
    </row>
    <row r="3626" spans="1:9" x14ac:dyDescent="0.25">
      <c r="A3626" s="1">
        <v>2140400008</v>
      </c>
      <c r="B3626" s="1" t="s">
        <v>1953</v>
      </c>
      <c r="C3626" s="1" t="s">
        <v>130</v>
      </c>
      <c r="D3626" s="1" t="s">
        <v>131</v>
      </c>
      <c r="E3626" s="1">
        <v>47</v>
      </c>
      <c r="F3626" s="1" t="s">
        <v>1864</v>
      </c>
      <c r="G3626" s="1">
        <v>500</v>
      </c>
      <c r="H3626" s="1">
        <v>0</v>
      </c>
      <c r="I3626" s="1">
        <v>0.73829800000000001</v>
      </c>
    </row>
    <row r="3627" spans="1:9" x14ac:dyDescent="0.25">
      <c r="A3627" s="1">
        <v>2140400008</v>
      </c>
      <c r="B3627" s="1" t="s">
        <v>1953</v>
      </c>
      <c r="C3627" s="1" t="s">
        <v>151</v>
      </c>
      <c r="D3627" s="1" t="s">
        <v>152</v>
      </c>
      <c r="E3627" s="3">
        <v>1113</v>
      </c>
      <c r="F3627" s="1" t="s">
        <v>1864</v>
      </c>
      <c r="G3627" s="1">
        <v>0</v>
      </c>
      <c r="H3627" s="1">
        <v>0</v>
      </c>
      <c r="I3627" s="1">
        <v>0.72601099999999996</v>
      </c>
    </row>
    <row r="3628" spans="1:9" x14ac:dyDescent="0.25">
      <c r="A3628" s="1">
        <v>2140400009</v>
      </c>
      <c r="B3628" s="1" t="s">
        <v>1954</v>
      </c>
      <c r="C3628" s="1" t="s">
        <v>130</v>
      </c>
      <c r="D3628" s="1" t="s">
        <v>131</v>
      </c>
      <c r="E3628" s="1">
        <v>183</v>
      </c>
      <c r="F3628" s="1" t="s">
        <v>1864</v>
      </c>
      <c r="G3628" s="3">
        <v>1025</v>
      </c>
      <c r="H3628" s="1">
        <v>492</v>
      </c>
      <c r="I3628" s="1">
        <v>0.77415299999999998</v>
      </c>
    </row>
    <row r="3629" spans="1:9" x14ac:dyDescent="0.25">
      <c r="A3629" s="1">
        <v>2140400009</v>
      </c>
      <c r="B3629" s="1" t="s">
        <v>1954</v>
      </c>
      <c r="C3629" s="1" t="s">
        <v>151</v>
      </c>
      <c r="D3629" s="1" t="s">
        <v>152</v>
      </c>
      <c r="E3629" s="1">
        <v>0</v>
      </c>
      <c r="F3629" s="1" t="s">
        <v>1864</v>
      </c>
      <c r="G3629" s="1">
        <v>492</v>
      </c>
      <c r="H3629" s="1">
        <v>0</v>
      </c>
      <c r="I3629" s="1">
        <v>0.77413500000000002</v>
      </c>
    </row>
    <row r="3630" spans="1:9" x14ac:dyDescent="0.25">
      <c r="A3630" s="1">
        <v>2140400010</v>
      </c>
      <c r="B3630" s="1" t="s">
        <v>1955</v>
      </c>
      <c r="C3630" s="1" t="s">
        <v>130</v>
      </c>
      <c r="D3630" s="1" t="s">
        <v>131</v>
      </c>
      <c r="E3630" s="3">
        <v>1303</v>
      </c>
      <c r="F3630" s="1" t="s">
        <v>1864</v>
      </c>
      <c r="G3630" s="3">
        <v>1150</v>
      </c>
      <c r="H3630" s="1">
        <v>0</v>
      </c>
      <c r="I3630" s="1">
        <v>0.71049099999999998</v>
      </c>
    </row>
    <row r="3631" spans="1:9" x14ac:dyDescent="0.25">
      <c r="A3631" s="1">
        <v>2140400010</v>
      </c>
      <c r="B3631" s="1" t="s">
        <v>1955</v>
      </c>
      <c r="C3631" s="1" t="s">
        <v>151</v>
      </c>
      <c r="D3631" s="1" t="s">
        <v>152</v>
      </c>
      <c r="E3631" s="3">
        <v>1240</v>
      </c>
      <c r="F3631" s="1" t="s">
        <v>1864</v>
      </c>
      <c r="G3631" s="1">
        <v>0</v>
      </c>
      <c r="H3631" s="1">
        <v>0</v>
      </c>
      <c r="I3631" s="1">
        <v>0.65668499999999996</v>
      </c>
    </row>
    <row r="3632" spans="1:9" x14ac:dyDescent="0.25">
      <c r="A3632" s="1">
        <v>2140400011</v>
      </c>
      <c r="B3632" s="1" t="s">
        <v>1956</v>
      </c>
      <c r="C3632" s="1" t="s">
        <v>130</v>
      </c>
      <c r="D3632" s="1" t="s">
        <v>131</v>
      </c>
      <c r="E3632" s="3">
        <v>589</v>
      </c>
      <c r="F3632" s="1" t="s">
        <v>1864</v>
      </c>
      <c r="G3632" s="1">
        <v>700</v>
      </c>
      <c r="H3632" s="1">
        <v>0</v>
      </c>
      <c r="I3632" s="1">
        <v>0.84658699999999998</v>
      </c>
    </row>
    <row r="3633" spans="1:9" x14ac:dyDescent="0.25">
      <c r="A3633" s="1">
        <v>2140400011</v>
      </c>
      <c r="B3633" s="1" t="s">
        <v>1956</v>
      </c>
      <c r="C3633" s="1" t="s">
        <v>151</v>
      </c>
      <c r="D3633" s="1" t="s">
        <v>152</v>
      </c>
      <c r="E3633" s="3">
        <v>1000</v>
      </c>
      <c r="F3633" s="1" t="s">
        <v>1864</v>
      </c>
      <c r="G3633" s="1">
        <v>0</v>
      </c>
      <c r="H3633" s="1">
        <v>0</v>
      </c>
      <c r="I3633" s="1">
        <v>0.84658</v>
      </c>
    </row>
    <row r="3634" spans="1:9" x14ac:dyDescent="0.25">
      <c r="A3634" s="1">
        <v>2140400012</v>
      </c>
      <c r="B3634" s="1" t="s">
        <v>1957</v>
      </c>
      <c r="C3634" s="1" t="s">
        <v>130</v>
      </c>
      <c r="D3634" s="1" t="s">
        <v>131</v>
      </c>
      <c r="E3634" s="3">
        <v>1382</v>
      </c>
      <c r="F3634" s="1" t="s">
        <v>1864</v>
      </c>
      <c r="G3634" s="1">
        <v>625</v>
      </c>
      <c r="H3634" s="1">
        <v>0</v>
      </c>
      <c r="I3634" s="1">
        <v>0.73708399999999996</v>
      </c>
    </row>
    <row r="3635" spans="1:9" x14ac:dyDescent="0.25">
      <c r="A3635" s="1">
        <v>2140400012</v>
      </c>
      <c r="B3635" s="1" t="s">
        <v>1957</v>
      </c>
      <c r="C3635" s="1" t="s">
        <v>151</v>
      </c>
      <c r="D3635" s="1" t="s">
        <v>152</v>
      </c>
      <c r="E3635" s="1">
        <v>922</v>
      </c>
      <c r="F3635" s="1" t="s">
        <v>1864</v>
      </c>
      <c r="G3635" s="1">
        <v>0</v>
      </c>
      <c r="H3635" s="1">
        <v>0</v>
      </c>
      <c r="I3635" s="1">
        <v>0.71595399999999998</v>
      </c>
    </row>
    <row r="3636" spans="1:9" x14ac:dyDescent="0.25">
      <c r="A3636" s="1">
        <v>2140400013</v>
      </c>
      <c r="B3636" s="1" t="s">
        <v>1958</v>
      </c>
      <c r="C3636" s="1" t="s">
        <v>130</v>
      </c>
      <c r="D3636" s="1" t="s">
        <v>131</v>
      </c>
      <c r="E3636" s="1">
        <v>191</v>
      </c>
      <c r="F3636" s="1" t="s">
        <v>1864</v>
      </c>
      <c r="G3636" s="1">
        <v>475</v>
      </c>
      <c r="H3636" s="1">
        <v>0</v>
      </c>
      <c r="I3636" s="1">
        <v>0.70533999999999997</v>
      </c>
    </row>
    <row r="3637" spans="1:9" x14ac:dyDescent="0.25">
      <c r="A3637" s="1">
        <v>2140400013</v>
      </c>
      <c r="B3637" s="1" t="s">
        <v>1958</v>
      </c>
      <c r="C3637" s="1" t="s">
        <v>151</v>
      </c>
      <c r="D3637" s="1" t="s">
        <v>152</v>
      </c>
      <c r="E3637" s="3">
        <v>1795</v>
      </c>
      <c r="F3637" s="1" t="s">
        <v>1864</v>
      </c>
      <c r="G3637" s="1">
        <v>0</v>
      </c>
      <c r="H3637" s="1">
        <v>0</v>
      </c>
      <c r="I3637" s="1">
        <v>0.70340400000000003</v>
      </c>
    </row>
    <row r="3638" spans="1:9" x14ac:dyDescent="0.25">
      <c r="A3638" s="1">
        <v>2140400016</v>
      </c>
      <c r="B3638" s="1" t="s">
        <v>1959</v>
      </c>
      <c r="C3638" s="1" t="s">
        <v>126</v>
      </c>
      <c r="D3638" s="1" t="s">
        <v>127</v>
      </c>
      <c r="E3638" s="3">
        <v>249</v>
      </c>
      <c r="F3638" s="1" t="s">
        <v>36</v>
      </c>
      <c r="G3638" s="1">
        <v>0</v>
      </c>
      <c r="H3638" s="1">
        <v>0</v>
      </c>
      <c r="I3638" s="1">
        <v>0.157108</v>
      </c>
    </row>
    <row r="3639" spans="1:9" x14ac:dyDescent="0.25">
      <c r="A3639" s="1">
        <v>2140400017</v>
      </c>
      <c r="B3639" s="1" t="s">
        <v>1960</v>
      </c>
      <c r="C3639" s="1" t="s">
        <v>130</v>
      </c>
      <c r="D3639" s="1" t="s">
        <v>131</v>
      </c>
      <c r="E3639" s="3">
        <v>37597</v>
      </c>
      <c r="F3639" s="1" t="s">
        <v>36</v>
      </c>
      <c r="G3639" s="1">
        <v>0</v>
      </c>
      <c r="H3639" s="1">
        <v>0</v>
      </c>
      <c r="I3639" s="1">
        <v>0.15712300000000001</v>
      </c>
    </row>
    <row r="3640" spans="1:9" x14ac:dyDescent="0.25">
      <c r="A3640" s="1">
        <v>2140400019</v>
      </c>
      <c r="B3640" s="1" t="s">
        <v>1961</v>
      </c>
      <c r="C3640" s="1" t="s">
        <v>126</v>
      </c>
      <c r="D3640" s="1" t="s">
        <v>127</v>
      </c>
      <c r="E3640" s="3">
        <v>40</v>
      </c>
      <c r="F3640" s="1" t="s">
        <v>36</v>
      </c>
      <c r="G3640" s="3">
        <v>0</v>
      </c>
      <c r="H3640" s="3">
        <v>0</v>
      </c>
      <c r="I3640" s="1">
        <v>0.13675000000000001</v>
      </c>
    </row>
    <row r="3641" spans="1:9" x14ac:dyDescent="0.25">
      <c r="A3641" s="1">
        <v>2140400020</v>
      </c>
      <c r="B3641" s="1" t="s">
        <v>1962</v>
      </c>
      <c r="C3641" s="1" t="s">
        <v>130</v>
      </c>
      <c r="D3641" s="1" t="s">
        <v>131</v>
      </c>
      <c r="E3641" s="3">
        <v>14399</v>
      </c>
      <c r="F3641" s="1" t="s">
        <v>36</v>
      </c>
      <c r="G3641" s="1">
        <v>0</v>
      </c>
      <c r="H3641" s="1">
        <v>5</v>
      </c>
      <c r="I3641" s="1">
        <v>0.15712300000000001</v>
      </c>
    </row>
    <row r="3642" spans="1:9" x14ac:dyDescent="0.25">
      <c r="A3642" s="1">
        <v>2140400020</v>
      </c>
      <c r="B3642" s="1" t="s">
        <v>1962</v>
      </c>
      <c r="C3642" s="1" t="s">
        <v>139</v>
      </c>
      <c r="D3642" s="1" t="s">
        <v>140</v>
      </c>
      <c r="E3642" s="3">
        <v>5</v>
      </c>
      <c r="F3642" s="1" t="s">
        <v>36</v>
      </c>
      <c r="G3642" s="1">
        <v>5</v>
      </c>
      <c r="H3642" s="1">
        <v>0</v>
      </c>
      <c r="I3642" s="1">
        <v>0.158</v>
      </c>
    </row>
    <row r="3643" spans="1:9" x14ac:dyDescent="0.25">
      <c r="A3643" s="1">
        <v>2140400021</v>
      </c>
      <c r="B3643" s="1" t="s">
        <v>1963</v>
      </c>
      <c r="C3643" s="1" t="s">
        <v>130</v>
      </c>
      <c r="D3643" s="1" t="s">
        <v>131</v>
      </c>
      <c r="E3643" s="1">
        <v>100</v>
      </c>
      <c r="F3643" s="1" t="s">
        <v>36</v>
      </c>
      <c r="G3643" s="1">
        <v>0</v>
      </c>
      <c r="H3643" s="3">
        <v>0</v>
      </c>
      <c r="I3643" s="1">
        <v>0.14729999999999999</v>
      </c>
    </row>
    <row r="3644" spans="1:9" x14ac:dyDescent="0.25">
      <c r="A3644" s="1">
        <v>2140400021</v>
      </c>
      <c r="B3644" s="1" t="s">
        <v>1963</v>
      </c>
      <c r="C3644" s="1" t="s">
        <v>126</v>
      </c>
      <c r="D3644" s="1" t="s">
        <v>127</v>
      </c>
      <c r="E3644" s="1">
        <v>49</v>
      </c>
      <c r="F3644" s="1" t="s">
        <v>36</v>
      </c>
      <c r="G3644" s="1">
        <v>0</v>
      </c>
      <c r="H3644" s="1">
        <v>0</v>
      </c>
      <c r="I3644" s="1">
        <v>0.147143</v>
      </c>
    </row>
    <row r="3645" spans="1:9" x14ac:dyDescent="0.25">
      <c r="A3645" s="1">
        <v>2140400022</v>
      </c>
      <c r="B3645" s="1" t="s">
        <v>1964</v>
      </c>
      <c r="C3645" s="1" t="s">
        <v>130</v>
      </c>
      <c r="D3645" s="1" t="s">
        <v>131</v>
      </c>
      <c r="E3645" s="3">
        <v>42</v>
      </c>
      <c r="F3645" s="1" t="s">
        <v>36</v>
      </c>
      <c r="G3645" s="3">
        <v>0</v>
      </c>
      <c r="H3645" s="1">
        <v>0</v>
      </c>
      <c r="I3645" s="1">
        <v>0.14881</v>
      </c>
    </row>
    <row r="3646" spans="1:9" x14ac:dyDescent="0.25">
      <c r="A3646" s="1">
        <v>2140400023</v>
      </c>
      <c r="B3646" s="1" t="s">
        <v>1965</v>
      </c>
      <c r="C3646" s="1" t="s">
        <v>130</v>
      </c>
      <c r="D3646" s="1" t="s">
        <v>131</v>
      </c>
      <c r="E3646" s="3">
        <v>9699</v>
      </c>
      <c r="F3646" s="1" t="s">
        <v>36</v>
      </c>
      <c r="G3646" s="1">
        <v>0</v>
      </c>
      <c r="H3646" s="1">
        <v>0</v>
      </c>
      <c r="I3646" s="1">
        <v>0.157084</v>
      </c>
    </row>
    <row r="3647" spans="1:9" x14ac:dyDescent="0.25">
      <c r="A3647" s="1">
        <v>2140400024</v>
      </c>
      <c r="B3647" s="1" t="s">
        <v>1966</v>
      </c>
      <c r="C3647" s="1" t="s">
        <v>307</v>
      </c>
      <c r="D3647" s="1" t="s">
        <v>308</v>
      </c>
      <c r="E3647" s="1">
        <v>100</v>
      </c>
      <c r="F3647" s="1" t="s">
        <v>36</v>
      </c>
      <c r="G3647" s="1">
        <v>0</v>
      </c>
      <c r="H3647" s="1">
        <v>0</v>
      </c>
      <c r="I3647" s="1">
        <v>0.16320000000000001</v>
      </c>
    </row>
    <row r="3648" spans="1:9" x14ac:dyDescent="0.25">
      <c r="A3648" s="1">
        <v>2140400024</v>
      </c>
      <c r="B3648" s="1" t="s">
        <v>1966</v>
      </c>
      <c r="C3648" s="1" t="s">
        <v>130</v>
      </c>
      <c r="D3648" s="1" t="s">
        <v>131</v>
      </c>
      <c r="E3648" s="1">
        <v>201</v>
      </c>
      <c r="F3648" s="1" t="s">
        <v>36</v>
      </c>
      <c r="G3648" s="1">
        <v>0</v>
      </c>
      <c r="H3648" s="1">
        <v>0</v>
      </c>
      <c r="I3648" s="1">
        <v>0.16323399999999999</v>
      </c>
    </row>
    <row r="3649" spans="1:9" x14ac:dyDescent="0.25">
      <c r="A3649" s="1">
        <v>2140400024</v>
      </c>
      <c r="B3649" s="1" t="s">
        <v>1966</v>
      </c>
      <c r="C3649" s="1" t="s">
        <v>126</v>
      </c>
      <c r="D3649" s="1" t="s">
        <v>127</v>
      </c>
      <c r="E3649" s="1">
        <v>47</v>
      </c>
      <c r="F3649" s="1" t="s">
        <v>36</v>
      </c>
      <c r="G3649" s="1">
        <v>0</v>
      </c>
      <c r="H3649" s="1">
        <v>0</v>
      </c>
      <c r="I3649" s="1">
        <v>0.163191</v>
      </c>
    </row>
    <row r="3650" spans="1:9" x14ac:dyDescent="0.25">
      <c r="A3650" s="1">
        <v>2140400026</v>
      </c>
      <c r="B3650" s="1" t="s">
        <v>1967</v>
      </c>
      <c r="C3650" s="1" t="s">
        <v>307</v>
      </c>
      <c r="D3650" s="1" t="s">
        <v>308</v>
      </c>
      <c r="E3650" s="3">
        <v>4500</v>
      </c>
      <c r="F3650" s="1" t="s">
        <v>36</v>
      </c>
      <c r="G3650" s="1">
        <v>0</v>
      </c>
      <c r="H3650" s="1">
        <v>0</v>
      </c>
      <c r="I3650" s="1">
        <v>0.15709300000000001</v>
      </c>
    </row>
    <row r="3651" spans="1:9" x14ac:dyDescent="0.25">
      <c r="A3651" s="1">
        <v>2140400026</v>
      </c>
      <c r="B3651" s="1" t="s">
        <v>1967</v>
      </c>
      <c r="C3651" s="1" t="s">
        <v>130</v>
      </c>
      <c r="D3651" s="1" t="s">
        <v>131</v>
      </c>
      <c r="E3651" s="3">
        <v>300</v>
      </c>
      <c r="F3651" s="1" t="s">
        <v>36</v>
      </c>
      <c r="G3651" s="1">
        <v>0</v>
      </c>
      <c r="H3651" s="1">
        <v>0</v>
      </c>
      <c r="I3651" s="1">
        <v>0.15709999999999999</v>
      </c>
    </row>
    <row r="3652" spans="1:9" x14ac:dyDescent="0.25">
      <c r="A3652" s="1">
        <v>2140400027</v>
      </c>
      <c r="B3652" s="1" t="s">
        <v>1968</v>
      </c>
      <c r="C3652" s="1" t="s">
        <v>126</v>
      </c>
      <c r="D3652" s="1" t="s">
        <v>127</v>
      </c>
      <c r="E3652" s="1">
        <v>0.97</v>
      </c>
      <c r="F3652" s="1" t="s">
        <v>36</v>
      </c>
      <c r="G3652" s="1">
        <v>0</v>
      </c>
      <c r="H3652" s="1">
        <v>0</v>
      </c>
      <c r="I3652" s="1">
        <v>9.2784000000000005E-2</v>
      </c>
    </row>
    <row r="3653" spans="1:9" x14ac:dyDescent="0.25">
      <c r="A3653" s="1">
        <v>2140400028</v>
      </c>
      <c r="B3653" s="1" t="s">
        <v>1969</v>
      </c>
      <c r="C3653" s="1" t="s">
        <v>126</v>
      </c>
      <c r="D3653" s="1" t="s">
        <v>127</v>
      </c>
      <c r="E3653" s="3">
        <v>87</v>
      </c>
      <c r="F3653" s="1" t="s">
        <v>36</v>
      </c>
      <c r="G3653" s="1">
        <v>0</v>
      </c>
      <c r="H3653" s="1">
        <v>0</v>
      </c>
      <c r="I3653" s="1">
        <v>0.15701100000000001</v>
      </c>
    </row>
    <row r="3654" spans="1:9" x14ac:dyDescent="0.25">
      <c r="A3654" s="1">
        <v>2140400029</v>
      </c>
      <c r="B3654" s="1" t="s">
        <v>1970</v>
      </c>
      <c r="C3654" s="1" t="s">
        <v>126</v>
      </c>
      <c r="D3654" s="1" t="s">
        <v>127</v>
      </c>
      <c r="E3654" s="3">
        <v>1.97</v>
      </c>
      <c r="F3654" s="1" t="s">
        <v>36</v>
      </c>
      <c r="G3654" s="1">
        <v>0</v>
      </c>
      <c r="H3654" s="1">
        <v>0</v>
      </c>
      <c r="I3654" s="1">
        <v>9.1370999999999994E-2</v>
      </c>
    </row>
    <row r="3655" spans="1:9" x14ac:dyDescent="0.25">
      <c r="A3655" s="1">
        <v>2140400030</v>
      </c>
      <c r="B3655" s="1" t="s">
        <v>1971</v>
      </c>
      <c r="C3655" s="1" t="s">
        <v>130</v>
      </c>
      <c r="D3655" s="1" t="s">
        <v>131</v>
      </c>
      <c r="E3655" s="3">
        <v>1599</v>
      </c>
      <c r="F3655" s="1" t="s">
        <v>36</v>
      </c>
      <c r="G3655" s="1">
        <v>0</v>
      </c>
      <c r="H3655" s="1">
        <v>0</v>
      </c>
      <c r="I3655" s="1">
        <v>0.15710399999999999</v>
      </c>
    </row>
    <row r="3656" spans="1:9" x14ac:dyDescent="0.25">
      <c r="A3656" s="1">
        <v>2140400033</v>
      </c>
      <c r="B3656" s="1" t="s">
        <v>1972</v>
      </c>
      <c r="C3656" s="1" t="s">
        <v>130</v>
      </c>
      <c r="D3656" s="1" t="s">
        <v>131</v>
      </c>
      <c r="E3656" s="1">
        <v>599</v>
      </c>
      <c r="F3656" s="1" t="s">
        <v>36</v>
      </c>
      <c r="G3656" s="1">
        <v>0</v>
      </c>
      <c r="H3656" s="1">
        <v>8</v>
      </c>
      <c r="I3656" s="1">
        <v>9.1885999999999995E-2</v>
      </c>
    </row>
    <row r="3657" spans="1:9" x14ac:dyDescent="0.25">
      <c r="A3657" s="1">
        <v>2140400033</v>
      </c>
      <c r="B3657" s="1" t="s">
        <v>1972</v>
      </c>
      <c r="C3657" s="1" t="s">
        <v>126</v>
      </c>
      <c r="D3657" s="1" t="s">
        <v>127</v>
      </c>
      <c r="E3657" s="1">
        <v>2.91</v>
      </c>
      <c r="F3657" s="1" t="s">
        <v>36</v>
      </c>
      <c r="G3657" s="1">
        <v>0</v>
      </c>
      <c r="H3657" s="1">
        <v>0</v>
      </c>
      <c r="I3657" s="1">
        <v>9.2784000000000005E-2</v>
      </c>
    </row>
    <row r="3658" spans="1:9" x14ac:dyDescent="0.25">
      <c r="A3658" s="1">
        <v>2140400033</v>
      </c>
      <c r="B3658" s="1" t="s">
        <v>1972</v>
      </c>
      <c r="C3658" s="1" t="s">
        <v>139</v>
      </c>
      <c r="D3658" s="1" t="s">
        <v>140</v>
      </c>
      <c r="E3658" s="3">
        <v>8</v>
      </c>
      <c r="F3658" s="1" t="s">
        <v>36</v>
      </c>
      <c r="G3658" s="1">
        <v>8</v>
      </c>
      <c r="H3658" s="1">
        <v>0</v>
      </c>
      <c r="I3658" s="1">
        <v>9.2499999999999999E-2</v>
      </c>
    </row>
    <row r="3659" spans="1:9" x14ac:dyDescent="0.25">
      <c r="A3659" s="1">
        <v>2140400036</v>
      </c>
      <c r="B3659" s="1" t="s">
        <v>1973</v>
      </c>
      <c r="C3659" s="1" t="s">
        <v>130</v>
      </c>
      <c r="D3659" s="1" t="s">
        <v>131</v>
      </c>
      <c r="E3659" s="3">
        <v>1600</v>
      </c>
      <c r="F3659" s="1" t="s">
        <v>36</v>
      </c>
      <c r="G3659" s="1">
        <v>0</v>
      </c>
      <c r="H3659" s="1">
        <v>0</v>
      </c>
      <c r="I3659" s="1">
        <v>9.1656000000000001E-2</v>
      </c>
    </row>
    <row r="3660" spans="1:9" x14ac:dyDescent="0.25">
      <c r="A3660" s="1">
        <v>2140400036</v>
      </c>
      <c r="B3660" s="1" t="s">
        <v>1973</v>
      </c>
      <c r="C3660" s="1" t="s">
        <v>126</v>
      </c>
      <c r="D3660" s="1" t="s">
        <v>127</v>
      </c>
      <c r="E3660" s="1">
        <v>0.91</v>
      </c>
      <c r="F3660" s="1" t="s">
        <v>36</v>
      </c>
      <c r="G3660" s="1">
        <v>0</v>
      </c>
      <c r="H3660" s="1">
        <v>0</v>
      </c>
      <c r="I3660" s="1">
        <v>8.7912000000000004E-2</v>
      </c>
    </row>
    <row r="3661" spans="1:9" x14ac:dyDescent="0.25">
      <c r="A3661" s="1">
        <v>2140410001</v>
      </c>
      <c r="B3661" s="1" t="s">
        <v>1974</v>
      </c>
      <c r="C3661" s="1" t="s">
        <v>130</v>
      </c>
      <c r="D3661" s="1" t="s">
        <v>131</v>
      </c>
      <c r="E3661" s="3">
        <v>1109</v>
      </c>
      <c r="F3661" s="1" t="s">
        <v>1930</v>
      </c>
      <c r="G3661" s="1">
        <v>382</v>
      </c>
      <c r="H3661" s="1">
        <v>0</v>
      </c>
      <c r="I3661" s="1">
        <v>0.86641999999999997</v>
      </c>
    </row>
    <row r="3662" spans="1:9" x14ac:dyDescent="0.25">
      <c r="A3662" s="1">
        <v>2140410001</v>
      </c>
      <c r="B3662" s="1" t="s">
        <v>1974</v>
      </c>
      <c r="C3662" s="1" t="s">
        <v>151</v>
      </c>
      <c r="D3662" s="1" t="s">
        <v>152</v>
      </c>
      <c r="E3662" s="3">
        <v>372</v>
      </c>
      <c r="F3662" s="1" t="s">
        <v>1930</v>
      </c>
      <c r="G3662" s="1">
        <v>0</v>
      </c>
      <c r="H3662" s="1">
        <v>0</v>
      </c>
      <c r="I3662" s="1">
        <v>0.866371</v>
      </c>
    </row>
    <row r="3663" spans="1:9" x14ac:dyDescent="0.25">
      <c r="A3663" s="1">
        <v>2140420001</v>
      </c>
      <c r="B3663" s="1" t="s">
        <v>1975</v>
      </c>
      <c r="C3663" s="1" t="s">
        <v>130</v>
      </c>
      <c r="D3663" s="1" t="s">
        <v>131</v>
      </c>
      <c r="E3663" s="1">
        <v>47</v>
      </c>
      <c r="F3663" s="1" t="s">
        <v>1932</v>
      </c>
      <c r="G3663" s="1">
        <v>100</v>
      </c>
      <c r="H3663" s="1">
        <v>0</v>
      </c>
      <c r="I3663" s="1">
        <v>0.91383000000000003</v>
      </c>
    </row>
    <row r="3664" spans="1:9" x14ac:dyDescent="0.25">
      <c r="A3664" s="1">
        <v>2140420001</v>
      </c>
      <c r="B3664" s="1" t="s">
        <v>1975</v>
      </c>
      <c r="C3664" s="1" t="s">
        <v>151</v>
      </c>
      <c r="D3664" s="1" t="s">
        <v>152</v>
      </c>
      <c r="E3664" s="1">
        <v>216</v>
      </c>
      <c r="F3664" s="1" t="s">
        <v>1932</v>
      </c>
      <c r="G3664" s="1">
        <v>0</v>
      </c>
      <c r="H3664" s="1">
        <v>0</v>
      </c>
      <c r="I3664" s="1">
        <v>0.91388899999999995</v>
      </c>
    </row>
    <row r="3665" spans="1:9" x14ac:dyDescent="0.25">
      <c r="A3665" s="1">
        <v>2140430001</v>
      </c>
      <c r="B3665" s="1" t="s">
        <v>1976</v>
      </c>
      <c r="C3665" s="1" t="s">
        <v>130</v>
      </c>
      <c r="D3665" s="1" t="s">
        <v>131</v>
      </c>
      <c r="E3665" s="1">
        <v>724</v>
      </c>
      <c r="F3665" s="1" t="s">
        <v>1847</v>
      </c>
      <c r="G3665" s="1">
        <v>0</v>
      </c>
      <c r="H3665" s="3">
        <v>0</v>
      </c>
      <c r="I3665" s="1">
        <v>1.488191</v>
      </c>
    </row>
    <row r="3666" spans="1:9" x14ac:dyDescent="0.25">
      <c r="A3666" s="1">
        <v>2140430002</v>
      </c>
      <c r="B3666" s="1" t="s">
        <v>1977</v>
      </c>
      <c r="C3666" s="1" t="s">
        <v>130</v>
      </c>
      <c r="D3666" s="1" t="s">
        <v>131</v>
      </c>
      <c r="E3666" s="3">
        <v>1406</v>
      </c>
      <c r="F3666" s="1" t="s">
        <v>1847</v>
      </c>
      <c r="G3666" s="1">
        <v>0</v>
      </c>
      <c r="H3666" s="1">
        <v>0</v>
      </c>
      <c r="I3666" s="1">
        <v>1.44862</v>
      </c>
    </row>
    <row r="3667" spans="1:9" x14ac:dyDescent="0.25">
      <c r="A3667" s="1">
        <v>2140430003</v>
      </c>
      <c r="B3667" s="1" t="s">
        <v>1978</v>
      </c>
      <c r="C3667" s="1" t="s">
        <v>130</v>
      </c>
      <c r="D3667" s="1" t="s">
        <v>131</v>
      </c>
      <c r="E3667" s="3">
        <v>1150</v>
      </c>
      <c r="F3667" s="1" t="s">
        <v>1847</v>
      </c>
      <c r="G3667" s="3">
        <v>0</v>
      </c>
      <c r="H3667" s="1">
        <v>0</v>
      </c>
      <c r="I3667" s="1">
        <v>1.061809</v>
      </c>
    </row>
    <row r="3668" spans="1:9" x14ac:dyDescent="0.25">
      <c r="A3668" s="1">
        <v>2140430004</v>
      </c>
      <c r="B3668" s="1" t="s">
        <v>1979</v>
      </c>
      <c r="C3668" s="1" t="s">
        <v>130</v>
      </c>
      <c r="D3668" s="1" t="s">
        <v>131</v>
      </c>
      <c r="E3668" s="3">
        <v>1196</v>
      </c>
      <c r="F3668" s="1" t="s">
        <v>1847</v>
      </c>
      <c r="G3668" s="1">
        <v>0</v>
      </c>
      <c r="H3668" s="1">
        <v>0</v>
      </c>
      <c r="I3668" s="1">
        <v>1.0962879999999999</v>
      </c>
    </row>
    <row r="3669" spans="1:9" x14ac:dyDescent="0.25">
      <c r="A3669" s="1">
        <v>2140430006</v>
      </c>
      <c r="B3669" s="1" t="s">
        <v>1980</v>
      </c>
      <c r="C3669" s="1" t="s">
        <v>130</v>
      </c>
      <c r="D3669" s="1" t="s">
        <v>131</v>
      </c>
      <c r="E3669" s="3">
        <v>1705</v>
      </c>
      <c r="F3669" s="1" t="s">
        <v>1847</v>
      </c>
      <c r="G3669" s="1">
        <v>0</v>
      </c>
      <c r="H3669" s="1">
        <v>0</v>
      </c>
      <c r="I3669" s="1">
        <v>1.5209619999999999</v>
      </c>
    </row>
    <row r="3670" spans="1:9" x14ac:dyDescent="0.25">
      <c r="A3670" s="1">
        <v>2140440001</v>
      </c>
      <c r="B3670" s="1" t="s">
        <v>1981</v>
      </c>
      <c r="C3670" s="1" t="s">
        <v>130</v>
      </c>
      <c r="D3670" s="1" t="s">
        <v>131</v>
      </c>
      <c r="E3670" s="3">
        <v>1827</v>
      </c>
      <c r="F3670" s="1" t="s">
        <v>1930</v>
      </c>
      <c r="G3670" s="1">
        <v>0</v>
      </c>
      <c r="H3670" s="1">
        <v>0</v>
      </c>
      <c r="I3670" s="1">
        <v>0.74040499999999998</v>
      </c>
    </row>
    <row r="3671" spans="1:9" x14ac:dyDescent="0.25">
      <c r="A3671" s="1">
        <v>2140440001</v>
      </c>
      <c r="B3671" s="1" t="s">
        <v>1981</v>
      </c>
      <c r="C3671" s="1" t="s">
        <v>151</v>
      </c>
      <c r="D3671" s="1" t="s">
        <v>152</v>
      </c>
      <c r="E3671" s="3">
        <v>120</v>
      </c>
      <c r="F3671" s="1" t="s">
        <v>1930</v>
      </c>
      <c r="G3671" s="1">
        <v>0</v>
      </c>
      <c r="H3671" s="1">
        <v>0</v>
      </c>
      <c r="I3671" s="1">
        <v>0.74041699999999999</v>
      </c>
    </row>
    <row r="3672" spans="1:9" x14ac:dyDescent="0.25">
      <c r="A3672" s="1">
        <v>2140440002</v>
      </c>
      <c r="B3672" s="1" t="s">
        <v>1982</v>
      </c>
      <c r="C3672" s="1" t="s">
        <v>130</v>
      </c>
      <c r="D3672" s="1" t="s">
        <v>131</v>
      </c>
      <c r="E3672" s="3">
        <v>1972</v>
      </c>
      <c r="F3672" s="1" t="s">
        <v>1930</v>
      </c>
      <c r="G3672" s="1">
        <v>0</v>
      </c>
      <c r="H3672" s="1">
        <v>0</v>
      </c>
      <c r="I3672" s="1">
        <v>0.62851400000000002</v>
      </c>
    </row>
    <row r="3673" spans="1:9" x14ac:dyDescent="0.25">
      <c r="A3673" s="1">
        <v>2140440002</v>
      </c>
      <c r="B3673" s="1" t="s">
        <v>1982</v>
      </c>
      <c r="C3673" s="1" t="s">
        <v>151</v>
      </c>
      <c r="D3673" s="1" t="s">
        <v>152</v>
      </c>
      <c r="E3673" s="1">
        <v>84</v>
      </c>
      <c r="F3673" s="1" t="s">
        <v>1930</v>
      </c>
      <c r="G3673" s="1">
        <v>0</v>
      </c>
      <c r="H3673" s="3">
        <v>0</v>
      </c>
      <c r="I3673" s="1">
        <v>0.62857099999999999</v>
      </c>
    </row>
    <row r="3674" spans="1:9" x14ac:dyDescent="0.25">
      <c r="A3674" s="1">
        <v>2140440003</v>
      </c>
      <c r="B3674" s="1" t="s">
        <v>1983</v>
      </c>
      <c r="C3674" s="1" t="s">
        <v>130</v>
      </c>
      <c r="D3674" s="1" t="s">
        <v>131</v>
      </c>
      <c r="E3674" s="3">
        <v>1658</v>
      </c>
      <c r="F3674" s="1" t="s">
        <v>1930</v>
      </c>
      <c r="G3674" s="1">
        <v>630</v>
      </c>
      <c r="H3674" s="1">
        <v>0</v>
      </c>
      <c r="I3674" s="1">
        <v>1.0551090000000001</v>
      </c>
    </row>
    <row r="3675" spans="1:9" x14ac:dyDescent="0.25">
      <c r="A3675" s="1">
        <v>2140440003</v>
      </c>
      <c r="B3675" s="1" t="s">
        <v>1983</v>
      </c>
      <c r="C3675" s="1" t="s">
        <v>151</v>
      </c>
      <c r="D3675" s="1" t="s">
        <v>152</v>
      </c>
      <c r="E3675" s="3">
        <v>216</v>
      </c>
      <c r="F3675" s="1" t="s">
        <v>1930</v>
      </c>
      <c r="G3675" s="3">
        <v>0</v>
      </c>
      <c r="H3675" s="1">
        <v>0</v>
      </c>
      <c r="I3675" s="1">
        <v>1.0550930000000001</v>
      </c>
    </row>
    <row r="3676" spans="1:9" x14ac:dyDescent="0.25">
      <c r="A3676" s="1">
        <v>2140440004</v>
      </c>
      <c r="B3676" s="1" t="s">
        <v>1984</v>
      </c>
      <c r="C3676" s="1" t="s">
        <v>130</v>
      </c>
      <c r="D3676" s="1" t="s">
        <v>131</v>
      </c>
      <c r="E3676" s="3">
        <v>1920</v>
      </c>
      <c r="F3676" s="1" t="s">
        <v>1930</v>
      </c>
      <c r="G3676" s="1">
        <v>480</v>
      </c>
      <c r="H3676" s="3">
        <v>0</v>
      </c>
      <c r="I3676" s="1">
        <v>0.84689599999999998</v>
      </c>
    </row>
    <row r="3677" spans="1:9" x14ac:dyDescent="0.25">
      <c r="A3677" s="1">
        <v>2140440004</v>
      </c>
      <c r="B3677" s="1" t="s">
        <v>1984</v>
      </c>
      <c r="C3677" s="1" t="s">
        <v>151</v>
      </c>
      <c r="D3677" s="1" t="s">
        <v>152</v>
      </c>
      <c r="E3677" s="3">
        <v>240</v>
      </c>
      <c r="F3677" s="1" t="s">
        <v>1930</v>
      </c>
      <c r="G3677" s="1">
        <v>0</v>
      </c>
      <c r="H3677" s="1">
        <v>0</v>
      </c>
      <c r="I3677" s="1">
        <v>0.84687500000000004</v>
      </c>
    </row>
    <row r="3678" spans="1:9" x14ac:dyDescent="0.25">
      <c r="A3678" s="1">
        <v>2140440005</v>
      </c>
      <c r="B3678" s="1" t="s">
        <v>1985</v>
      </c>
      <c r="C3678" s="1" t="s">
        <v>130</v>
      </c>
      <c r="D3678" s="1" t="s">
        <v>131</v>
      </c>
      <c r="E3678" s="3">
        <v>1728</v>
      </c>
      <c r="F3678" s="1" t="s">
        <v>1930</v>
      </c>
      <c r="G3678" s="3">
        <v>0</v>
      </c>
      <c r="H3678" s="1">
        <v>0</v>
      </c>
      <c r="I3678" s="1">
        <v>0.62285299999999999</v>
      </c>
    </row>
    <row r="3679" spans="1:9" x14ac:dyDescent="0.25">
      <c r="A3679" s="1">
        <v>2140440005</v>
      </c>
      <c r="B3679" s="1" t="s">
        <v>1985</v>
      </c>
      <c r="C3679" s="1" t="s">
        <v>151</v>
      </c>
      <c r="D3679" s="1" t="s">
        <v>152</v>
      </c>
      <c r="E3679" s="1">
        <v>156</v>
      </c>
      <c r="F3679" s="1" t="s">
        <v>1930</v>
      </c>
      <c r="G3679" s="1">
        <v>0</v>
      </c>
      <c r="H3679" s="3">
        <v>0</v>
      </c>
      <c r="I3679" s="1">
        <v>0.62288500000000002</v>
      </c>
    </row>
    <row r="3680" spans="1:9" x14ac:dyDescent="0.25">
      <c r="A3680" s="1">
        <v>2140440006</v>
      </c>
      <c r="B3680" s="1" t="s">
        <v>1986</v>
      </c>
      <c r="C3680" s="1" t="s">
        <v>130</v>
      </c>
      <c r="D3680" s="1" t="s">
        <v>131</v>
      </c>
      <c r="E3680" s="3">
        <v>1936</v>
      </c>
      <c r="F3680" s="1" t="s">
        <v>1930</v>
      </c>
      <c r="G3680" s="1">
        <v>0</v>
      </c>
      <c r="H3680" s="1">
        <v>0</v>
      </c>
      <c r="I3680" s="1">
        <v>0.87399300000000002</v>
      </c>
    </row>
    <row r="3681" spans="1:9" x14ac:dyDescent="0.25">
      <c r="A3681" s="1">
        <v>2140440006</v>
      </c>
      <c r="B3681" s="1" t="s">
        <v>1986</v>
      </c>
      <c r="C3681" s="1" t="s">
        <v>151</v>
      </c>
      <c r="D3681" s="1" t="s">
        <v>152</v>
      </c>
      <c r="E3681" s="3">
        <v>156</v>
      </c>
      <c r="F3681" s="1" t="s">
        <v>1930</v>
      </c>
      <c r="G3681" s="1">
        <v>0</v>
      </c>
      <c r="H3681" s="1">
        <v>0</v>
      </c>
      <c r="I3681" s="1">
        <v>0.87397400000000003</v>
      </c>
    </row>
    <row r="3682" spans="1:9" x14ac:dyDescent="0.25">
      <c r="A3682" s="1">
        <v>2140440007</v>
      </c>
      <c r="B3682" s="1" t="s">
        <v>1987</v>
      </c>
      <c r="C3682" s="1" t="s">
        <v>130</v>
      </c>
      <c r="D3682" s="1" t="s">
        <v>131</v>
      </c>
      <c r="E3682" s="1">
        <v>708</v>
      </c>
      <c r="F3682" s="1" t="s">
        <v>1930</v>
      </c>
      <c r="G3682" s="1">
        <v>180</v>
      </c>
      <c r="H3682" s="1">
        <v>0</v>
      </c>
      <c r="I3682" s="1">
        <v>0.56415300000000002</v>
      </c>
    </row>
    <row r="3683" spans="1:9" x14ac:dyDescent="0.25">
      <c r="A3683" s="1">
        <v>2140440007</v>
      </c>
      <c r="B3683" s="1" t="s">
        <v>1987</v>
      </c>
      <c r="C3683" s="1" t="s">
        <v>151</v>
      </c>
      <c r="D3683" s="1" t="s">
        <v>152</v>
      </c>
      <c r="E3683" s="1">
        <v>192</v>
      </c>
      <c r="F3683" s="1" t="s">
        <v>1930</v>
      </c>
      <c r="G3683" s="1">
        <v>0</v>
      </c>
      <c r="H3683" s="1">
        <v>0</v>
      </c>
      <c r="I3683" s="1">
        <v>0.56416699999999997</v>
      </c>
    </row>
    <row r="3684" spans="1:9" x14ac:dyDescent="0.25">
      <c r="A3684" s="1">
        <v>2140440008</v>
      </c>
      <c r="B3684" s="1" t="s">
        <v>1988</v>
      </c>
      <c r="C3684" s="1" t="s">
        <v>130</v>
      </c>
      <c r="D3684" s="1" t="s">
        <v>131</v>
      </c>
      <c r="E3684" s="3">
        <v>1930</v>
      </c>
      <c r="F3684" s="1" t="s">
        <v>1930</v>
      </c>
      <c r="G3684" s="1">
        <v>0</v>
      </c>
      <c r="H3684" s="1">
        <v>0</v>
      </c>
      <c r="I3684" s="1">
        <v>0.67130599999999996</v>
      </c>
    </row>
    <row r="3685" spans="1:9" x14ac:dyDescent="0.25">
      <c r="A3685" s="1">
        <v>2140440008</v>
      </c>
      <c r="B3685" s="1" t="s">
        <v>1988</v>
      </c>
      <c r="C3685" s="1" t="s">
        <v>151</v>
      </c>
      <c r="D3685" s="1" t="s">
        <v>152</v>
      </c>
      <c r="E3685" s="3">
        <v>108</v>
      </c>
      <c r="F3685" s="1" t="s">
        <v>1930</v>
      </c>
      <c r="G3685" s="3">
        <v>0</v>
      </c>
      <c r="H3685" s="1">
        <v>0</v>
      </c>
      <c r="I3685" s="1">
        <v>0.671296</v>
      </c>
    </row>
    <row r="3686" spans="1:9" x14ac:dyDescent="0.25">
      <c r="A3686" s="1">
        <v>2140440009</v>
      </c>
      <c r="B3686" s="1" t="s">
        <v>1989</v>
      </c>
      <c r="C3686" s="1" t="s">
        <v>130</v>
      </c>
      <c r="D3686" s="1" t="s">
        <v>131</v>
      </c>
      <c r="E3686" s="3">
        <v>11</v>
      </c>
      <c r="F3686" s="1" t="s">
        <v>1930</v>
      </c>
      <c r="G3686" s="1">
        <v>156</v>
      </c>
      <c r="H3686" s="1">
        <v>156</v>
      </c>
      <c r="I3686" s="1">
        <v>0.57454499999999997</v>
      </c>
    </row>
    <row r="3687" spans="1:9" x14ac:dyDescent="0.25">
      <c r="A3687" s="1">
        <v>2140440009</v>
      </c>
      <c r="B3687" s="1" t="s">
        <v>1989</v>
      </c>
      <c r="C3687" s="1" t="s">
        <v>151</v>
      </c>
      <c r="D3687" s="1" t="s">
        <v>152</v>
      </c>
      <c r="E3687" s="3">
        <v>0</v>
      </c>
      <c r="F3687" s="1" t="s">
        <v>1930</v>
      </c>
      <c r="G3687" s="3">
        <v>156</v>
      </c>
      <c r="H3687" s="3">
        <v>0</v>
      </c>
      <c r="I3687" s="1">
        <v>0</v>
      </c>
    </row>
    <row r="3688" spans="1:9" x14ac:dyDescent="0.25">
      <c r="A3688" s="1">
        <v>2140440010</v>
      </c>
      <c r="B3688" s="1" t="s">
        <v>1990</v>
      </c>
      <c r="C3688" s="1" t="s">
        <v>130</v>
      </c>
      <c r="D3688" s="1" t="s">
        <v>131</v>
      </c>
      <c r="E3688" s="1">
        <v>498</v>
      </c>
      <c r="F3688" s="1" t="s">
        <v>1930</v>
      </c>
      <c r="G3688" s="1">
        <v>120</v>
      </c>
      <c r="H3688" s="3">
        <v>0</v>
      </c>
      <c r="I3688" s="1">
        <v>0.59797199999999995</v>
      </c>
    </row>
    <row r="3689" spans="1:9" x14ac:dyDescent="0.25">
      <c r="A3689" s="1">
        <v>2140440010</v>
      </c>
      <c r="B3689" s="1" t="s">
        <v>1990</v>
      </c>
      <c r="C3689" s="1" t="s">
        <v>151</v>
      </c>
      <c r="D3689" s="1" t="s">
        <v>152</v>
      </c>
      <c r="E3689" s="3">
        <v>204</v>
      </c>
      <c r="F3689" s="1" t="s">
        <v>1930</v>
      </c>
      <c r="G3689" s="1">
        <v>0</v>
      </c>
      <c r="H3689" s="1">
        <v>0</v>
      </c>
      <c r="I3689" s="1">
        <v>0.59799000000000002</v>
      </c>
    </row>
    <row r="3690" spans="1:9" x14ac:dyDescent="0.25">
      <c r="A3690" s="1">
        <v>2140440011</v>
      </c>
      <c r="B3690" s="1" t="s">
        <v>1991</v>
      </c>
      <c r="C3690" s="1" t="s">
        <v>130</v>
      </c>
      <c r="D3690" s="1" t="s">
        <v>131</v>
      </c>
      <c r="E3690" s="3">
        <v>1035</v>
      </c>
      <c r="F3690" s="1" t="s">
        <v>1930</v>
      </c>
      <c r="G3690" s="1">
        <v>0</v>
      </c>
      <c r="H3690" s="3">
        <v>0</v>
      </c>
      <c r="I3690" s="1">
        <v>0.82308199999999998</v>
      </c>
    </row>
    <row r="3691" spans="1:9" x14ac:dyDescent="0.25">
      <c r="A3691" s="1">
        <v>2140440011</v>
      </c>
      <c r="B3691" s="1" t="s">
        <v>1991</v>
      </c>
      <c r="C3691" s="1" t="s">
        <v>151</v>
      </c>
      <c r="D3691" s="1" t="s">
        <v>152</v>
      </c>
      <c r="E3691" s="3">
        <v>216</v>
      </c>
      <c r="F3691" s="1" t="s">
        <v>1930</v>
      </c>
      <c r="G3691" s="1">
        <v>0</v>
      </c>
      <c r="H3691" s="1">
        <v>0</v>
      </c>
      <c r="I3691" s="1">
        <v>0.82305600000000001</v>
      </c>
    </row>
    <row r="3692" spans="1:9" x14ac:dyDescent="0.25">
      <c r="A3692" s="1">
        <v>2140440012</v>
      </c>
      <c r="B3692" s="1" t="s">
        <v>1992</v>
      </c>
      <c r="C3692" s="1" t="s">
        <v>130</v>
      </c>
      <c r="D3692" s="1" t="s">
        <v>131</v>
      </c>
      <c r="E3692" s="3">
        <v>1758</v>
      </c>
      <c r="F3692" s="1" t="s">
        <v>1930</v>
      </c>
      <c r="G3692" s="1">
        <v>150</v>
      </c>
      <c r="H3692" s="3">
        <v>0</v>
      </c>
      <c r="I3692" s="1">
        <v>0.63447699999999996</v>
      </c>
    </row>
    <row r="3693" spans="1:9" x14ac:dyDescent="0.25">
      <c r="A3693" s="1">
        <v>2140440012</v>
      </c>
      <c r="B3693" s="1" t="s">
        <v>1992</v>
      </c>
      <c r="C3693" s="1" t="s">
        <v>151</v>
      </c>
      <c r="D3693" s="1" t="s">
        <v>152</v>
      </c>
      <c r="E3693" s="3">
        <v>204</v>
      </c>
      <c r="F3693" s="1" t="s">
        <v>1930</v>
      </c>
      <c r="G3693" s="1">
        <v>0</v>
      </c>
      <c r="H3693" s="1">
        <v>0</v>
      </c>
      <c r="I3693" s="1">
        <v>0.63446100000000005</v>
      </c>
    </row>
    <row r="3694" spans="1:9" x14ac:dyDescent="0.25">
      <c r="A3694" s="1">
        <v>2140440013</v>
      </c>
      <c r="B3694" s="1" t="s">
        <v>1993</v>
      </c>
      <c r="C3694" s="1" t="s">
        <v>130</v>
      </c>
      <c r="D3694" s="1" t="s">
        <v>131</v>
      </c>
      <c r="E3694" s="3">
        <v>495</v>
      </c>
      <c r="F3694" s="1" t="s">
        <v>1930</v>
      </c>
      <c r="G3694" s="3">
        <v>0</v>
      </c>
      <c r="H3694" s="1">
        <v>0</v>
      </c>
      <c r="I3694" s="1">
        <v>0.75476799999999999</v>
      </c>
    </row>
    <row r="3695" spans="1:9" x14ac:dyDescent="0.25">
      <c r="A3695" s="1">
        <v>2140440013</v>
      </c>
      <c r="B3695" s="1" t="s">
        <v>1993</v>
      </c>
      <c r="C3695" s="1" t="s">
        <v>151</v>
      </c>
      <c r="D3695" s="1" t="s">
        <v>152</v>
      </c>
      <c r="E3695" s="1">
        <v>192</v>
      </c>
      <c r="F3695" s="1" t="s">
        <v>1930</v>
      </c>
      <c r="G3695" s="1">
        <v>0</v>
      </c>
      <c r="H3695" s="1">
        <v>0</v>
      </c>
      <c r="I3695" s="1">
        <v>0.75479200000000002</v>
      </c>
    </row>
    <row r="3696" spans="1:9" x14ac:dyDescent="0.25">
      <c r="A3696" s="1">
        <v>2140440014</v>
      </c>
      <c r="B3696" s="1" t="s">
        <v>1994</v>
      </c>
      <c r="C3696" s="1" t="s">
        <v>130</v>
      </c>
      <c r="D3696" s="1" t="s">
        <v>131</v>
      </c>
      <c r="E3696" s="3">
        <v>1031</v>
      </c>
      <c r="F3696" s="1" t="s">
        <v>1930</v>
      </c>
      <c r="G3696" s="1">
        <v>780</v>
      </c>
      <c r="H3696" s="1">
        <v>0</v>
      </c>
      <c r="I3696" s="1">
        <v>0.97679000000000005</v>
      </c>
    </row>
    <row r="3697" spans="1:9" x14ac:dyDescent="0.25">
      <c r="A3697" s="1">
        <v>2140440014</v>
      </c>
      <c r="B3697" s="1" t="s">
        <v>1994</v>
      </c>
      <c r="C3697" s="1" t="s">
        <v>151</v>
      </c>
      <c r="D3697" s="1" t="s">
        <v>152</v>
      </c>
      <c r="E3697" s="1">
        <v>168</v>
      </c>
      <c r="F3697" s="1" t="s">
        <v>1930</v>
      </c>
      <c r="G3697" s="1">
        <v>0</v>
      </c>
      <c r="H3697" s="1">
        <v>0</v>
      </c>
      <c r="I3697" s="1">
        <v>0.97678600000000004</v>
      </c>
    </row>
    <row r="3698" spans="1:9" x14ac:dyDescent="0.25">
      <c r="A3698" s="1">
        <v>2140440015</v>
      </c>
      <c r="B3698" s="1" t="s">
        <v>1995</v>
      </c>
      <c r="C3698" s="1" t="s">
        <v>130</v>
      </c>
      <c r="D3698" s="1" t="s">
        <v>131</v>
      </c>
      <c r="E3698" s="3">
        <v>1342</v>
      </c>
      <c r="F3698" s="1" t="s">
        <v>1930</v>
      </c>
      <c r="G3698" s="1">
        <v>180</v>
      </c>
      <c r="H3698" s="1">
        <v>0</v>
      </c>
      <c r="I3698" s="1">
        <v>0.548987</v>
      </c>
    </row>
    <row r="3699" spans="1:9" x14ac:dyDescent="0.25">
      <c r="A3699" s="1">
        <v>2140440015</v>
      </c>
      <c r="B3699" s="1" t="s">
        <v>1995</v>
      </c>
      <c r="C3699" s="1" t="s">
        <v>126</v>
      </c>
      <c r="D3699" s="1" t="s">
        <v>127</v>
      </c>
      <c r="E3699" s="1">
        <v>10</v>
      </c>
      <c r="F3699" s="1" t="s">
        <v>1930</v>
      </c>
      <c r="G3699" s="1">
        <v>0</v>
      </c>
      <c r="H3699" s="1">
        <v>0</v>
      </c>
      <c r="I3699" s="1">
        <v>0.54900000000000004</v>
      </c>
    </row>
    <row r="3700" spans="1:9" x14ac:dyDescent="0.25">
      <c r="A3700" s="1">
        <v>2140440015</v>
      </c>
      <c r="B3700" s="1" t="s">
        <v>1995</v>
      </c>
      <c r="C3700" s="1" t="s">
        <v>151</v>
      </c>
      <c r="D3700" s="1" t="s">
        <v>152</v>
      </c>
      <c r="E3700" s="1">
        <v>24</v>
      </c>
      <c r="F3700" s="1" t="s">
        <v>1930</v>
      </c>
      <c r="G3700" s="1">
        <v>0</v>
      </c>
      <c r="H3700" s="1">
        <v>0</v>
      </c>
      <c r="I3700" s="1">
        <v>0.54916699999999996</v>
      </c>
    </row>
    <row r="3701" spans="1:9" x14ac:dyDescent="0.25">
      <c r="A3701" s="1">
        <v>2140440016</v>
      </c>
      <c r="B3701" s="1" t="s">
        <v>1996</v>
      </c>
      <c r="C3701" s="1" t="s">
        <v>130</v>
      </c>
      <c r="D3701" s="1" t="s">
        <v>131</v>
      </c>
      <c r="E3701" s="3">
        <v>1541</v>
      </c>
      <c r="F3701" s="1" t="s">
        <v>1930</v>
      </c>
      <c r="G3701" s="1">
        <v>0</v>
      </c>
      <c r="H3701" s="1">
        <v>0</v>
      </c>
      <c r="I3701" s="1">
        <v>0.61408200000000002</v>
      </c>
    </row>
    <row r="3702" spans="1:9" x14ac:dyDescent="0.25">
      <c r="A3702" s="1">
        <v>2140440016</v>
      </c>
      <c r="B3702" s="1" t="s">
        <v>1996</v>
      </c>
      <c r="C3702" s="1" t="s">
        <v>151</v>
      </c>
      <c r="D3702" s="1" t="s">
        <v>152</v>
      </c>
      <c r="E3702" s="1">
        <v>168</v>
      </c>
      <c r="F3702" s="1" t="s">
        <v>1930</v>
      </c>
      <c r="G3702" s="1">
        <v>0</v>
      </c>
      <c r="H3702" s="1">
        <v>0</v>
      </c>
      <c r="I3702" s="1">
        <v>0.61410699999999996</v>
      </c>
    </row>
    <row r="3703" spans="1:9" x14ac:dyDescent="0.25">
      <c r="A3703" s="1">
        <v>2140440017</v>
      </c>
      <c r="B3703" s="1" t="s">
        <v>1997</v>
      </c>
      <c r="C3703" s="1" t="s">
        <v>130</v>
      </c>
      <c r="D3703" s="1" t="s">
        <v>131</v>
      </c>
      <c r="E3703" s="3">
        <v>1297</v>
      </c>
      <c r="F3703" s="1" t="s">
        <v>1930</v>
      </c>
      <c r="G3703" s="1">
        <v>120</v>
      </c>
      <c r="H3703" s="1">
        <v>0</v>
      </c>
      <c r="I3703" s="1">
        <v>0.61616000000000004</v>
      </c>
    </row>
    <row r="3704" spans="1:9" x14ac:dyDescent="0.25">
      <c r="A3704" s="1">
        <v>2140440017</v>
      </c>
      <c r="B3704" s="1" t="s">
        <v>1997</v>
      </c>
      <c r="C3704" s="1" t="s">
        <v>151</v>
      </c>
      <c r="D3704" s="1" t="s">
        <v>152</v>
      </c>
      <c r="E3704" s="1">
        <v>168</v>
      </c>
      <c r="F3704" s="1" t="s">
        <v>1930</v>
      </c>
      <c r="G3704" s="1">
        <v>0</v>
      </c>
      <c r="H3704" s="1">
        <v>0</v>
      </c>
      <c r="I3704" s="1">
        <v>0.61613099999999998</v>
      </c>
    </row>
    <row r="3705" spans="1:9" x14ac:dyDescent="0.25">
      <c r="A3705" s="1">
        <v>2140440018</v>
      </c>
      <c r="B3705" s="1" t="s">
        <v>1998</v>
      </c>
      <c r="C3705" s="1" t="s">
        <v>130</v>
      </c>
      <c r="D3705" s="1" t="s">
        <v>131</v>
      </c>
      <c r="E3705" s="1">
        <v>230</v>
      </c>
      <c r="F3705" s="1" t="s">
        <v>1930</v>
      </c>
      <c r="G3705" s="1">
        <v>534</v>
      </c>
      <c r="H3705" s="1">
        <v>0</v>
      </c>
      <c r="I3705" s="1">
        <v>0.86178299999999997</v>
      </c>
    </row>
    <row r="3706" spans="1:9" x14ac:dyDescent="0.25">
      <c r="A3706" s="1">
        <v>2140440018</v>
      </c>
      <c r="B3706" s="1" t="s">
        <v>1998</v>
      </c>
      <c r="C3706" s="1" t="s">
        <v>151</v>
      </c>
      <c r="D3706" s="1" t="s">
        <v>152</v>
      </c>
      <c r="E3706" s="1">
        <v>204</v>
      </c>
      <c r="F3706" s="1" t="s">
        <v>1930</v>
      </c>
      <c r="G3706" s="1">
        <v>0</v>
      </c>
      <c r="H3706" s="1">
        <v>0</v>
      </c>
      <c r="I3706" s="1">
        <v>0.86171600000000004</v>
      </c>
    </row>
    <row r="3707" spans="1:9" x14ac:dyDescent="0.25">
      <c r="A3707" s="1">
        <v>2140440019</v>
      </c>
      <c r="B3707" s="1" t="s">
        <v>1999</v>
      </c>
      <c r="C3707" s="1" t="s">
        <v>130</v>
      </c>
      <c r="D3707" s="1" t="s">
        <v>131</v>
      </c>
      <c r="E3707" s="1">
        <v>434</v>
      </c>
      <c r="F3707" s="1" t="s">
        <v>1930</v>
      </c>
      <c r="G3707" s="1">
        <v>90</v>
      </c>
      <c r="H3707" s="1">
        <v>0</v>
      </c>
      <c r="I3707" s="1">
        <v>0.58230400000000004</v>
      </c>
    </row>
    <row r="3708" spans="1:9" x14ac:dyDescent="0.25">
      <c r="A3708" s="1">
        <v>2140440019</v>
      </c>
      <c r="B3708" s="1" t="s">
        <v>1999</v>
      </c>
      <c r="C3708" s="1" t="s">
        <v>151</v>
      </c>
      <c r="D3708" s="1" t="s">
        <v>152</v>
      </c>
      <c r="E3708" s="1">
        <v>168</v>
      </c>
      <c r="F3708" s="1" t="s">
        <v>1930</v>
      </c>
      <c r="G3708" s="1">
        <v>0</v>
      </c>
      <c r="H3708" s="1">
        <v>0</v>
      </c>
      <c r="I3708" s="1">
        <v>0.58238100000000004</v>
      </c>
    </row>
    <row r="3709" spans="1:9" x14ac:dyDescent="0.25">
      <c r="A3709" s="1">
        <v>2140450001</v>
      </c>
      <c r="B3709" s="1" t="s">
        <v>2000</v>
      </c>
      <c r="C3709" s="1" t="s">
        <v>130</v>
      </c>
      <c r="D3709" s="1" t="s">
        <v>131</v>
      </c>
      <c r="E3709" s="1">
        <v>0.89500000000000002</v>
      </c>
      <c r="F3709" s="1" t="s">
        <v>36</v>
      </c>
      <c r="G3709" s="1">
        <v>0</v>
      </c>
      <c r="H3709" s="1">
        <v>0</v>
      </c>
      <c r="I3709" s="1">
        <v>40.346369000000003</v>
      </c>
    </row>
    <row r="3710" spans="1:9" x14ac:dyDescent="0.25">
      <c r="A3710" s="1">
        <v>2140450002</v>
      </c>
      <c r="B3710" s="1" t="s">
        <v>2001</v>
      </c>
      <c r="C3710" s="1" t="s">
        <v>130</v>
      </c>
      <c r="D3710" s="1" t="s">
        <v>131</v>
      </c>
      <c r="E3710" s="1">
        <v>11.8</v>
      </c>
      <c r="F3710" s="1" t="s">
        <v>36</v>
      </c>
      <c r="G3710" s="1">
        <v>0</v>
      </c>
      <c r="H3710" s="1">
        <v>0</v>
      </c>
      <c r="I3710" s="1">
        <v>15.661016999999999</v>
      </c>
    </row>
    <row r="3711" spans="1:9" x14ac:dyDescent="0.25">
      <c r="A3711" s="1">
        <v>2140450003</v>
      </c>
      <c r="B3711" s="1" t="s">
        <v>2002</v>
      </c>
      <c r="C3711" s="1" t="s">
        <v>130</v>
      </c>
      <c r="D3711" s="1" t="s">
        <v>131</v>
      </c>
      <c r="E3711" s="1">
        <v>2.8</v>
      </c>
      <c r="F3711" s="1" t="s">
        <v>36</v>
      </c>
      <c r="G3711" s="1">
        <v>0</v>
      </c>
      <c r="H3711" s="1">
        <v>0</v>
      </c>
      <c r="I3711" s="1">
        <v>15.635714</v>
      </c>
    </row>
    <row r="3712" spans="1:9" x14ac:dyDescent="0.25">
      <c r="A3712" s="1">
        <v>2140450004</v>
      </c>
      <c r="B3712" s="1" t="s">
        <v>2003</v>
      </c>
      <c r="C3712" s="1" t="s">
        <v>130</v>
      </c>
      <c r="D3712" s="1" t="s">
        <v>131</v>
      </c>
      <c r="E3712" s="1">
        <v>4.84</v>
      </c>
      <c r="F3712" s="1" t="s">
        <v>36</v>
      </c>
      <c r="G3712" s="1">
        <v>0</v>
      </c>
      <c r="H3712" s="1">
        <v>0</v>
      </c>
      <c r="I3712" s="1">
        <v>15.663223</v>
      </c>
    </row>
    <row r="3713" spans="1:9" x14ac:dyDescent="0.25">
      <c r="A3713" s="1">
        <v>2140450005</v>
      </c>
      <c r="B3713" s="1" t="s">
        <v>2004</v>
      </c>
      <c r="C3713" s="1" t="s">
        <v>130</v>
      </c>
      <c r="D3713" s="1" t="s">
        <v>131</v>
      </c>
      <c r="E3713" s="1">
        <v>1.85</v>
      </c>
      <c r="F3713" s="1" t="s">
        <v>36</v>
      </c>
      <c r="G3713" s="1">
        <v>0</v>
      </c>
      <c r="H3713" s="1">
        <v>0</v>
      </c>
      <c r="I3713" s="1">
        <v>15.659459</v>
      </c>
    </row>
    <row r="3714" spans="1:9" x14ac:dyDescent="0.25">
      <c r="A3714" s="1">
        <v>2140450006</v>
      </c>
      <c r="B3714" s="1" t="s">
        <v>2005</v>
      </c>
      <c r="C3714" s="1" t="s">
        <v>130</v>
      </c>
      <c r="D3714" s="1" t="s">
        <v>131</v>
      </c>
      <c r="E3714" s="1">
        <v>0.9</v>
      </c>
      <c r="F3714" s="1" t="s">
        <v>36</v>
      </c>
      <c r="G3714" s="1">
        <v>0</v>
      </c>
      <c r="H3714" s="1">
        <v>0</v>
      </c>
      <c r="I3714" s="1">
        <v>11.855556</v>
      </c>
    </row>
    <row r="3715" spans="1:9" x14ac:dyDescent="0.25">
      <c r="A3715" s="1">
        <v>2140450007</v>
      </c>
      <c r="B3715" s="1" t="s">
        <v>2006</v>
      </c>
      <c r="C3715" s="1" t="s">
        <v>130</v>
      </c>
      <c r="D3715" s="1" t="s">
        <v>131</v>
      </c>
      <c r="E3715" s="1">
        <v>0.9</v>
      </c>
      <c r="F3715" s="1" t="s">
        <v>36</v>
      </c>
      <c r="G3715" s="1">
        <v>0</v>
      </c>
      <c r="H3715" s="1">
        <v>0</v>
      </c>
      <c r="I3715" s="1">
        <v>16.111111000000001</v>
      </c>
    </row>
    <row r="3716" spans="1:9" x14ac:dyDescent="0.25">
      <c r="A3716" s="1">
        <v>2140450008</v>
      </c>
      <c r="B3716" s="1" t="s">
        <v>2007</v>
      </c>
      <c r="C3716" s="1" t="s">
        <v>130</v>
      </c>
      <c r="D3716" s="1" t="s">
        <v>131</v>
      </c>
      <c r="E3716" s="1">
        <v>0.9</v>
      </c>
      <c r="F3716" s="1" t="s">
        <v>36</v>
      </c>
      <c r="G3716" s="1">
        <v>0</v>
      </c>
      <c r="H3716" s="1">
        <v>0</v>
      </c>
      <c r="I3716" s="1">
        <v>16.133333</v>
      </c>
    </row>
    <row r="3717" spans="1:9" x14ac:dyDescent="0.25">
      <c r="A3717" s="1">
        <v>2140450009</v>
      </c>
      <c r="B3717" s="1" t="s">
        <v>2008</v>
      </c>
      <c r="C3717" s="1" t="s">
        <v>130</v>
      </c>
      <c r="D3717" s="1" t="s">
        <v>131</v>
      </c>
      <c r="E3717" s="1">
        <v>0.9</v>
      </c>
      <c r="F3717" s="1" t="s">
        <v>36</v>
      </c>
      <c r="G3717" s="1">
        <v>0</v>
      </c>
      <c r="H3717" s="1">
        <v>0</v>
      </c>
      <c r="I3717" s="1">
        <v>11.8</v>
      </c>
    </row>
    <row r="3718" spans="1:9" x14ac:dyDescent="0.25">
      <c r="A3718" s="1">
        <v>2140450010</v>
      </c>
      <c r="B3718" s="1" t="s">
        <v>2009</v>
      </c>
      <c r="C3718" s="1" t="s">
        <v>130</v>
      </c>
      <c r="D3718" s="1" t="s">
        <v>131</v>
      </c>
      <c r="E3718" s="1">
        <v>0.89</v>
      </c>
      <c r="F3718" s="1" t="s">
        <v>36</v>
      </c>
      <c r="G3718" s="1">
        <v>0</v>
      </c>
      <c r="H3718" s="3">
        <v>0</v>
      </c>
      <c r="I3718" s="1">
        <v>16.033708000000001</v>
      </c>
    </row>
    <row r="3719" spans="1:9" x14ac:dyDescent="0.25">
      <c r="A3719" s="1">
        <v>2140450011</v>
      </c>
      <c r="B3719" s="1" t="s">
        <v>2010</v>
      </c>
      <c r="C3719" s="1" t="s">
        <v>130</v>
      </c>
      <c r="D3719" s="1" t="s">
        <v>131</v>
      </c>
      <c r="E3719" s="1">
        <v>0.88</v>
      </c>
      <c r="F3719" s="1" t="s">
        <v>36</v>
      </c>
      <c r="G3719" s="1">
        <v>0</v>
      </c>
      <c r="H3719" s="1">
        <v>0</v>
      </c>
      <c r="I3719" s="1">
        <v>15.681818</v>
      </c>
    </row>
    <row r="3720" spans="1:9" x14ac:dyDescent="0.25">
      <c r="A3720" s="1">
        <v>2140450012</v>
      </c>
      <c r="B3720" s="1" t="s">
        <v>2011</v>
      </c>
      <c r="C3720" s="1" t="s">
        <v>130</v>
      </c>
      <c r="D3720" s="1" t="s">
        <v>131</v>
      </c>
      <c r="E3720" s="1">
        <v>0.83</v>
      </c>
      <c r="F3720" s="1" t="s">
        <v>36</v>
      </c>
      <c r="G3720" s="1">
        <v>0</v>
      </c>
      <c r="H3720" s="1">
        <v>0</v>
      </c>
      <c r="I3720" s="1">
        <v>15.46988</v>
      </c>
    </row>
    <row r="3721" spans="1:9" x14ac:dyDescent="0.25">
      <c r="A3721" s="1">
        <v>2140450013</v>
      </c>
      <c r="B3721" s="1" t="s">
        <v>2012</v>
      </c>
      <c r="C3721" s="1" t="s">
        <v>130</v>
      </c>
      <c r="D3721" s="1" t="s">
        <v>131</v>
      </c>
      <c r="E3721" s="1">
        <v>0.9</v>
      </c>
      <c r="F3721" s="1" t="s">
        <v>36</v>
      </c>
      <c r="G3721" s="1">
        <v>0</v>
      </c>
      <c r="H3721" s="1">
        <v>0</v>
      </c>
      <c r="I3721" s="1">
        <v>15.866667</v>
      </c>
    </row>
    <row r="3722" spans="1:9" x14ac:dyDescent="0.25">
      <c r="A3722" s="1">
        <v>2140450014</v>
      </c>
      <c r="B3722" s="1" t="s">
        <v>2013</v>
      </c>
      <c r="C3722" s="1" t="s">
        <v>130</v>
      </c>
      <c r="D3722" s="1" t="s">
        <v>131</v>
      </c>
      <c r="E3722" s="3">
        <v>62.85</v>
      </c>
      <c r="F3722" s="1" t="s">
        <v>36</v>
      </c>
      <c r="G3722" s="1">
        <v>0</v>
      </c>
      <c r="H3722" s="1">
        <v>0</v>
      </c>
      <c r="I3722" s="1">
        <v>15.822274999999999</v>
      </c>
    </row>
    <row r="3723" spans="1:9" x14ac:dyDescent="0.25">
      <c r="A3723" s="1">
        <v>2140450015</v>
      </c>
      <c r="B3723" s="1" t="s">
        <v>2014</v>
      </c>
      <c r="C3723" s="1" t="s">
        <v>130</v>
      </c>
      <c r="D3723" s="1" t="s">
        <v>131</v>
      </c>
      <c r="E3723" s="3">
        <v>0.9</v>
      </c>
      <c r="F3723" s="1" t="s">
        <v>36</v>
      </c>
      <c r="G3723" s="1">
        <v>1</v>
      </c>
      <c r="H3723" s="1">
        <v>0</v>
      </c>
      <c r="I3723" s="1">
        <v>13.233333</v>
      </c>
    </row>
    <row r="3724" spans="1:9" x14ac:dyDescent="0.25">
      <c r="A3724" s="1">
        <v>2140450016</v>
      </c>
      <c r="B3724" s="1" t="s">
        <v>2015</v>
      </c>
      <c r="C3724" s="1" t="s">
        <v>130</v>
      </c>
      <c r="D3724" s="1" t="s">
        <v>131</v>
      </c>
      <c r="E3724" s="3">
        <v>0.9</v>
      </c>
      <c r="F3724" s="1" t="s">
        <v>36</v>
      </c>
      <c r="G3724" s="3">
        <v>0</v>
      </c>
      <c r="H3724" s="1">
        <v>0</v>
      </c>
      <c r="I3724" s="1">
        <v>13.3</v>
      </c>
    </row>
    <row r="3725" spans="1:9" x14ac:dyDescent="0.25">
      <c r="A3725" s="1">
        <v>2140450017</v>
      </c>
      <c r="B3725" s="1" t="s">
        <v>2016</v>
      </c>
      <c r="C3725" s="1" t="s">
        <v>130</v>
      </c>
      <c r="D3725" s="1" t="s">
        <v>131</v>
      </c>
      <c r="E3725" s="3">
        <v>15.9</v>
      </c>
      <c r="F3725" s="1" t="s">
        <v>36</v>
      </c>
      <c r="G3725" s="1">
        <v>0</v>
      </c>
      <c r="H3725" s="1">
        <v>0</v>
      </c>
      <c r="I3725" s="1">
        <v>13.220755</v>
      </c>
    </row>
    <row r="3726" spans="1:9" x14ac:dyDescent="0.25">
      <c r="A3726" s="1">
        <v>2140450018</v>
      </c>
      <c r="B3726" s="1" t="s">
        <v>2017</v>
      </c>
      <c r="C3726" s="1" t="s">
        <v>130</v>
      </c>
      <c r="D3726" s="1" t="s">
        <v>131</v>
      </c>
      <c r="E3726" s="1">
        <v>0.91</v>
      </c>
      <c r="F3726" s="1" t="s">
        <v>509</v>
      </c>
      <c r="G3726" s="1">
        <v>0</v>
      </c>
      <c r="H3726" s="1">
        <v>0</v>
      </c>
      <c r="I3726" s="1">
        <v>13.318681</v>
      </c>
    </row>
    <row r="3727" spans="1:9" x14ac:dyDescent="0.25">
      <c r="A3727" s="1">
        <v>2140450019</v>
      </c>
      <c r="B3727" s="1" t="s">
        <v>2018</v>
      </c>
      <c r="C3727" s="1" t="s">
        <v>130</v>
      </c>
      <c r="D3727" s="1" t="s">
        <v>131</v>
      </c>
      <c r="E3727" s="1">
        <v>0.9</v>
      </c>
      <c r="F3727" s="1" t="s">
        <v>509</v>
      </c>
      <c r="G3727" s="1">
        <v>0</v>
      </c>
      <c r="H3727" s="1">
        <v>0</v>
      </c>
      <c r="I3727" s="1">
        <v>15.788888999999999</v>
      </c>
    </row>
    <row r="3728" spans="1:9" x14ac:dyDescent="0.25">
      <c r="A3728" s="1">
        <v>2140450020</v>
      </c>
      <c r="B3728" s="1" t="s">
        <v>2019</v>
      </c>
      <c r="C3728" s="1" t="s">
        <v>130</v>
      </c>
      <c r="D3728" s="1" t="s">
        <v>131</v>
      </c>
      <c r="E3728" s="1">
        <v>0.9</v>
      </c>
      <c r="F3728" s="1" t="s">
        <v>509</v>
      </c>
      <c r="G3728" s="1">
        <v>0</v>
      </c>
      <c r="H3728" s="1">
        <v>0</v>
      </c>
      <c r="I3728" s="1">
        <v>15.944444000000001</v>
      </c>
    </row>
    <row r="3729" spans="1:9" x14ac:dyDescent="0.25">
      <c r="A3729" s="1">
        <v>2140450021</v>
      </c>
      <c r="B3729" s="1" t="s">
        <v>2020</v>
      </c>
      <c r="C3729" s="1" t="s">
        <v>130</v>
      </c>
      <c r="D3729" s="1" t="s">
        <v>131</v>
      </c>
      <c r="E3729" s="1">
        <v>45.9</v>
      </c>
      <c r="F3729" s="1" t="s">
        <v>509</v>
      </c>
      <c r="G3729" s="1">
        <v>0</v>
      </c>
      <c r="H3729" s="1">
        <v>0</v>
      </c>
      <c r="I3729" s="1">
        <v>13.271459999999999</v>
      </c>
    </row>
    <row r="3730" spans="1:9" x14ac:dyDescent="0.25">
      <c r="A3730" s="1">
        <v>2140450022</v>
      </c>
      <c r="B3730" s="1" t="s">
        <v>2021</v>
      </c>
      <c r="C3730" s="1" t="s">
        <v>130</v>
      </c>
      <c r="D3730" s="1" t="s">
        <v>131</v>
      </c>
      <c r="E3730" s="3">
        <v>57.9</v>
      </c>
      <c r="F3730" s="1" t="s">
        <v>509</v>
      </c>
      <c r="G3730" s="1">
        <v>0</v>
      </c>
      <c r="H3730" s="1">
        <v>0</v>
      </c>
      <c r="I3730" s="1">
        <v>13.160793999999999</v>
      </c>
    </row>
    <row r="3731" spans="1:9" x14ac:dyDescent="0.25">
      <c r="A3731" s="1">
        <v>2140450023</v>
      </c>
      <c r="B3731" s="1" t="s">
        <v>2022</v>
      </c>
      <c r="C3731" s="1" t="s">
        <v>130</v>
      </c>
      <c r="D3731" s="1" t="s">
        <v>131</v>
      </c>
      <c r="E3731" s="1">
        <v>44.79</v>
      </c>
      <c r="F3731" s="1" t="s">
        <v>509</v>
      </c>
      <c r="G3731" s="1">
        <v>0</v>
      </c>
      <c r="H3731" s="1">
        <v>0</v>
      </c>
      <c r="I3731" s="1">
        <v>14.748828</v>
      </c>
    </row>
    <row r="3732" spans="1:9" x14ac:dyDescent="0.25">
      <c r="A3732" s="1">
        <v>2140450024</v>
      </c>
      <c r="B3732" s="1" t="s">
        <v>2023</v>
      </c>
      <c r="C3732" s="1" t="s">
        <v>130</v>
      </c>
      <c r="D3732" s="1" t="s">
        <v>131</v>
      </c>
      <c r="E3732" s="1">
        <v>0.89</v>
      </c>
      <c r="F3732" s="1" t="s">
        <v>509</v>
      </c>
      <c r="G3732" s="1">
        <v>1</v>
      </c>
      <c r="H3732" s="1">
        <v>0</v>
      </c>
      <c r="I3732" s="1">
        <v>13.191011</v>
      </c>
    </row>
    <row r="3733" spans="1:9" x14ac:dyDescent="0.25">
      <c r="A3733" s="1">
        <v>2140450025</v>
      </c>
      <c r="B3733" s="1" t="s">
        <v>2024</v>
      </c>
      <c r="C3733" s="1" t="s">
        <v>130</v>
      </c>
      <c r="D3733" s="1" t="s">
        <v>131</v>
      </c>
      <c r="E3733" s="1">
        <v>0.89</v>
      </c>
      <c r="F3733" s="1" t="s">
        <v>509</v>
      </c>
      <c r="G3733" s="1">
        <v>1</v>
      </c>
      <c r="H3733" s="1">
        <v>0</v>
      </c>
      <c r="I3733" s="1">
        <v>13.426966</v>
      </c>
    </row>
    <row r="3734" spans="1:9" x14ac:dyDescent="0.25">
      <c r="A3734" s="1">
        <v>2140450026</v>
      </c>
      <c r="B3734" s="1" t="s">
        <v>2025</v>
      </c>
      <c r="C3734" s="1" t="s">
        <v>130</v>
      </c>
      <c r="D3734" s="1" t="s">
        <v>131</v>
      </c>
      <c r="E3734" s="1">
        <v>17.95</v>
      </c>
      <c r="F3734" s="1" t="s">
        <v>509</v>
      </c>
      <c r="G3734" s="1">
        <v>0</v>
      </c>
      <c r="H3734" s="1">
        <v>0</v>
      </c>
      <c r="I3734" s="1">
        <v>16.523119999999999</v>
      </c>
    </row>
    <row r="3735" spans="1:9" x14ac:dyDescent="0.25">
      <c r="A3735" s="1">
        <v>2140450027</v>
      </c>
      <c r="B3735" s="1" t="s">
        <v>2026</v>
      </c>
      <c r="C3735" s="1" t="s">
        <v>130</v>
      </c>
      <c r="D3735" s="1" t="s">
        <v>131</v>
      </c>
      <c r="E3735" s="1">
        <v>4.9400000000000004</v>
      </c>
      <c r="F3735" s="1" t="s">
        <v>509</v>
      </c>
      <c r="G3735" s="1">
        <v>0</v>
      </c>
      <c r="H3735" s="1">
        <v>0</v>
      </c>
      <c r="I3735" s="1">
        <v>16.738866000000002</v>
      </c>
    </row>
    <row r="3736" spans="1:9" x14ac:dyDescent="0.25">
      <c r="A3736" s="1">
        <v>2140450029</v>
      </c>
      <c r="B3736" s="1" t="s">
        <v>2027</v>
      </c>
      <c r="C3736" s="1" t="s">
        <v>130</v>
      </c>
      <c r="D3736" s="1" t="s">
        <v>131</v>
      </c>
      <c r="E3736" s="1">
        <v>1.98</v>
      </c>
      <c r="F3736" s="1" t="s">
        <v>509</v>
      </c>
      <c r="G3736" s="1">
        <v>0</v>
      </c>
      <c r="H3736" s="1">
        <v>0</v>
      </c>
      <c r="I3736" s="1">
        <v>16.494948999999998</v>
      </c>
    </row>
    <row r="3737" spans="1:9" x14ac:dyDescent="0.25">
      <c r="A3737" s="1">
        <v>2140450030</v>
      </c>
      <c r="B3737" s="1" t="s">
        <v>2028</v>
      </c>
      <c r="C3737" s="1" t="s">
        <v>130</v>
      </c>
      <c r="D3737" s="1" t="s">
        <v>131</v>
      </c>
      <c r="E3737" s="3">
        <v>0.8</v>
      </c>
      <c r="F3737" s="1" t="s">
        <v>509</v>
      </c>
      <c r="G3737" s="3">
        <v>0</v>
      </c>
      <c r="H3737" s="1">
        <v>0</v>
      </c>
      <c r="I3737" s="1">
        <v>15.6625</v>
      </c>
    </row>
    <row r="3738" spans="1:9" x14ac:dyDescent="0.25">
      <c r="A3738" s="1">
        <v>2140450031</v>
      </c>
      <c r="B3738" s="1" t="s">
        <v>2029</v>
      </c>
      <c r="C3738" s="1" t="s">
        <v>130</v>
      </c>
      <c r="D3738" s="1" t="s">
        <v>131</v>
      </c>
      <c r="E3738" s="1">
        <v>13.9</v>
      </c>
      <c r="F3738" s="1" t="s">
        <v>509</v>
      </c>
      <c r="G3738" s="3">
        <v>0</v>
      </c>
      <c r="H3738" s="1">
        <v>0</v>
      </c>
      <c r="I3738" s="1">
        <v>13.161151</v>
      </c>
    </row>
    <row r="3739" spans="1:9" x14ac:dyDescent="0.25">
      <c r="A3739" s="1">
        <v>2140450032</v>
      </c>
      <c r="B3739" s="1" t="s">
        <v>2030</v>
      </c>
      <c r="C3739" s="1" t="s">
        <v>130</v>
      </c>
      <c r="D3739" s="1" t="s">
        <v>131</v>
      </c>
      <c r="E3739" s="1">
        <v>40.840000000000003</v>
      </c>
      <c r="F3739" s="1" t="s">
        <v>509</v>
      </c>
      <c r="G3739" s="1">
        <v>0</v>
      </c>
      <c r="H3739" s="1">
        <v>0</v>
      </c>
      <c r="I3739" s="1">
        <v>14.76665</v>
      </c>
    </row>
    <row r="3740" spans="1:9" x14ac:dyDescent="0.25">
      <c r="A3740" s="1">
        <v>2140450033</v>
      </c>
      <c r="B3740" s="1" t="s">
        <v>2031</v>
      </c>
      <c r="C3740" s="1" t="s">
        <v>130</v>
      </c>
      <c r="D3740" s="1" t="s">
        <v>131</v>
      </c>
      <c r="E3740" s="1">
        <v>0.82</v>
      </c>
      <c r="F3740" s="1" t="s">
        <v>509</v>
      </c>
      <c r="G3740" s="1">
        <v>1</v>
      </c>
      <c r="H3740" s="1">
        <v>0</v>
      </c>
      <c r="I3740" s="1">
        <v>16.719512000000002</v>
      </c>
    </row>
    <row r="3741" spans="1:9" x14ac:dyDescent="0.25">
      <c r="A3741" s="1">
        <v>2140450034</v>
      </c>
      <c r="B3741" s="1" t="s">
        <v>2032</v>
      </c>
      <c r="C3741" s="1" t="s">
        <v>130</v>
      </c>
      <c r="D3741" s="1" t="s">
        <v>131</v>
      </c>
      <c r="E3741" s="1">
        <v>0.83</v>
      </c>
      <c r="F3741" s="1" t="s">
        <v>509</v>
      </c>
      <c r="G3741" s="1">
        <v>1</v>
      </c>
      <c r="H3741" s="1">
        <v>0</v>
      </c>
      <c r="I3741" s="1">
        <v>16.602409999999999</v>
      </c>
    </row>
    <row r="3742" spans="1:9" x14ac:dyDescent="0.25">
      <c r="A3742" s="1">
        <v>2140450035</v>
      </c>
      <c r="B3742" s="1" t="s">
        <v>2033</v>
      </c>
      <c r="C3742" s="1" t="s">
        <v>130</v>
      </c>
      <c r="D3742" s="1" t="s">
        <v>131</v>
      </c>
      <c r="E3742" s="1">
        <v>4.2</v>
      </c>
      <c r="F3742" s="1" t="s">
        <v>509</v>
      </c>
      <c r="G3742" s="1">
        <v>0</v>
      </c>
      <c r="H3742" s="1">
        <v>0</v>
      </c>
      <c r="I3742" s="1">
        <v>14.726190000000001</v>
      </c>
    </row>
    <row r="3743" spans="1:9" x14ac:dyDescent="0.25">
      <c r="A3743" s="1">
        <v>2140450036</v>
      </c>
      <c r="B3743" s="1" t="s">
        <v>2034</v>
      </c>
      <c r="C3743" s="1" t="s">
        <v>130</v>
      </c>
      <c r="D3743" s="1" t="s">
        <v>131</v>
      </c>
      <c r="E3743" s="1">
        <v>0.9</v>
      </c>
      <c r="F3743" s="1" t="s">
        <v>509</v>
      </c>
      <c r="G3743" s="1">
        <v>0</v>
      </c>
      <c r="H3743" s="1">
        <v>0</v>
      </c>
      <c r="I3743" s="1">
        <v>16.666667</v>
      </c>
    </row>
    <row r="3744" spans="1:9" x14ac:dyDescent="0.25">
      <c r="A3744" s="1">
        <v>2140450037</v>
      </c>
      <c r="B3744" s="1" t="s">
        <v>2035</v>
      </c>
      <c r="C3744" s="1" t="s">
        <v>130</v>
      </c>
      <c r="D3744" s="1" t="s">
        <v>131</v>
      </c>
      <c r="E3744" s="1">
        <v>34.74</v>
      </c>
      <c r="F3744" s="1" t="s">
        <v>509</v>
      </c>
      <c r="G3744" s="1">
        <v>0</v>
      </c>
      <c r="H3744" s="1">
        <v>0</v>
      </c>
      <c r="I3744" s="1">
        <v>14.777778</v>
      </c>
    </row>
    <row r="3745" spans="1:9" x14ac:dyDescent="0.25">
      <c r="A3745" s="1">
        <v>2140450038</v>
      </c>
      <c r="B3745" s="1" t="s">
        <v>2036</v>
      </c>
      <c r="C3745" s="1" t="s">
        <v>130</v>
      </c>
      <c r="D3745" s="1" t="s">
        <v>131</v>
      </c>
      <c r="E3745" s="1">
        <v>0.79</v>
      </c>
      <c r="F3745" s="1" t="s">
        <v>509</v>
      </c>
      <c r="G3745" s="1">
        <v>0</v>
      </c>
      <c r="H3745" s="1">
        <v>0</v>
      </c>
      <c r="I3745" s="1">
        <v>14.329114000000001</v>
      </c>
    </row>
    <row r="3746" spans="1:9" x14ac:dyDescent="0.25">
      <c r="A3746" s="1">
        <v>2140450039</v>
      </c>
      <c r="B3746" s="1" t="s">
        <v>2037</v>
      </c>
      <c r="C3746" s="1" t="s">
        <v>130</v>
      </c>
      <c r="D3746" s="1" t="s">
        <v>131</v>
      </c>
      <c r="E3746" s="1">
        <v>20.9</v>
      </c>
      <c r="F3746" s="1" t="s">
        <v>509</v>
      </c>
      <c r="G3746" s="1">
        <v>0</v>
      </c>
      <c r="H3746" s="1">
        <v>0</v>
      </c>
      <c r="I3746" s="1">
        <v>15.682297</v>
      </c>
    </row>
    <row r="3747" spans="1:9" x14ac:dyDescent="0.25">
      <c r="A3747" s="1">
        <v>2140450040</v>
      </c>
      <c r="B3747" s="1" t="s">
        <v>2038</v>
      </c>
      <c r="C3747" s="1" t="s">
        <v>130</v>
      </c>
      <c r="D3747" s="1" t="s">
        <v>131</v>
      </c>
      <c r="E3747" s="1">
        <v>0.93</v>
      </c>
      <c r="F3747" s="1" t="s">
        <v>509</v>
      </c>
      <c r="G3747" s="1">
        <v>0</v>
      </c>
      <c r="H3747" s="1">
        <v>0</v>
      </c>
      <c r="I3747" s="1">
        <v>16.473117999999999</v>
      </c>
    </row>
    <row r="3748" spans="1:9" x14ac:dyDescent="0.25">
      <c r="A3748" s="1">
        <v>2140450041</v>
      </c>
      <c r="B3748" s="1" t="s">
        <v>2039</v>
      </c>
      <c r="C3748" s="1" t="s">
        <v>130</v>
      </c>
      <c r="D3748" s="1" t="s">
        <v>131</v>
      </c>
      <c r="E3748" s="1">
        <v>51.91</v>
      </c>
      <c r="F3748" s="1" t="s">
        <v>509</v>
      </c>
      <c r="G3748" s="1">
        <v>0</v>
      </c>
      <c r="H3748" s="1">
        <v>0</v>
      </c>
      <c r="I3748" s="1">
        <v>15.644192</v>
      </c>
    </row>
    <row r="3749" spans="1:9" x14ac:dyDescent="0.25">
      <c r="A3749" s="1">
        <v>2140450042</v>
      </c>
      <c r="B3749" s="1" t="s">
        <v>2040</v>
      </c>
      <c r="C3749" s="1" t="s">
        <v>130</v>
      </c>
      <c r="D3749" s="1" t="s">
        <v>131</v>
      </c>
      <c r="E3749" s="3">
        <v>7.91</v>
      </c>
      <c r="F3749" s="1" t="s">
        <v>509</v>
      </c>
      <c r="G3749" s="3">
        <v>0</v>
      </c>
      <c r="H3749" s="1">
        <v>0</v>
      </c>
      <c r="I3749" s="1">
        <v>15.752212</v>
      </c>
    </row>
    <row r="3750" spans="1:9" x14ac:dyDescent="0.25">
      <c r="A3750" s="1">
        <v>2140450043</v>
      </c>
      <c r="B3750" s="1" t="s">
        <v>2041</v>
      </c>
      <c r="C3750" s="1" t="s">
        <v>130</v>
      </c>
      <c r="D3750" s="1" t="s">
        <v>131</v>
      </c>
      <c r="E3750" s="1">
        <v>0.83</v>
      </c>
      <c r="F3750" s="1" t="s">
        <v>509</v>
      </c>
      <c r="G3750" s="1">
        <v>0</v>
      </c>
      <c r="H3750" s="1">
        <v>0</v>
      </c>
      <c r="I3750" s="1">
        <v>15.819277</v>
      </c>
    </row>
    <row r="3751" spans="1:9" x14ac:dyDescent="0.25">
      <c r="A3751" s="1">
        <v>2140450044</v>
      </c>
      <c r="B3751" s="1" t="s">
        <v>2042</v>
      </c>
      <c r="C3751" s="1" t="s">
        <v>130</v>
      </c>
      <c r="D3751" s="1" t="s">
        <v>131</v>
      </c>
      <c r="E3751" s="3">
        <v>16.91</v>
      </c>
      <c r="F3751" s="1" t="s">
        <v>509</v>
      </c>
      <c r="G3751" s="1">
        <v>0</v>
      </c>
      <c r="H3751" s="1">
        <v>0</v>
      </c>
      <c r="I3751" s="1">
        <v>15.82259</v>
      </c>
    </row>
    <row r="3752" spans="1:9" x14ac:dyDescent="0.25">
      <c r="A3752" s="1">
        <v>2140450045</v>
      </c>
      <c r="B3752" s="1" t="s">
        <v>2043</v>
      </c>
      <c r="C3752" s="1" t="s">
        <v>130</v>
      </c>
      <c r="D3752" s="1" t="s">
        <v>131</v>
      </c>
      <c r="E3752" s="3">
        <v>8.91</v>
      </c>
      <c r="F3752" s="1" t="s">
        <v>509</v>
      </c>
      <c r="G3752" s="3">
        <v>0</v>
      </c>
      <c r="H3752" s="1">
        <v>0</v>
      </c>
      <c r="I3752" s="1">
        <v>15.712681999999999</v>
      </c>
    </row>
    <row r="3753" spans="1:9" x14ac:dyDescent="0.25">
      <c r="A3753" s="1">
        <v>2140450046</v>
      </c>
      <c r="B3753" s="1" t="s">
        <v>2044</v>
      </c>
      <c r="C3753" s="1" t="s">
        <v>130</v>
      </c>
      <c r="D3753" s="1" t="s">
        <v>131</v>
      </c>
      <c r="E3753" s="1">
        <v>23.855</v>
      </c>
      <c r="F3753" s="1" t="s">
        <v>509</v>
      </c>
      <c r="G3753" s="1">
        <v>0</v>
      </c>
      <c r="H3753" s="1">
        <v>0</v>
      </c>
      <c r="I3753" s="1">
        <v>15.197652</v>
      </c>
    </row>
    <row r="3754" spans="1:9" x14ac:dyDescent="0.25">
      <c r="A3754" s="1">
        <v>2140450047</v>
      </c>
      <c r="B3754" s="1" t="s">
        <v>2045</v>
      </c>
      <c r="C3754" s="1" t="s">
        <v>130</v>
      </c>
      <c r="D3754" s="1" t="s">
        <v>131</v>
      </c>
      <c r="E3754" s="1">
        <v>0.85</v>
      </c>
      <c r="F3754" s="1" t="s">
        <v>509</v>
      </c>
      <c r="G3754" s="1">
        <v>0</v>
      </c>
      <c r="H3754" s="1">
        <v>0</v>
      </c>
      <c r="I3754" s="1">
        <v>15.8</v>
      </c>
    </row>
    <row r="3755" spans="1:9" x14ac:dyDescent="0.25">
      <c r="A3755" s="1">
        <v>2140450048</v>
      </c>
      <c r="B3755" s="1" t="s">
        <v>2046</v>
      </c>
      <c r="C3755" s="1" t="s">
        <v>130</v>
      </c>
      <c r="D3755" s="1" t="s">
        <v>131</v>
      </c>
      <c r="E3755" s="1">
        <v>74.91</v>
      </c>
      <c r="F3755" s="1" t="s">
        <v>509</v>
      </c>
      <c r="G3755" s="1">
        <v>0</v>
      </c>
      <c r="H3755" s="1">
        <v>0</v>
      </c>
      <c r="I3755" s="1">
        <v>15.502470000000001</v>
      </c>
    </row>
    <row r="3756" spans="1:9" x14ac:dyDescent="0.25">
      <c r="A3756" s="1">
        <v>2140450049</v>
      </c>
      <c r="B3756" s="1" t="s">
        <v>2047</v>
      </c>
      <c r="C3756" s="1" t="s">
        <v>130</v>
      </c>
      <c r="D3756" s="1" t="s">
        <v>131</v>
      </c>
      <c r="E3756" s="1">
        <v>6.81</v>
      </c>
      <c r="F3756" s="1" t="s">
        <v>509</v>
      </c>
      <c r="G3756" s="1">
        <v>0</v>
      </c>
      <c r="H3756" s="1">
        <v>0</v>
      </c>
      <c r="I3756" s="1">
        <v>15.584434999999999</v>
      </c>
    </row>
    <row r="3757" spans="1:9" x14ac:dyDescent="0.25">
      <c r="A3757" s="1">
        <v>2140450050</v>
      </c>
      <c r="B3757" s="1" t="s">
        <v>2048</v>
      </c>
      <c r="C3757" s="1" t="s">
        <v>130</v>
      </c>
      <c r="D3757" s="1" t="s">
        <v>131</v>
      </c>
      <c r="E3757" s="3">
        <v>32.909999999999997</v>
      </c>
      <c r="F3757" s="1" t="s">
        <v>509</v>
      </c>
      <c r="G3757" s="1">
        <v>0</v>
      </c>
      <c r="H3757" s="1">
        <v>0</v>
      </c>
      <c r="I3757" s="1">
        <v>15.822546000000001</v>
      </c>
    </row>
    <row r="3758" spans="1:9" x14ac:dyDescent="0.25">
      <c r="A3758" s="1">
        <v>2140450051</v>
      </c>
      <c r="B3758" s="1" t="s">
        <v>2049</v>
      </c>
      <c r="C3758" s="1" t="s">
        <v>130</v>
      </c>
      <c r="D3758" s="1" t="s">
        <v>131</v>
      </c>
      <c r="E3758" s="1">
        <v>0.9</v>
      </c>
      <c r="F3758" s="1" t="s">
        <v>509</v>
      </c>
      <c r="G3758" s="1">
        <v>0</v>
      </c>
      <c r="H3758" s="1">
        <v>0</v>
      </c>
      <c r="I3758" s="1">
        <v>11.833333</v>
      </c>
    </row>
    <row r="3759" spans="1:9" x14ac:dyDescent="0.25">
      <c r="A3759" s="1">
        <v>2140450052</v>
      </c>
      <c r="B3759" s="1" t="s">
        <v>2050</v>
      </c>
      <c r="C3759" s="1" t="s">
        <v>130</v>
      </c>
      <c r="D3759" s="1" t="s">
        <v>131</v>
      </c>
      <c r="E3759" s="1">
        <v>27.51</v>
      </c>
      <c r="F3759" s="1" t="s">
        <v>509</v>
      </c>
      <c r="G3759" s="1">
        <v>0</v>
      </c>
      <c r="H3759" s="1">
        <v>0</v>
      </c>
      <c r="I3759" s="1">
        <v>8.7605000000000002E-2</v>
      </c>
    </row>
    <row r="3760" spans="1:9" x14ac:dyDescent="0.25">
      <c r="A3760" s="1">
        <v>2140450053</v>
      </c>
      <c r="B3760" s="1" t="s">
        <v>2051</v>
      </c>
      <c r="C3760" s="1" t="s">
        <v>130</v>
      </c>
      <c r="D3760" s="1" t="s">
        <v>131</v>
      </c>
      <c r="E3760" s="1">
        <v>5.88</v>
      </c>
      <c r="F3760" s="1" t="s">
        <v>509</v>
      </c>
      <c r="G3760" s="1">
        <v>10</v>
      </c>
      <c r="H3760" s="1">
        <v>0</v>
      </c>
      <c r="I3760" s="1">
        <v>15.836734999999999</v>
      </c>
    </row>
    <row r="3761" spans="1:9" x14ac:dyDescent="0.25">
      <c r="A3761" s="1">
        <v>2140450054</v>
      </c>
      <c r="B3761" s="1" t="s">
        <v>2052</v>
      </c>
      <c r="C3761" s="1" t="s">
        <v>130</v>
      </c>
      <c r="D3761" s="1" t="s">
        <v>131</v>
      </c>
      <c r="E3761" s="1">
        <v>5.83</v>
      </c>
      <c r="F3761" s="1" t="s">
        <v>509</v>
      </c>
      <c r="G3761" s="1">
        <v>0</v>
      </c>
      <c r="H3761" s="1">
        <v>0</v>
      </c>
      <c r="I3761" s="1">
        <v>15.725557</v>
      </c>
    </row>
    <row r="3762" spans="1:9" x14ac:dyDescent="0.25">
      <c r="A3762" s="1">
        <v>2140450055</v>
      </c>
      <c r="B3762" s="1" t="s">
        <v>2053</v>
      </c>
      <c r="C3762" s="1" t="s">
        <v>130</v>
      </c>
      <c r="D3762" s="1" t="s">
        <v>131</v>
      </c>
      <c r="E3762" s="1">
        <v>33.840000000000003</v>
      </c>
      <c r="F3762" s="1" t="s">
        <v>509</v>
      </c>
      <c r="G3762" s="1">
        <v>0</v>
      </c>
      <c r="H3762" s="1">
        <v>0</v>
      </c>
      <c r="I3762" s="1">
        <v>15.726654999999999</v>
      </c>
    </row>
    <row r="3763" spans="1:9" x14ac:dyDescent="0.25">
      <c r="A3763" s="1">
        <v>2140450056</v>
      </c>
      <c r="B3763" s="1" t="s">
        <v>2054</v>
      </c>
      <c r="C3763" s="1" t="s">
        <v>130</v>
      </c>
      <c r="D3763" s="1" t="s">
        <v>131</v>
      </c>
      <c r="E3763" s="1">
        <v>4.8</v>
      </c>
      <c r="F3763" s="1" t="s">
        <v>509</v>
      </c>
      <c r="G3763" s="1">
        <v>0</v>
      </c>
      <c r="H3763" s="1">
        <v>0</v>
      </c>
      <c r="I3763" s="1">
        <v>15.725</v>
      </c>
    </row>
    <row r="3764" spans="1:9" x14ac:dyDescent="0.25">
      <c r="A3764" s="1">
        <v>2140450057</v>
      </c>
      <c r="B3764" s="1" t="s">
        <v>2055</v>
      </c>
      <c r="C3764" s="1" t="s">
        <v>130</v>
      </c>
      <c r="D3764" s="1" t="s">
        <v>131</v>
      </c>
      <c r="E3764" s="1">
        <v>53.79</v>
      </c>
      <c r="F3764" s="1" t="s">
        <v>509</v>
      </c>
      <c r="G3764" s="1">
        <v>0</v>
      </c>
      <c r="H3764" s="1">
        <v>0</v>
      </c>
      <c r="I3764" s="1">
        <v>15.7256</v>
      </c>
    </row>
    <row r="3765" spans="1:9" x14ac:dyDescent="0.25">
      <c r="A3765" s="1">
        <v>2140450058</v>
      </c>
      <c r="B3765" s="1" t="s">
        <v>2056</v>
      </c>
      <c r="C3765" s="1" t="s">
        <v>130</v>
      </c>
      <c r="D3765" s="1" t="s">
        <v>131</v>
      </c>
      <c r="E3765" s="3">
        <v>4.8499999999999996</v>
      </c>
      <c r="F3765" s="1" t="s">
        <v>509</v>
      </c>
      <c r="G3765" s="1">
        <v>10</v>
      </c>
      <c r="H3765" s="1">
        <v>0</v>
      </c>
      <c r="I3765" s="1">
        <v>15.832990000000001</v>
      </c>
    </row>
    <row r="3766" spans="1:9" x14ac:dyDescent="0.25">
      <c r="A3766" s="1">
        <v>2140450059</v>
      </c>
      <c r="B3766" s="1" t="s">
        <v>2057</v>
      </c>
      <c r="C3766" s="1" t="s">
        <v>130</v>
      </c>
      <c r="D3766" s="1" t="s">
        <v>131</v>
      </c>
      <c r="E3766" s="1">
        <v>6.85</v>
      </c>
      <c r="F3766" s="1" t="s">
        <v>509</v>
      </c>
      <c r="G3766" s="1">
        <v>10</v>
      </c>
      <c r="H3766" s="1">
        <v>0</v>
      </c>
      <c r="I3766" s="1">
        <v>15.890511</v>
      </c>
    </row>
    <row r="3767" spans="1:9" x14ac:dyDescent="0.25">
      <c r="A3767" s="1">
        <v>2140450060</v>
      </c>
      <c r="B3767" s="1" t="s">
        <v>2058</v>
      </c>
      <c r="C3767" s="1" t="s">
        <v>130</v>
      </c>
      <c r="D3767" s="1" t="s">
        <v>131</v>
      </c>
      <c r="E3767" s="3">
        <v>0.86</v>
      </c>
      <c r="F3767" s="1" t="s">
        <v>509</v>
      </c>
      <c r="G3767" s="1">
        <v>1</v>
      </c>
      <c r="H3767" s="1">
        <v>0</v>
      </c>
      <c r="I3767" s="1">
        <v>15.895349</v>
      </c>
    </row>
    <row r="3768" spans="1:9" x14ac:dyDescent="0.25">
      <c r="A3768" s="1">
        <v>2140450061</v>
      </c>
      <c r="B3768" s="1" t="s">
        <v>2059</v>
      </c>
      <c r="C3768" s="1" t="s">
        <v>130</v>
      </c>
      <c r="D3768" s="1" t="s">
        <v>131</v>
      </c>
      <c r="E3768" s="3">
        <v>75.849999999999994</v>
      </c>
      <c r="F3768" s="1" t="s">
        <v>509</v>
      </c>
      <c r="G3768" s="1">
        <v>0</v>
      </c>
      <c r="H3768" s="1">
        <v>0</v>
      </c>
      <c r="I3768" s="1">
        <v>16.659723</v>
      </c>
    </row>
    <row r="3769" spans="1:9" x14ac:dyDescent="0.25">
      <c r="A3769" s="1">
        <v>2140450062</v>
      </c>
      <c r="B3769" s="1" t="s">
        <v>2060</v>
      </c>
      <c r="C3769" s="1" t="s">
        <v>130</v>
      </c>
      <c r="D3769" s="1" t="s">
        <v>131</v>
      </c>
      <c r="E3769" s="1">
        <v>31.85</v>
      </c>
      <c r="F3769" s="1" t="s">
        <v>509</v>
      </c>
      <c r="G3769" s="1">
        <v>0</v>
      </c>
      <c r="H3769" s="1">
        <v>0</v>
      </c>
      <c r="I3769" s="1">
        <v>15.890423999999999</v>
      </c>
    </row>
    <row r="3770" spans="1:9" x14ac:dyDescent="0.25">
      <c r="A3770" s="1">
        <v>2140450063</v>
      </c>
      <c r="B3770" s="1" t="s">
        <v>2061</v>
      </c>
      <c r="C3770" s="1" t="s">
        <v>130</v>
      </c>
      <c r="D3770" s="1" t="s">
        <v>131</v>
      </c>
      <c r="E3770" s="3">
        <v>10</v>
      </c>
      <c r="F3770" s="1" t="s">
        <v>509</v>
      </c>
      <c r="G3770" s="1">
        <v>0</v>
      </c>
      <c r="H3770" s="1">
        <v>0</v>
      </c>
      <c r="I3770" s="1">
        <v>5.8</v>
      </c>
    </row>
    <row r="3771" spans="1:9" x14ac:dyDescent="0.25">
      <c r="A3771" s="1">
        <v>2140450064</v>
      </c>
      <c r="B3771" s="1" t="s">
        <v>2062</v>
      </c>
      <c r="C3771" s="1" t="s">
        <v>130</v>
      </c>
      <c r="D3771" s="1" t="s">
        <v>131</v>
      </c>
      <c r="E3771" s="3">
        <v>4.03</v>
      </c>
      <c r="F3771" s="1" t="s">
        <v>509</v>
      </c>
      <c r="G3771" s="1">
        <v>0</v>
      </c>
      <c r="H3771" s="1">
        <v>0</v>
      </c>
      <c r="I3771" s="1">
        <v>6.0074439999999996</v>
      </c>
    </row>
    <row r="3772" spans="1:9" x14ac:dyDescent="0.25">
      <c r="A3772" s="1">
        <v>2140450065</v>
      </c>
      <c r="B3772" s="1" t="s">
        <v>2063</v>
      </c>
      <c r="C3772" s="1" t="s">
        <v>130</v>
      </c>
      <c r="D3772" s="1" t="s">
        <v>131</v>
      </c>
      <c r="E3772" s="1">
        <v>65.95</v>
      </c>
      <c r="F3772" s="1" t="s">
        <v>509</v>
      </c>
      <c r="G3772" s="1">
        <v>0</v>
      </c>
      <c r="H3772" s="1">
        <v>0</v>
      </c>
      <c r="I3772" s="1">
        <v>15.822441</v>
      </c>
    </row>
    <row r="3773" spans="1:9" x14ac:dyDescent="0.25">
      <c r="A3773" s="1">
        <v>2140450066</v>
      </c>
      <c r="B3773" s="1" t="s">
        <v>2064</v>
      </c>
      <c r="C3773" s="1" t="s">
        <v>130</v>
      </c>
      <c r="D3773" s="1" t="s">
        <v>131</v>
      </c>
      <c r="E3773" s="3">
        <v>108.02</v>
      </c>
      <c r="F3773" s="1" t="s">
        <v>509</v>
      </c>
      <c r="G3773" s="1">
        <v>0</v>
      </c>
      <c r="H3773" s="1">
        <v>0</v>
      </c>
      <c r="I3773" s="1">
        <v>14.872801000000001</v>
      </c>
    </row>
    <row r="3774" spans="1:9" x14ac:dyDescent="0.25">
      <c r="A3774" s="1">
        <v>2140450067</v>
      </c>
      <c r="B3774" s="1" t="s">
        <v>2065</v>
      </c>
      <c r="C3774" s="1" t="s">
        <v>130</v>
      </c>
      <c r="D3774" s="1" t="s">
        <v>131</v>
      </c>
      <c r="E3774" s="1">
        <v>2.94</v>
      </c>
      <c r="F3774" s="1" t="s">
        <v>509</v>
      </c>
      <c r="G3774" s="1">
        <v>0</v>
      </c>
      <c r="H3774" s="1">
        <v>0</v>
      </c>
      <c r="I3774" s="1">
        <v>15.823129</v>
      </c>
    </row>
    <row r="3775" spans="1:9" x14ac:dyDescent="0.25">
      <c r="A3775" s="1">
        <v>2140450068</v>
      </c>
      <c r="B3775" s="1" t="s">
        <v>2066</v>
      </c>
      <c r="C3775" s="1" t="s">
        <v>130</v>
      </c>
      <c r="D3775" s="1" t="s">
        <v>131</v>
      </c>
      <c r="E3775" s="1">
        <v>107</v>
      </c>
      <c r="F3775" s="1" t="s">
        <v>509</v>
      </c>
      <c r="G3775" s="1">
        <v>0</v>
      </c>
      <c r="H3775" s="1">
        <v>0</v>
      </c>
      <c r="I3775" s="1">
        <v>14.927383000000001</v>
      </c>
    </row>
    <row r="3776" spans="1:9" x14ac:dyDescent="0.25">
      <c r="A3776" s="1">
        <v>2140450069</v>
      </c>
      <c r="B3776" s="1" t="s">
        <v>2067</v>
      </c>
      <c r="C3776" s="1" t="s">
        <v>130</v>
      </c>
      <c r="D3776" s="1" t="s">
        <v>131</v>
      </c>
      <c r="E3776" s="3">
        <v>52</v>
      </c>
      <c r="F3776" s="1" t="s">
        <v>509</v>
      </c>
      <c r="G3776" s="1">
        <v>0</v>
      </c>
      <c r="H3776" s="1">
        <v>0</v>
      </c>
      <c r="I3776" s="1">
        <v>15.137499999999999</v>
      </c>
    </row>
    <row r="3777" spans="1:9" x14ac:dyDescent="0.25">
      <c r="A3777" s="1">
        <v>2140450070</v>
      </c>
      <c r="B3777" s="1" t="s">
        <v>2068</v>
      </c>
      <c r="C3777" s="1" t="s">
        <v>130</v>
      </c>
      <c r="D3777" s="1" t="s">
        <v>131</v>
      </c>
      <c r="E3777" s="1">
        <v>36</v>
      </c>
      <c r="F3777" s="1" t="s">
        <v>509</v>
      </c>
      <c r="G3777" s="1">
        <v>0</v>
      </c>
      <c r="H3777" s="1">
        <v>0</v>
      </c>
      <c r="I3777" s="1">
        <v>5.8</v>
      </c>
    </row>
    <row r="3778" spans="1:9" x14ac:dyDescent="0.25">
      <c r="A3778" s="1">
        <v>2140450071</v>
      </c>
      <c r="B3778" s="1" t="s">
        <v>2069</v>
      </c>
      <c r="C3778" s="1" t="s">
        <v>130</v>
      </c>
      <c r="D3778" s="1" t="s">
        <v>131</v>
      </c>
      <c r="E3778" s="1">
        <v>97.95</v>
      </c>
      <c r="F3778" s="1" t="s">
        <v>509</v>
      </c>
      <c r="G3778" s="1">
        <v>0</v>
      </c>
      <c r="H3778" s="1">
        <v>0</v>
      </c>
      <c r="I3778" s="1">
        <v>15.023073</v>
      </c>
    </row>
    <row r="3779" spans="1:9" x14ac:dyDescent="0.25">
      <c r="A3779" s="1">
        <v>2140450072</v>
      </c>
      <c r="B3779" s="1" t="s">
        <v>2070</v>
      </c>
      <c r="C3779" s="1" t="s">
        <v>130</v>
      </c>
      <c r="D3779" s="1" t="s">
        <v>131</v>
      </c>
      <c r="E3779" s="1">
        <v>53</v>
      </c>
      <c r="F3779" s="1" t="s">
        <v>509</v>
      </c>
      <c r="G3779" s="1">
        <v>0</v>
      </c>
      <c r="H3779" s="1">
        <v>0</v>
      </c>
      <c r="I3779" s="1">
        <v>15.158302000000001</v>
      </c>
    </row>
    <row r="3780" spans="1:9" x14ac:dyDescent="0.25">
      <c r="A3780" s="1">
        <v>2140450073</v>
      </c>
      <c r="B3780" s="1" t="s">
        <v>2071</v>
      </c>
      <c r="C3780" s="1" t="s">
        <v>130</v>
      </c>
      <c r="D3780" s="1" t="s">
        <v>131</v>
      </c>
      <c r="E3780" s="1">
        <v>28.8</v>
      </c>
      <c r="F3780" s="1" t="s">
        <v>509</v>
      </c>
      <c r="G3780" s="1">
        <v>0</v>
      </c>
      <c r="H3780" s="1">
        <v>0</v>
      </c>
      <c r="I3780" s="1">
        <v>15.920139000000001</v>
      </c>
    </row>
    <row r="3781" spans="1:9" x14ac:dyDescent="0.25">
      <c r="A3781" s="1">
        <v>2140450074</v>
      </c>
      <c r="B3781" s="1" t="s">
        <v>2072</v>
      </c>
      <c r="C3781" s="1" t="s">
        <v>130</v>
      </c>
      <c r="D3781" s="1" t="s">
        <v>131</v>
      </c>
      <c r="E3781" s="3">
        <v>2</v>
      </c>
      <c r="F3781" s="1" t="s">
        <v>509</v>
      </c>
      <c r="G3781" s="1">
        <v>0</v>
      </c>
      <c r="H3781" s="1">
        <v>0</v>
      </c>
      <c r="I3781" s="1">
        <v>15.92</v>
      </c>
    </row>
    <row r="3782" spans="1:9" x14ac:dyDescent="0.25">
      <c r="A3782" s="1">
        <v>2140450075</v>
      </c>
      <c r="B3782" s="1" t="s">
        <v>2073</v>
      </c>
      <c r="C3782" s="1" t="s">
        <v>130</v>
      </c>
      <c r="D3782" s="1" t="s">
        <v>131</v>
      </c>
      <c r="E3782" s="3">
        <v>2.83</v>
      </c>
      <c r="F3782" s="1" t="s">
        <v>509</v>
      </c>
      <c r="G3782" s="1">
        <v>0</v>
      </c>
      <c r="H3782" s="1">
        <v>0</v>
      </c>
      <c r="I3782" s="1">
        <v>15.918728</v>
      </c>
    </row>
    <row r="3783" spans="1:9" x14ac:dyDescent="0.25">
      <c r="A3783" s="1">
        <v>2140450076</v>
      </c>
      <c r="B3783" s="1" t="s">
        <v>2074</v>
      </c>
      <c r="C3783" s="1" t="s">
        <v>130</v>
      </c>
      <c r="D3783" s="1" t="s">
        <v>131</v>
      </c>
      <c r="E3783" s="1">
        <v>2.83</v>
      </c>
      <c r="F3783" s="1" t="s">
        <v>509</v>
      </c>
      <c r="G3783" s="1">
        <v>0</v>
      </c>
      <c r="H3783" s="1">
        <v>0</v>
      </c>
      <c r="I3783" s="1">
        <v>15.918728</v>
      </c>
    </row>
    <row r="3784" spans="1:9" x14ac:dyDescent="0.25">
      <c r="A3784" s="1">
        <v>2140450077</v>
      </c>
      <c r="B3784" s="1" t="s">
        <v>2075</v>
      </c>
      <c r="C3784" s="1" t="s">
        <v>130</v>
      </c>
      <c r="D3784" s="1" t="s">
        <v>131</v>
      </c>
      <c r="E3784" s="1">
        <v>0.89</v>
      </c>
      <c r="F3784" s="1" t="s">
        <v>509</v>
      </c>
      <c r="G3784" s="1">
        <v>0</v>
      </c>
      <c r="H3784" s="1">
        <v>0</v>
      </c>
      <c r="I3784" s="1">
        <v>15.921348</v>
      </c>
    </row>
    <row r="3785" spans="1:9" x14ac:dyDescent="0.25">
      <c r="A3785" s="1">
        <v>2140450078</v>
      </c>
      <c r="B3785" s="1" t="s">
        <v>2076</v>
      </c>
      <c r="C3785" s="1" t="s">
        <v>130</v>
      </c>
      <c r="D3785" s="1" t="s">
        <v>131</v>
      </c>
      <c r="E3785" s="3">
        <v>8</v>
      </c>
      <c r="F3785" s="1" t="s">
        <v>509</v>
      </c>
      <c r="G3785" s="1">
        <v>0</v>
      </c>
      <c r="H3785" s="1">
        <v>0</v>
      </c>
      <c r="I3785" s="1">
        <v>15.92</v>
      </c>
    </row>
    <row r="3786" spans="1:9" x14ac:dyDescent="0.25">
      <c r="A3786" s="1">
        <v>2140450079</v>
      </c>
      <c r="B3786" s="1" t="s">
        <v>2077</v>
      </c>
      <c r="C3786" s="1" t="s">
        <v>130</v>
      </c>
      <c r="D3786" s="1" t="s">
        <v>131</v>
      </c>
      <c r="E3786" s="1">
        <v>1</v>
      </c>
      <c r="F3786" s="1" t="s">
        <v>509</v>
      </c>
      <c r="G3786" s="1">
        <v>0</v>
      </c>
      <c r="H3786" s="1">
        <v>0</v>
      </c>
      <c r="I3786" s="1">
        <v>15.92</v>
      </c>
    </row>
    <row r="3787" spans="1:9" x14ac:dyDescent="0.25">
      <c r="A3787" s="1">
        <v>2140450080</v>
      </c>
      <c r="B3787" s="1" t="s">
        <v>2078</v>
      </c>
      <c r="C3787" s="1" t="s">
        <v>130</v>
      </c>
      <c r="D3787" s="1" t="s">
        <v>131</v>
      </c>
      <c r="E3787" s="3">
        <v>45.86</v>
      </c>
      <c r="F3787" s="1" t="s">
        <v>509</v>
      </c>
      <c r="G3787" s="1">
        <v>0</v>
      </c>
      <c r="H3787" s="1">
        <v>0</v>
      </c>
      <c r="I3787" s="1">
        <v>15.822939</v>
      </c>
    </row>
    <row r="3788" spans="1:9" x14ac:dyDescent="0.25">
      <c r="A3788" s="1">
        <v>2140450081</v>
      </c>
      <c r="B3788" s="1" t="s">
        <v>2079</v>
      </c>
      <c r="C3788" s="1" t="s">
        <v>130</v>
      </c>
      <c r="D3788" s="1" t="s">
        <v>131</v>
      </c>
      <c r="E3788" s="1">
        <v>32.85</v>
      </c>
      <c r="F3788" s="1" t="s">
        <v>509</v>
      </c>
      <c r="G3788" s="1">
        <v>0</v>
      </c>
      <c r="H3788" s="1">
        <v>0</v>
      </c>
      <c r="I3788" s="1">
        <v>15.82344</v>
      </c>
    </row>
    <row r="3789" spans="1:9" x14ac:dyDescent="0.25">
      <c r="A3789" s="1">
        <v>2140450082</v>
      </c>
      <c r="B3789" s="1" t="s">
        <v>2080</v>
      </c>
      <c r="C3789" s="1" t="s">
        <v>130</v>
      </c>
      <c r="D3789" s="1" t="s">
        <v>131</v>
      </c>
      <c r="E3789" s="1">
        <v>10.85</v>
      </c>
      <c r="F3789" s="1" t="s">
        <v>509</v>
      </c>
      <c r="G3789" s="1">
        <v>0</v>
      </c>
      <c r="H3789" s="1">
        <v>0</v>
      </c>
      <c r="I3789" s="1">
        <v>15.823041</v>
      </c>
    </row>
    <row r="3790" spans="1:9" x14ac:dyDescent="0.25">
      <c r="A3790" s="1">
        <v>2140450083</v>
      </c>
      <c r="B3790" s="1" t="s">
        <v>2081</v>
      </c>
      <c r="C3790" s="1" t="s">
        <v>130</v>
      </c>
      <c r="D3790" s="1" t="s">
        <v>131</v>
      </c>
      <c r="E3790" s="3">
        <v>0.9</v>
      </c>
      <c r="F3790" s="1" t="s">
        <v>509</v>
      </c>
      <c r="G3790" s="1">
        <v>0</v>
      </c>
      <c r="H3790" s="1">
        <v>0</v>
      </c>
      <c r="I3790" s="1">
        <v>16.777778000000001</v>
      </c>
    </row>
    <row r="3791" spans="1:9" x14ac:dyDescent="0.25">
      <c r="A3791" s="1">
        <v>2140450085</v>
      </c>
      <c r="B3791" s="1" t="s">
        <v>2082</v>
      </c>
      <c r="C3791" s="1" t="s">
        <v>130</v>
      </c>
      <c r="D3791" s="1" t="s">
        <v>131</v>
      </c>
      <c r="E3791" s="3">
        <v>2.95</v>
      </c>
      <c r="F3791" s="1" t="s">
        <v>509</v>
      </c>
      <c r="G3791" s="1">
        <v>0</v>
      </c>
      <c r="H3791" s="1">
        <v>0</v>
      </c>
      <c r="I3791" s="1">
        <v>15.827119</v>
      </c>
    </row>
    <row r="3792" spans="1:9" x14ac:dyDescent="0.25">
      <c r="A3792" s="1">
        <v>2140450086</v>
      </c>
      <c r="B3792" s="1" t="s">
        <v>2083</v>
      </c>
      <c r="C3792" s="1" t="s">
        <v>130</v>
      </c>
      <c r="D3792" s="1" t="s">
        <v>131</v>
      </c>
      <c r="E3792" s="3">
        <v>22.9</v>
      </c>
      <c r="F3792" s="1" t="s">
        <v>509</v>
      </c>
      <c r="G3792" s="1">
        <v>0</v>
      </c>
      <c r="H3792" s="1">
        <v>0</v>
      </c>
      <c r="I3792" s="1">
        <v>15.827947999999999</v>
      </c>
    </row>
    <row r="3793" spans="1:9" x14ac:dyDescent="0.25">
      <c r="A3793" s="1">
        <v>2140450087</v>
      </c>
      <c r="B3793" s="1" t="s">
        <v>2084</v>
      </c>
      <c r="C3793" s="1" t="s">
        <v>130</v>
      </c>
      <c r="D3793" s="1" t="s">
        <v>131</v>
      </c>
      <c r="E3793" s="3">
        <v>5.96</v>
      </c>
      <c r="F3793" s="1" t="s">
        <v>509</v>
      </c>
      <c r="G3793" s="1">
        <v>0</v>
      </c>
      <c r="H3793" s="1">
        <v>0</v>
      </c>
      <c r="I3793" s="1">
        <v>16.781879</v>
      </c>
    </row>
    <row r="3794" spans="1:9" x14ac:dyDescent="0.25">
      <c r="A3794" s="1">
        <v>2140450088</v>
      </c>
      <c r="B3794" s="1" t="s">
        <v>2085</v>
      </c>
      <c r="C3794" s="1" t="s">
        <v>130</v>
      </c>
      <c r="D3794" s="1" t="s">
        <v>131</v>
      </c>
      <c r="E3794" s="3">
        <v>23.92</v>
      </c>
      <c r="F3794" s="1" t="s">
        <v>509</v>
      </c>
      <c r="G3794" s="1">
        <v>0</v>
      </c>
      <c r="H3794" s="1">
        <v>0</v>
      </c>
      <c r="I3794" s="1">
        <v>15.827759</v>
      </c>
    </row>
    <row r="3795" spans="1:9" x14ac:dyDescent="0.25">
      <c r="A3795" s="1">
        <v>2140450089</v>
      </c>
      <c r="B3795" s="1" t="s">
        <v>2086</v>
      </c>
      <c r="C3795" s="1" t="s">
        <v>130</v>
      </c>
      <c r="D3795" s="1" t="s">
        <v>131</v>
      </c>
      <c r="E3795" s="3">
        <v>6.91</v>
      </c>
      <c r="F3795" s="1" t="s">
        <v>509</v>
      </c>
      <c r="G3795" s="1">
        <v>10</v>
      </c>
      <c r="H3795" s="1">
        <v>0</v>
      </c>
      <c r="I3795" s="1">
        <v>15.827786</v>
      </c>
    </row>
    <row r="3796" spans="1:9" x14ac:dyDescent="0.25">
      <c r="A3796" s="1">
        <v>2140450090</v>
      </c>
      <c r="B3796" s="1" t="s">
        <v>2087</v>
      </c>
      <c r="C3796" s="1" t="s">
        <v>130</v>
      </c>
      <c r="D3796" s="1" t="s">
        <v>131</v>
      </c>
      <c r="E3796" s="1">
        <v>1.92</v>
      </c>
      <c r="F3796" s="1" t="s">
        <v>509</v>
      </c>
      <c r="G3796" s="1">
        <v>0</v>
      </c>
      <c r="H3796" s="1">
        <v>0</v>
      </c>
      <c r="I3796" s="1">
        <v>16.78125</v>
      </c>
    </row>
    <row r="3797" spans="1:9" x14ac:dyDescent="0.25">
      <c r="A3797" s="1">
        <v>2140450091</v>
      </c>
      <c r="B3797" s="1" t="s">
        <v>2088</v>
      </c>
      <c r="C3797" s="1" t="s">
        <v>130</v>
      </c>
      <c r="D3797" s="1" t="s">
        <v>131</v>
      </c>
      <c r="E3797" s="1">
        <v>0.92</v>
      </c>
      <c r="F3797" s="1" t="s">
        <v>509</v>
      </c>
      <c r="G3797" s="1">
        <v>1</v>
      </c>
      <c r="H3797" s="1">
        <v>0</v>
      </c>
      <c r="I3797" s="1">
        <v>16.782609000000001</v>
      </c>
    </row>
    <row r="3798" spans="1:9" x14ac:dyDescent="0.25">
      <c r="A3798" s="1">
        <v>2140450092</v>
      </c>
      <c r="B3798" s="1" t="s">
        <v>2089</v>
      </c>
      <c r="C3798" s="1" t="s">
        <v>130</v>
      </c>
      <c r="D3798" s="1" t="s">
        <v>131</v>
      </c>
      <c r="E3798" s="1">
        <v>2</v>
      </c>
      <c r="F3798" s="1" t="s">
        <v>509</v>
      </c>
      <c r="G3798" s="1">
        <v>0</v>
      </c>
      <c r="H3798" s="1">
        <v>0</v>
      </c>
      <c r="I3798" s="1">
        <v>16.78</v>
      </c>
    </row>
    <row r="3799" spans="1:9" x14ac:dyDescent="0.25">
      <c r="A3799" s="1">
        <v>2140450095</v>
      </c>
      <c r="B3799" s="1" t="s">
        <v>2090</v>
      </c>
      <c r="C3799" s="1" t="s">
        <v>130</v>
      </c>
      <c r="D3799" s="1" t="s">
        <v>131</v>
      </c>
      <c r="E3799" s="1">
        <v>34</v>
      </c>
      <c r="F3799" s="1" t="s">
        <v>509</v>
      </c>
      <c r="G3799" s="1">
        <v>0</v>
      </c>
      <c r="H3799" s="1">
        <v>0</v>
      </c>
      <c r="I3799" s="1">
        <v>15.657353000000001</v>
      </c>
    </row>
    <row r="3800" spans="1:9" x14ac:dyDescent="0.25">
      <c r="A3800" s="1">
        <v>2140450097</v>
      </c>
      <c r="B3800" s="1" t="s">
        <v>2091</v>
      </c>
      <c r="C3800" s="1" t="s">
        <v>130</v>
      </c>
      <c r="D3800" s="1" t="s">
        <v>131</v>
      </c>
      <c r="E3800" s="3">
        <v>18</v>
      </c>
      <c r="F3800" s="1" t="s">
        <v>509</v>
      </c>
      <c r="G3800" s="1">
        <v>0</v>
      </c>
      <c r="H3800" s="1">
        <v>0</v>
      </c>
      <c r="I3800" s="1">
        <v>15.657222000000001</v>
      </c>
    </row>
    <row r="3801" spans="1:9" x14ac:dyDescent="0.25">
      <c r="A3801" s="1">
        <v>2140450103</v>
      </c>
      <c r="B3801" s="1" t="s">
        <v>2092</v>
      </c>
      <c r="C3801" s="1" t="s">
        <v>130</v>
      </c>
      <c r="D3801" s="1" t="s">
        <v>131</v>
      </c>
      <c r="E3801" s="1">
        <v>1.4</v>
      </c>
      <c r="F3801" s="1" t="s">
        <v>509</v>
      </c>
      <c r="G3801" s="1">
        <v>0</v>
      </c>
      <c r="H3801" s="1">
        <v>0</v>
      </c>
      <c r="I3801" s="1">
        <v>15.828571</v>
      </c>
    </row>
    <row r="3802" spans="1:9" x14ac:dyDescent="0.25">
      <c r="A3802" s="1">
        <v>2140450104</v>
      </c>
      <c r="B3802" s="1" t="s">
        <v>2093</v>
      </c>
      <c r="C3802" s="1" t="s">
        <v>130</v>
      </c>
      <c r="D3802" s="1" t="s">
        <v>131</v>
      </c>
      <c r="E3802" s="1">
        <v>0.97</v>
      </c>
      <c r="F3802" s="1" t="s">
        <v>509</v>
      </c>
      <c r="G3802" s="1">
        <v>0</v>
      </c>
      <c r="H3802" s="1">
        <v>0</v>
      </c>
      <c r="I3802" s="1">
        <v>16.185566999999999</v>
      </c>
    </row>
    <row r="3803" spans="1:9" x14ac:dyDescent="0.25">
      <c r="A3803" s="1">
        <v>2140450105</v>
      </c>
      <c r="B3803" s="1" t="s">
        <v>2094</v>
      </c>
      <c r="C3803" s="1" t="s">
        <v>130</v>
      </c>
      <c r="D3803" s="1" t="s">
        <v>131</v>
      </c>
      <c r="E3803" s="1">
        <v>0.91</v>
      </c>
      <c r="F3803" s="1" t="s">
        <v>509</v>
      </c>
      <c r="G3803" s="1">
        <v>0</v>
      </c>
      <c r="H3803" s="1">
        <v>0</v>
      </c>
      <c r="I3803" s="1">
        <v>15.824176</v>
      </c>
    </row>
    <row r="3804" spans="1:9" x14ac:dyDescent="0.25">
      <c r="A3804" s="1">
        <v>2140450106</v>
      </c>
      <c r="B3804" s="1" t="s">
        <v>2095</v>
      </c>
      <c r="C3804" s="1" t="s">
        <v>130</v>
      </c>
      <c r="D3804" s="1" t="s">
        <v>131</v>
      </c>
      <c r="E3804" s="1">
        <v>0.96</v>
      </c>
      <c r="F3804" s="1" t="s">
        <v>509</v>
      </c>
      <c r="G3804" s="3">
        <v>0</v>
      </c>
      <c r="H3804" s="1">
        <v>0</v>
      </c>
      <c r="I3804" s="1">
        <v>16.1875</v>
      </c>
    </row>
    <row r="3805" spans="1:9" x14ac:dyDescent="0.25">
      <c r="A3805" s="1">
        <v>2140450107</v>
      </c>
      <c r="B3805" s="1" t="s">
        <v>2096</v>
      </c>
      <c r="C3805" s="1" t="s">
        <v>130</v>
      </c>
      <c r="D3805" s="1" t="s">
        <v>131</v>
      </c>
      <c r="E3805" s="1">
        <v>0.98</v>
      </c>
      <c r="F3805" s="1" t="s">
        <v>509</v>
      </c>
      <c r="G3805" s="1">
        <v>1</v>
      </c>
      <c r="H3805" s="1">
        <v>0</v>
      </c>
      <c r="I3805" s="1">
        <v>15.826530999999999</v>
      </c>
    </row>
    <row r="3806" spans="1:9" x14ac:dyDescent="0.25">
      <c r="A3806" s="1">
        <v>2140450108</v>
      </c>
      <c r="B3806" s="1" t="s">
        <v>2097</v>
      </c>
      <c r="C3806" s="1" t="s">
        <v>130</v>
      </c>
      <c r="D3806" s="1" t="s">
        <v>131</v>
      </c>
      <c r="E3806" s="1">
        <v>0.97</v>
      </c>
      <c r="F3806" s="1" t="s">
        <v>509</v>
      </c>
      <c r="G3806" s="1">
        <v>0</v>
      </c>
      <c r="H3806" s="1">
        <v>0</v>
      </c>
      <c r="I3806" s="1">
        <v>17.164947999999999</v>
      </c>
    </row>
    <row r="3807" spans="1:9" x14ac:dyDescent="0.25">
      <c r="A3807" s="1">
        <v>2140450109</v>
      </c>
      <c r="B3807" s="1" t="s">
        <v>2098</v>
      </c>
      <c r="C3807" s="1" t="s">
        <v>130</v>
      </c>
      <c r="D3807" s="1" t="s">
        <v>131</v>
      </c>
      <c r="E3807" s="3">
        <v>1.89</v>
      </c>
      <c r="F3807" s="1" t="s">
        <v>509</v>
      </c>
      <c r="G3807" s="1">
        <v>0</v>
      </c>
      <c r="H3807" s="1">
        <v>0</v>
      </c>
      <c r="I3807" s="1">
        <v>16.190476</v>
      </c>
    </row>
    <row r="3808" spans="1:9" x14ac:dyDescent="0.25">
      <c r="A3808" s="1">
        <v>2140450110</v>
      </c>
      <c r="B3808" s="1" t="s">
        <v>2099</v>
      </c>
      <c r="C3808" s="1" t="s">
        <v>130</v>
      </c>
      <c r="D3808" s="1" t="s">
        <v>131</v>
      </c>
      <c r="E3808" s="1">
        <v>0.95</v>
      </c>
      <c r="F3808" s="1" t="s">
        <v>509</v>
      </c>
      <c r="G3808" s="1">
        <v>0</v>
      </c>
      <c r="H3808" s="1">
        <v>0</v>
      </c>
      <c r="I3808" s="1">
        <v>17.063158000000001</v>
      </c>
    </row>
    <row r="3809" spans="1:9" x14ac:dyDescent="0.25">
      <c r="A3809" s="1">
        <v>2140450111</v>
      </c>
      <c r="B3809" s="1" t="s">
        <v>2100</v>
      </c>
      <c r="C3809" s="1" t="s">
        <v>130</v>
      </c>
      <c r="D3809" s="1" t="s">
        <v>131</v>
      </c>
      <c r="E3809" s="1">
        <v>0.96</v>
      </c>
      <c r="F3809" s="1" t="s">
        <v>509</v>
      </c>
      <c r="G3809" s="1">
        <v>0</v>
      </c>
      <c r="H3809" s="1">
        <v>0</v>
      </c>
      <c r="I3809" s="1">
        <v>16.1875</v>
      </c>
    </row>
    <row r="3810" spans="1:9" x14ac:dyDescent="0.25">
      <c r="A3810" s="1">
        <v>2140450112</v>
      </c>
      <c r="B3810" s="1" t="s">
        <v>2101</v>
      </c>
      <c r="C3810" s="1" t="s">
        <v>130</v>
      </c>
      <c r="D3810" s="1" t="s">
        <v>131</v>
      </c>
      <c r="E3810" s="1">
        <v>0.96</v>
      </c>
      <c r="F3810" s="1" t="s">
        <v>509</v>
      </c>
      <c r="G3810" s="1">
        <v>0</v>
      </c>
      <c r="H3810" s="1">
        <v>0</v>
      </c>
      <c r="I3810" s="1">
        <v>16.1875</v>
      </c>
    </row>
    <row r="3811" spans="1:9" x14ac:dyDescent="0.25">
      <c r="A3811" s="1">
        <v>2140450113</v>
      </c>
      <c r="B3811" s="1" t="s">
        <v>2102</v>
      </c>
      <c r="C3811" s="1" t="s">
        <v>130</v>
      </c>
      <c r="D3811" s="1" t="s">
        <v>131</v>
      </c>
      <c r="E3811" s="1">
        <v>14.9</v>
      </c>
      <c r="F3811" s="1" t="s">
        <v>509</v>
      </c>
      <c r="G3811" s="3">
        <v>0</v>
      </c>
      <c r="H3811" s="1">
        <v>0</v>
      </c>
      <c r="I3811" s="1">
        <v>25.532215000000001</v>
      </c>
    </row>
    <row r="3812" spans="1:9" x14ac:dyDescent="0.25">
      <c r="A3812" s="1">
        <v>2140450116</v>
      </c>
      <c r="B3812" s="1" t="s">
        <v>2103</v>
      </c>
      <c r="C3812" s="1" t="s">
        <v>130</v>
      </c>
      <c r="D3812" s="1" t="s">
        <v>131</v>
      </c>
      <c r="E3812" s="3">
        <v>8.1300000000000008</v>
      </c>
      <c r="F3812" s="1" t="s">
        <v>509</v>
      </c>
      <c r="G3812" s="1">
        <v>0</v>
      </c>
      <c r="H3812" s="1">
        <v>0</v>
      </c>
      <c r="I3812" s="1">
        <v>25.531365000000001</v>
      </c>
    </row>
    <row r="3813" spans="1:9" x14ac:dyDescent="0.25">
      <c r="A3813" s="1">
        <v>2140450119</v>
      </c>
      <c r="B3813" s="1" t="s">
        <v>2104</v>
      </c>
      <c r="C3813" s="1" t="s">
        <v>130</v>
      </c>
      <c r="D3813" s="1" t="s">
        <v>131</v>
      </c>
      <c r="E3813" s="1">
        <v>1.98</v>
      </c>
      <c r="F3813" s="1" t="s">
        <v>509</v>
      </c>
      <c r="G3813" s="1">
        <v>0</v>
      </c>
      <c r="H3813" s="1">
        <v>0</v>
      </c>
      <c r="I3813" s="1">
        <v>15.550504999999999</v>
      </c>
    </row>
    <row r="3814" spans="1:9" x14ac:dyDescent="0.25">
      <c r="A3814" s="1">
        <v>2140450120</v>
      </c>
      <c r="B3814" s="1" t="s">
        <v>2105</v>
      </c>
      <c r="C3814" s="1" t="s">
        <v>130</v>
      </c>
      <c r="D3814" s="1" t="s">
        <v>131</v>
      </c>
      <c r="E3814" s="1">
        <v>13.9</v>
      </c>
      <c r="F3814" s="1" t="s">
        <v>509</v>
      </c>
      <c r="G3814" s="1">
        <v>10</v>
      </c>
      <c r="H3814" s="1">
        <v>0</v>
      </c>
      <c r="I3814" s="1">
        <v>15.556835</v>
      </c>
    </row>
    <row r="3815" spans="1:9" x14ac:dyDescent="0.25">
      <c r="A3815" s="1">
        <v>2140450121</v>
      </c>
      <c r="B3815" s="1" t="s">
        <v>2106</v>
      </c>
      <c r="C3815" s="1" t="s">
        <v>130</v>
      </c>
      <c r="D3815" s="1" t="s">
        <v>131</v>
      </c>
      <c r="E3815" s="3">
        <v>0.9</v>
      </c>
      <c r="F3815" s="1" t="s">
        <v>509</v>
      </c>
      <c r="G3815" s="1">
        <v>20</v>
      </c>
      <c r="H3815" s="1">
        <v>0</v>
      </c>
      <c r="I3815" s="1">
        <v>15.555555999999999</v>
      </c>
    </row>
    <row r="3816" spans="1:9" x14ac:dyDescent="0.25">
      <c r="A3816" s="1">
        <v>2140450122</v>
      </c>
      <c r="B3816" s="1" t="s">
        <v>2107</v>
      </c>
      <c r="C3816" s="1" t="s">
        <v>130</v>
      </c>
      <c r="D3816" s="1" t="s">
        <v>131</v>
      </c>
      <c r="E3816" s="1">
        <v>0.9</v>
      </c>
      <c r="F3816" s="1" t="s">
        <v>509</v>
      </c>
      <c r="G3816" s="1">
        <v>0</v>
      </c>
      <c r="H3816" s="1">
        <v>0</v>
      </c>
      <c r="I3816" s="1">
        <v>15.555555999999999</v>
      </c>
    </row>
    <row r="3817" spans="1:9" x14ac:dyDescent="0.25">
      <c r="A3817" s="1">
        <v>2140450124</v>
      </c>
      <c r="B3817" s="1" t="s">
        <v>2108</v>
      </c>
      <c r="C3817" s="1" t="s">
        <v>130</v>
      </c>
      <c r="D3817" s="1" t="s">
        <v>131</v>
      </c>
      <c r="E3817" s="1">
        <v>0.9</v>
      </c>
      <c r="F3817" s="1" t="s">
        <v>509</v>
      </c>
      <c r="G3817" s="1">
        <v>0</v>
      </c>
      <c r="H3817" s="1">
        <v>0</v>
      </c>
      <c r="I3817" s="1">
        <v>15.888889000000001</v>
      </c>
    </row>
    <row r="3818" spans="1:9" x14ac:dyDescent="0.25">
      <c r="A3818" s="1">
        <v>2140450125</v>
      </c>
      <c r="B3818" s="1" t="s">
        <v>2109</v>
      </c>
      <c r="C3818" s="1" t="s">
        <v>130</v>
      </c>
      <c r="D3818" s="1" t="s">
        <v>131</v>
      </c>
      <c r="E3818" s="1">
        <v>1.9</v>
      </c>
      <c r="F3818" s="1" t="s">
        <v>509</v>
      </c>
      <c r="G3818" s="1">
        <v>0</v>
      </c>
      <c r="H3818" s="1">
        <v>0</v>
      </c>
      <c r="I3818" s="1">
        <v>15.868421</v>
      </c>
    </row>
    <row r="3819" spans="1:9" x14ac:dyDescent="0.25">
      <c r="A3819" s="1">
        <v>2140450126</v>
      </c>
      <c r="B3819" s="1" t="s">
        <v>2110</v>
      </c>
      <c r="C3819" s="1" t="s">
        <v>130</v>
      </c>
      <c r="D3819" s="1" t="s">
        <v>131</v>
      </c>
      <c r="E3819" s="1">
        <v>0.89</v>
      </c>
      <c r="F3819" s="1" t="s">
        <v>509</v>
      </c>
      <c r="G3819" s="1">
        <v>0</v>
      </c>
      <c r="H3819" s="1">
        <v>0</v>
      </c>
      <c r="I3819" s="1">
        <v>15.887639999999999</v>
      </c>
    </row>
    <row r="3820" spans="1:9" x14ac:dyDescent="0.25">
      <c r="A3820" s="1">
        <v>2140450127</v>
      </c>
      <c r="B3820" s="1" t="s">
        <v>2111</v>
      </c>
      <c r="C3820" s="1" t="s">
        <v>130</v>
      </c>
      <c r="D3820" s="1" t="s">
        <v>131</v>
      </c>
      <c r="E3820" s="1">
        <v>0.9</v>
      </c>
      <c r="F3820" s="1" t="s">
        <v>509</v>
      </c>
      <c r="G3820" s="3">
        <v>0</v>
      </c>
      <c r="H3820" s="1">
        <v>0</v>
      </c>
      <c r="I3820" s="1">
        <v>16.244444000000001</v>
      </c>
    </row>
    <row r="3821" spans="1:9" x14ac:dyDescent="0.25">
      <c r="A3821" s="1">
        <v>2140450128</v>
      </c>
      <c r="B3821" s="1" t="s">
        <v>2112</v>
      </c>
      <c r="C3821" s="1" t="s">
        <v>130</v>
      </c>
      <c r="D3821" s="1" t="s">
        <v>131</v>
      </c>
      <c r="E3821" s="1">
        <v>0.9</v>
      </c>
      <c r="F3821" s="1" t="s">
        <v>509</v>
      </c>
      <c r="G3821" s="1">
        <v>0</v>
      </c>
      <c r="H3821" s="1">
        <v>0</v>
      </c>
      <c r="I3821" s="1">
        <v>15.555555999999999</v>
      </c>
    </row>
    <row r="3822" spans="1:9" x14ac:dyDescent="0.25">
      <c r="A3822" s="1">
        <v>2140450129</v>
      </c>
      <c r="B3822" s="1" t="s">
        <v>2113</v>
      </c>
      <c r="C3822" s="1" t="s">
        <v>130</v>
      </c>
      <c r="D3822" s="1" t="s">
        <v>131</v>
      </c>
      <c r="E3822" s="1">
        <v>1.9</v>
      </c>
      <c r="F3822" s="1" t="s">
        <v>509</v>
      </c>
      <c r="G3822" s="1">
        <v>0</v>
      </c>
      <c r="H3822" s="1">
        <v>0</v>
      </c>
      <c r="I3822" s="1">
        <v>16.242104999999999</v>
      </c>
    </row>
    <row r="3823" spans="1:9" x14ac:dyDescent="0.25">
      <c r="A3823" s="1">
        <v>2140450130</v>
      </c>
      <c r="B3823" s="1" t="s">
        <v>2114</v>
      </c>
      <c r="C3823" s="1" t="s">
        <v>130</v>
      </c>
      <c r="D3823" s="1" t="s">
        <v>131</v>
      </c>
      <c r="E3823" s="1">
        <v>1.9</v>
      </c>
      <c r="F3823" s="1" t="s">
        <v>509</v>
      </c>
      <c r="G3823" s="1">
        <v>0</v>
      </c>
      <c r="H3823" s="1">
        <v>0</v>
      </c>
      <c r="I3823" s="1">
        <v>15.557895</v>
      </c>
    </row>
    <row r="3824" spans="1:9" x14ac:dyDescent="0.25">
      <c r="A3824" s="1">
        <v>2140450131</v>
      </c>
      <c r="B3824" s="1" t="s">
        <v>2115</v>
      </c>
      <c r="C3824" s="1" t="s">
        <v>130</v>
      </c>
      <c r="D3824" s="1" t="s">
        <v>131</v>
      </c>
      <c r="E3824" s="1">
        <v>13.9</v>
      </c>
      <c r="F3824" s="1" t="s">
        <v>509</v>
      </c>
      <c r="G3824" s="1">
        <v>20</v>
      </c>
      <c r="H3824" s="1">
        <v>0</v>
      </c>
      <c r="I3824" s="1">
        <v>15.557554</v>
      </c>
    </row>
    <row r="3825" spans="1:9" x14ac:dyDescent="0.25">
      <c r="A3825" s="1">
        <v>2140450133</v>
      </c>
      <c r="B3825" s="1" t="s">
        <v>2116</v>
      </c>
      <c r="C3825" s="1" t="s">
        <v>130</v>
      </c>
      <c r="D3825" s="1" t="s">
        <v>131</v>
      </c>
      <c r="E3825" s="1">
        <v>0.9</v>
      </c>
      <c r="F3825" s="1" t="s">
        <v>509</v>
      </c>
      <c r="G3825" s="1">
        <v>0</v>
      </c>
      <c r="H3825" s="1">
        <v>0</v>
      </c>
      <c r="I3825" s="1">
        <v>16.244444000000001</v>
      </c>
    </row>
    <row r="3826" spans="1:9" x14ac:dyDescent="0.25">
      <c r="A3826" s="1">
        <v>2140450134</v>
      </c>
      <c r="B3826" s="1" t="s">
        <v>2117</v>
      </c>
      <c r="C3826" s="1" t="s">
        <v>130</v>
      </c>
      <c r="D3826" s="1" t="s">
        <v>131</v>
      </c>
      <c r="E3826" s="1">
        <v>48.9</v>
      </c>
      <c r="F3826" s="1" t="s">
        <v>509</v>
      </c>
      <c r="G3826" s="3">
        <v>10</v>
      </c>
      <c r="H3826" s="3">
        <v>0</v>
      </c>
      <c r="I3826" s="1">
        <v>15.558282</v>
      </c>
    </row>
    <row r="3827" spans="1:9" x14ac:dyDescent="0.25">
      <c r="A3827" s="1">
        <v>2140450137</v>
      </c>
      <c r="B3827" s="1" t="s">
        <v>2118</v>
      </c>
      <c r="C3827" s="1" t="s">
        <v>130</v>
      </c>
      <c r="D3827" s="1" t="s">
        <v>131</v>
      </c>
      <c r="E3827" s="1">
        <v>0.9</v>
      </c>
      <c r="F3827" s="1" t="s">
        <v>509</v>
      </c>
      <c r="G3827" s="1">
        <v>0</v>
      </c>
      <c r="H3827" s="1">
        <v>0</v>
      </c>
      <c r="I3827" s="1">
        <v>15.888889000000001</v>
      </c>
    </row>
    <row r="3828" spans="1:9" x14ac:dyDescent="0.25">
      <c r="A3828" s="1">
        <v>2140450138</v>
      </c>
      <c r="B3828" s="1" t="s">
        <v>2119</v>
      </c>
      <c r="C3828" s="1" t="s">
        <v>130</v>
      </c>
      <c r="D3828" s="1" t="s">
        <v>131</v>
      </c>
      <c r="E3828" s="1">
        <v>1.9</v>
      </c>
      <c r="F3828" s="1" t="s">
        <v>509</v>
      </c>
      <c r="G3828" s="1">
        <v>0</v>
      </c>
      <c r="H3828" s="1">
        <v>0</v>
      </c>
      <c r="I3828" s="1">
        <v>15.557895</v>
      </c>
    </row>
    <row r="3829" spans="1:9" x14ac:dyDescent="0.25">
      <c r="A3829" s="1">
        <v>2140450139</v>
      </c>
      <c r="B3829" s="1" t="s">
        <v>2120</v>
      </c>
      <c r="C3829" s="1" t="s">
        <v>130</v>
      </c>
      <c r="D3829" s="1" t="s">
        <v>131</v>
      </c>
      <c r="E3829" s="1">
        <v>32.9</v>
      </c>
      <c r="F3829" s="1" t="s">
        <v>509</v>
      </c>
      <c r="G3829" s="1">
        <v>20</v>
      </c>
      <c r="H3829" s="1">
        <v>0</v>
      </c>
      <c r="I3829" s="1">
        <v>15.558055</v>
      </c>
    </row>
    <row r="3830" spans="1:9" x14ac:dyDescent="0.25">
      <c r="A3830" s="1">
        <v>2140450140</v>
      </c>
      <c r="B3830" s="1" t="s">
        <v>2121</v>
      </c>
      <c r="C3830" s="1" t="s">
        <v>130</v>
      </c>
      <c r="D3830" s="1" t="s">
        <v>131</v>
      </c>
      <c r="E3830" s="1">
        <v>5</v>
      </c>
      <c r="F3830" s="1" t="s">
        <v>509</v>
      </c>
      <c r="G3830" s="1">
        <v>0</v>
      </c>
      <c r="H3830" s="1">
        <v>0</v>
      </c>
      <c r="I3830" s="1">
        <v>15.571999999999999</v>
      </c>
    </row>
    <row r="3831" spans="1:9" x14ac:dyDescent="0.25">
      <c r="A3831" s="1">
        <v>2140450141</v>
      </c>
      <c r="B3831" s="1" t="s">
        <v>2122</v>
      </c>
      <c r="C3831" s="1" t="s">
        <v>130</v>
      </c>
      <c r="D3831" s="1" t="s">
        <v>131</v>
      </c>
      <c r="E3831" s="1">
        <v>0.9</v>
      </c>
      <c r="F3831" s="1" t="s">
        <v>509</v>
      </c>
      <c r="G3831" s="1">
        <v>0</v>
      </c>
      <c r="H3831" s="1">
        <v>0</v>
      </c>
      <c r="I3831" s="1">
        <v>15.866667</v>
      </c>
    </row>
    <row r="3832" spans="1:9" x14ac:dyDescent="0.25">
      <c r="A3832" s="1">
        <v>2140450142</v>
      </c>
      <c r="B3832" s="1" t="s">
        <v>2123</v>
      </c>
      <c r="C3832" s="1" t="s">
        <v>130</v>
      </c>
      <c r="D3832" s="1" t="s">
        <v>131</v>
      </c>
      <c r="E3832" s="1">
        <v>1.9</v>
      </c>
      <c r="F3832" s="1" t="s">
        <v>509</v>
      </c>
      <c r="G3832" s="1">
        <v>0</v>
      </c>
      <c r="H3832" s="1">
        <v>0</v>
      </c>
      <c r="I3832" s="1">
        <v>15.868421</v>
      </c>
    </row>
    <row r="3833" spans="1:9" x14ac:dyDescent="0.25">
      <c r="A3833" s="1">
        <v>2140450144</v>
      </c>
      <c r="B3833" s="1" t="s">
        <v>2124</v>
      </c>
      <c r="C3833" s="1" t="s">
        <v>130</v>
      </c>
      <c r="D3833" s="1" t="s">
        <v>131</v>
      </c>
      <c r="E3833" s="1">
        <v>1.95</v>
      </c>
      <c r="F3833" s="1" t="s">
        <v>509</v>
      </c>
      <c r="G3833" s="1">
        <v>0</v>
      </c>
      <c r="H3833" s="1">
        <v>0</v>
      </c>
      <c r="I3833" s="1">
        <v>15.656409999999999</v>
      </c>
    </row>
    <row r="3834" spans="1:9" x14ac:dyDescent="0.25">
      <c r="A3834" s="1">
        <v>2140450145</v>
      </c>
      <c r="B3834" s="1" t="s">
        <v>2125</v>
      </c>
      <c r="C3834" s="1" t="s">
        <v>130</v>
      </c>
      <c r="D3834" s="1" t="s">
        <v>131</v>
      </c>
      <c r="E3834" s="1">
        <v>7.95</v>
      </c>
      <c r="F3834" s="1" t="s">
        <v>509</v>
      </c>
      <c r="G3834" s="1">
        <v>0</v>
      </c>
      <c r="H3834" s="1">
        <v>0</v>
      </c>
      <c r="I3834" s="1">
        <v>15.657862</v>
      </c>
    </row>
    <row r="3835" spans="1:9" x14ac:dyDescent="0.25">
      <c r="A3835" s="1">
        <v>2140450146</v>
      </c>
      <c r="B3835" s="1" t="s">
        <v>2126</v>
      </c>
      <c r="C3835" s="1" t="s">
        <v>130</v>
      </c>
      <c r="D3835" s="1" t="s">
        <v>131</v>
      </c>
      <c r="E3835" s="1">
        <v>10.95</v>
      </c>
      <c r="F3835" s="1" t="s">
        <v>509</v>
      </c>
      <c r="G3835" s="1">
        <v>0</v>
      </c>
      <c r="H3835" s="1">
        <v>0</v>
      </c>
      <c r="I3835" s="1">
        <v>15.657534</v>
      </c>
    </row>
    <row r="3836" spans="1:9" x14ac:dyDescent="0.25">
      <c r="A3836" s="1">
        <v>2140450147</v>
      </c>
      <c r="B3836" s="1" t="s">
        <v>2127</v>
      </c>
      <c r="C3836" s="1" t="s">
        <v>130</v>
      </c>
      <c r="D3836" s="1" t="s">
        <v>131</v>
      </c>
      <c r="E3836" s="1">
        <v>29.95</v>
      </c>
      <c r="F3836" s="1" t="s">
        <v>509</v>
      </c>
      <c r="G3836" s="1">
        <v>0</v>
      </c>
      <c r="H3836" s="1">
        <v>0</v>
      </c>
      <c r="I3836" s="1">
        <v>15.657429</v>
      </c>
    </row>
    <row r="3837" spans="1:9" x14ac:dyDescent="0.25">
      <c r="A3837" s="1">
        <v>2140450148</v>
      </c>
      <c r="B3837" s="1" t="s">
        <v>2128</v>
      </c>
      <c r="C3837" s="1" t="s">
        <v>130</v>
      </c>
      <c r="D3837" s="1" t="s">
        <v>131</v>
      </c>
      <c r="E3837" s="1">
        <v>40.9</v>
      </c>
      <c r="F3837" s="1" t="s">
        <v>509</v>
      </c>
      <c r="G3837" s="1">
        <v>0</v>
      </c>
      <c r="H3837" s="1">
        <v>0</v>
      </c>
      <c r="I3837" s="1">
        <v>15.657457000000001</v>
      </c>
    </row>
    <row r="3838" spans="1:9" x14ac:dyDescent="0.25">
      <c r="A3838" s="1">
        <v>2140450149</v>
      </c>
      <c r="B3838" s="1" t="s">
        <v>2129</v>
      </c>
      <c r="C3838" s="1" t="s">
        <v>130</v>
      </c>
      <c r="D3838" s="1" t="s">
        <v>131</v>
      </c>
      <c r="E3838" s="1">
        <v>18.95</v>
      </c>
      <c r="F3838" s="1" t="s">
        <v>509</v>
      </c>
      <c r="G3838" s="1">
        <v>0</v>
      </c>
      <c r="H3838" s="1">
        <v>0</v>
      </c>
      <c r="I3838" s="1">
        <v>15.65752</v>
      </c>
    </row>
    <row r="3839" spans="1:9" x14ac:dyDescent="0.25">
      <c r="A3839" s="1">
        <v>2140450150</v>
      </c>
      <c r="B3839" s="1" t="s">
        <v>2130</v>
      </c>
      <c r="C3839" s="1" t="s">
        <v>130</v>
      </c>
      <c r="D3839" s="1" t="s">
        <v>131</v>
      </c>
      <c r="E3839" s="1">
        <v>97</v>
      </c>
      <c r="F3839" s="1" t="s">
        <v>509</v>
      </c>
      <c r="G3839" s="1">
        <v>0</v>
      </c>
      <c r="H3839" s="1">
        <v>0</v>
      </c>
      <c r="I3839" s="1">
        <v>15.657526000000001</v>
      </c>
    </row>
    <row r="3840" spans="1:9" x14ac:dyDescent="0.25">
      <c r="A3840" s="1">
        <v>2140450151</v>
      </c>
      <c r="B3840" s="1" t="s">
        <v>2131</v>
      </c>
      <c r="C3840" s="1" t="s">
        <v>130</v>
      </c>
      <c r="D3840" s="1" t="s">
        <v>131</v>
      </c>
      <c r="E3840" s="1">
        <v>105</v>
      </c>
      <c r="F3840" s="1" t="s">
        <v>509</v>
      </c>
      <c r="G3840" s="3">
        <v>0</v>
      </c>
      <c r="H3840" s="3">
        <v>0</v>
      </c>
      <c r="I3840" s="1">
        <v>15.657524</v>
      </c>
    </row>
    <row r="3841" spans="1:9" x14ac:dyDescent="0.25">
      <c r="A3841" s="1">
        <v>2140450152</v>
      </c>
      <c r="B3841" s="1" t="s">
        <v>2132</v>
      </c>
      <c r="C3841" s="1" t="s">
        <v>130</v>
      </c>
      <c r="D3841" s="1" t="s">
        <v>131</v>
      </c>
      <c r="E3841" s="1">
        <v>61</v>
      </c>
      <c r="F3841" s="1" t="s">
        <v>509</v>
      </c>
      <c r="G3841" s="1">
        <v>0</v>
      </c>
      <c r="H3841" s="1">
        <v>0</v>
      </c>
      <c r="I3841" s="1">
        <v>15.553443</v>
      </c>
    </row>
    <row r="3842" spans="1:9" x14ac:dyDescent="0.25">
      <c r="A3842" s="1">
        <v>2140450153</v>
      </c>
      <c r="B3842" s="1" t="s">
        <v>2133</v>
      </c>
      <c r="C3842" s="1" t="s">
        <v>130</v>
      </c>
      <c r="D3842" s="1" t="s">
        <v>131</v>
      </c>
      <c r="E3842" s="1">
        <v>81</v>
      </c>
      <c r="F3842" s="1" t="s">
        <v>509</v>
      </c>
      <c r="G3842" s="1">
        <v>0</v>
      </c>
      <c r="H3842" s="1">
        <v>0</v>
      </c>
      <c r="I3842" s="1">
        <v>15.553827</v>
      </c>
    </row>
    <row r="3843" spans="1:9" x14ac:dyDescent="0.25">
      <c r="A3843" s="1">
        <v>2140450154</v>
      </c>
      <c r="B3843" s="1" t="s">
        <v>2134</v>
      </c>
      <c r="C3843" s="1" t="s">
        <v>130</v>
      </c>
      <c r="D3843" s="1" t="s">
        <v>131</v>
      </c>
      <c r="E3843" s="1">
        <v>69</v>
      </c>
      <c r="F3843" s="1" t="s">
        <v>509</v>
      </c>
      <c r="G3843" s="1">
        <v>20</v>
      </c>
      <c r="H3843" s="1">
        <v>0</v>
      </c>
      <c r="I3843" s="1">
        <v>15.553623</v>
      </c>
    </row>
    <row r="3844" spans="1:9" x14ac:dyDescent="0.25">
      <c r="A3844" s="1">
        <v>2140450155</v>
      </c>
      <c r="B3844" s="1" t="s">
        <v>2135</v>
      </c>
      <c r="C3844" s="1" t="s">
        <v>130</v>
      </c>
      <c r="D3844" s="1" t="s">
        <v>131</v>
      </c>
      <c r="E3844" s="1">
        <v>51</v>
      </c>
      <c r="F3844" s="1" t="s">
        <v>509</v>
      </c>
      <c r="G3844" s="1">
        <v>0</v>
      </c>
      <c r="H3844" s="1">
        <v>0</v>
      </c>
      <c r="I3844" s="1">
        <v>15.553922</v>
      </c>
    </row>
    <row r="3845" spans="1:9" x14ac:dyDescent="0.25">
      <c r="A3845" s="1">
        <v>2140460001</v>
      </c>
      <c r="B3845" s="1" t="s">
        <v>2136</v>
      </c>
      <c r="C3845" s="1" t="s">
        <v>130</v>
      </c>
      <c r="D3845" s="1" t="s">
        <v>131</v>
      </c>
      <c r="E3845" s="1">
        <v>0</v>
      </c>
      <c r="F3845" s="1" t="s">
        <v>36</v>
      </c>
      <c r="G3845" s="1">
        <v>0</v>
      </c>
      <c r="H3845" s="3">
        <v>738801</v>
      </c>
      <c r="I3845" s="1">
        <v>0</v>
      </c>
    </row>
    <row r="3846" spans="1:9" x14ac:dyDescent="0.25">
      <c r="A3846" s="1">
        <v>2140460001</v>
      </c>
      <c r="B3846" s="1" t="s">
        <v>2136</v>
      </c>
      <c r="C3846" s="1" t="s">
        <v>167</v>
      </c>
      <c r="D3846" s="1" t="s">
        <v>168</v>
      </c>
      <c r="E3846" s="3">
        <v>1800</v>
      </c>
      <c r="F3846" s="1" t="s">
        <v>36</v>
      </c>
      <c r="G3846" s="1">
        <v>0</v>
      </c>
      <c r="H3846" s="1">
        <v>0</v>
      </c>
      <c r="I3846" s="1">
        <v>4.1506000000000001E-2</v>
      </c>
    </row>
    <row r="3847" spans="1:9" x14ac:dyDescent="0.25">
      <c r="A3847" s="1">
        <v>2140460001</v>
      </c>
      <c r="B3847" s="1" t="s">
        <v>2136</v>
      </c>
      <c r="C3847" s="1" t="s">
        <v>139</v>
      </c>
      <c r="D3847" s="1" t="s">
        <v>140</v>
      </c>
      <c r="E3847" s="3">
        <v>738801</v>
      </c>
      <c r="F3847" s="1" t="s">
        <v>36</v>
      </c>
      <c r="G3847" s="3">
        <v>738801</v>
      </c>
      <c r="H3847" s="1">
        <v>0</v>
      </c>
      <c r="I3847" s="1">
        <v>4.1507000000000002E-2</v>
      </c>
    </row>
    <row r="3848" spans="1:9" x14ac:dyDescent="0.25">
      <c r="A3848" s="1">
        <v>2140460002</v>
      </c>
      <c r="B3848" s="1" t="s">
        <v>2137</v>
      </c>
      <c r="C3848" s="1" t="s">
        <v>130</v>
      </c>
      <c r="D3848" s="1" t="s">
        <v>131</v>
      </c>
      <c r="E3848" s="1">
        <v>0</v>
      </c>
      <c r="F3848" s="1" t="s">
        <v>36</v>
      </c>
      <c r="G3848" s="1">
        <v>0</v>
      </c>
      <c r="H3848" s="3">
        <v>166997</v>
      </c>
      <c r="I3848" s="1">
        <v>0</v>
      </c>
    </row>
    <row r="3849" spans="1:9" x14ac:dyDescent="0.25">
      <c r="A3849" s="1">
        <v>2140460002</v>
      </c>
      <c r="B3849" s="1" t="s">
        <v>2137</v>
      </c>
      <c r="C3849" s="1" t="s">
        <v>167</v>
      </c>
      <c r="D3849" s="1" t="s">
        <v>168</v>
      </c>
      <c r="E3849" s="3">
        <v>1653</v>
      </c>
      <c r="F3849" s="1" t="s">
        <v>36</v>
      </c>
      <c r="G3849" s="1">
        <v>0</v>
      </c>
      <c r="H3849" s="1">
        <v>0</v>
      </c>
      <c r="I3849" s="1">
        <v>3.1295000000000003E-2</v>
      </c>
    </row>
    <row r="3850" spans="1:9" x14ac:dyDescent="0.25">
      <c r="A3850" s="1">
        <v>2140460002</v>
      </c>
      <c r="B3850" s="1" t="s">
        <v>2137</v>
      </c>
      <c r="C3850" s="1" t="s">
        <v>139</v>
      </c>
      <c r="D3850" s="1" t="s">
        <v>140</v>
      </c>
      <c r="E3850" s="3">
        <v>166997</v>
      </c>
      <c r="F3850" s="1" t="s">
        <v>36</v>
      </c>
      <c r="G3850" s="3">
        <v>166997</v>
      </c>
      <c r="H3850" s="1">
        <v>0</v>
      </c>
      <c r="I3850" s="1">
        <v>3.1295999999999997E-2</v>
      </c>
    </row>
    <row r="3851" spans="1:9" x14ac:dyDescent="0.25">
      <c r="A3851" s="1">
        <v>2140460010</v>
      </c>
      <c r="B3851" s="1" t="s">
        <v>2138</v>
      </c>
      <c r="C3851" s="1" t="s">
        <v>130</v>
      </c>
      <c r="D3851" s="1" t="s">
        <v>131</v>
      </c>
      <c r="E3851" s="1">
        <v>0</v>
      </c>
      <c r="F3851" s="1" t="s">
        <v>36</v>
      </c>
      <c r="G3851" s="1">
        <v>0</v>
      </c>
      <c r="H3851" s="3">
        <v>212328</v>
      </c>
      <c r="I3851" s="1">
        <v>0</v>
      </c>
    </row>
    <row r="3852" spans="1:9" x14ac:dyDescent="0.25">
      <c r="A3852" s="1">
        <v>2140460010</v>
      </c>
      <c r="B3852" s="1" t="s">
        <v>2138</v>
      </c>
      <c r="C3852" s="1" t="s">
        <v>167</v>
      </c>
      <c r="D3852" s="1" t="s">
        <v>168</v>
      </c>
      <c r="E3852" s="3">
        <v>1800</v>
      </c>
      <c r="F3852" s="1" t="s">
        <v>36</v>
      </c>
      <c r="G3852" s="1">
        <v>0</v>
      </c>
      <c r="H3852" s="1">
        <v>0</v>
      </c>
      <c r="I3852" s="1">
        <v>0.33582800000000002</v>
      </c>
    </row>
    <row r="3853" spans="1:9" x14ac:dyDescent="0.25">
      <c r="A3853" s="1">
        <v>2140460010</v>
      </c>
      <c r="B3853" s="1" t="s">
        <v>2138</v>
      </c>
      <c r="C3853" s="1" t="s">
        <v>139</v>
      </c>
      <c r="D3853" s="1" t="s">
        <v>140</v>
      </c>
      <c r="E3853" s="3">
        <v>212328</v>
      </c>
      <c r="F3853" s="1" t="s">
        <v>36</v>
      </c>
      <c r="G3853" s="3">
        <v>212328</v>
      </c>
      <c r="H3853" s="1">
        <v>0</v>
      </c>
      <c r="I3853" s="1">
        <v>0.33582600000000001</v>
      </c>
    </row>
    <row r="3854" spans="1:9" x14ac:dyDescent="0.25">
      <c r="A3854" s="1">
        <v>2140460011</v>
      </c>
      <c r="B3854" s="1" t="s">
        <v>2139</v>
      </c>
      <c r="C3854" s="1" t="s">
        <v>130</v>
      </c>
      <c r="D3854" s="1" t="s">
        <v>131</v>
      </c>
      <c r="E3854" s="1">
        <v>0</v>
      </c>
      <c r="F3854" s="1" t="s">
        <v>36</v>
      </c>
      <c r="G3854" s="1">
        <v>0</v>
      </c>
      <c r="H3854" s="3">
        <v>453784</v>
      </c>
      <c r="I3854" s="1">
        <v>0</v>
      </c>
    </row>
    <row r="3855" spans="1:9" x14ac:dyDescent="0.25">
      <c r="A3855" s="1">
        <v>2140460011</v>
      </c>
      <c r="B3855" s="1" t="s">
        <v>2139</v>
      </c>
      <c r="C3855" s="1" t="s">
        <v>167</v>
      </c>
      <c r="D3855" s="1" t="s">
        <v>168</v>
      </c>
      <c r="E3855" s="3">
        <v>1830</v>
      </c>
      <c r="F3855" s="1" t="s">
        <v>36</v>
      </c>
      <c r="G3855" s="1">
        <v>0</v>
      </c>
      <c r="H3855" s="1">
        <v>0</v>
      </c>
      <c r="I3855" s="1">
        <v>0.215836</v>
      </c>
    </row>
    <row r="3856" spans="1:9" x14ac:dyDescent="0.25">
      <c r="A3856" s="1">
        <v>2140460011</v>
      </c>
      <c r="B3856" s="1" t="s">
        <v>2139</v>
      </c>
      <c r="C3856" s="1" t="s">
        <v>139</v>
      </c>
      <c r="D3856" s="1" t="s">
        <v>140</v>
      </c>
      <c r="E3856" s="3">
        <v>453784</v>
      </c>
      <c r="F3856" s="1" t="s">
        <v>36</v>
      </c>
      <c r="G3856" s="3">
        <v>453784</v>
      </c>
      <c r="H3856" s="1">
        <v>0</v>
      </c>
      <c r="I3856" s="1">
        <v>0.215837</v>
      </c>
    </row>
    <row r="3857" spans="1:9" x14ac:dyDescent="0.25">
      <c r="A3857" s="1">
        <v>2140460012</v>
      </c>
      <c r="B3857" s="1" t="s">
        <v>2140</v>
      </c>
      <c r="C3857" s="1" t="s">
        <v>130</v>
      </c>
      <c r="D3857" s="1" t="s">
        <v>131</v>
      </c>
      <c r="E3857" s="1">
        <v>0</v>
      </c>
      <c r="F3857" s="1" t="s">
        <v>36</v>
      </c>
      <c r="G3857" s="1">
        <v>0</v>
      </c>
      <c r="H3857" s="3">
        <v>280318</v>
      </c>
      <c r="I3857" s="1">
        <v>0</v>
      </c>
    </row>
    <row r="3858" spans="1:9" x14ac:dyDescent="0.25">
      <c r="A3858" s="1">
        <v>2140460012</v>
      </c>
      <c r="B3858" s="1" t="s">
        <v>2140</v>
      </c>
      <c r="C3858" s="1" t="s">
        <v>139</v>
      </c>
      <c r="D3858" s="1" t="s">
        <v>140</v>
      </c>
      <c r="E3858" s="3">
        <v>280318</v>
      </c>
      <c r="F3858" s="1" t="s">
        <v>36</v>
      </c>
      <c r="G3858" s="3">
        <v>280318</v>
      </c>
      <c r="H3858" s="1">
        <v>0</v>
      </c>
      <c r="I3858" s="1">
        <v>0.167875</v>
      </c>
    </row>
    <row r="3859" spans="1:9" x14ac:dyDescent="0.25">
      <c r="A3859" s="1">
        <v>2140460013</v>
      </c>
      <c r="B3859" s="1" t="s">
        <v>2141</v>
      </c>
      <c r="C3859" s="1" t="s">
        <v>130</v>
      </c>
      <c r="D3859" s="1" t="s">
        <v>131</v>
      </c>
      <c r="E3859" s="1">
        <v>0</v>
      </c>
      <c r="F3859" s="1" t="s">
        <v>36</v>
      </c>
      <c r="G3859" s="1">
        <v>0</v>
      </c>
      <c r="H3859" s="3">
        <v>350546</v>
      </c>
      <c r="I3859" s="1">
        <v>0</v>
      </c>
    </row>
    <row r="3860" spans="1:9" x14ac:dyDescent="0.25">
      <c r="A3860" s="1">
        <v>2140460013</v>
      </c>
      <c r="B3860" s="1" t="s">
        <v>2141</v>
      </c>
      <c r="C3860" s="1" t="s">
        <v>139</v>
      </c>
      <c r="D3860" s="1" t="s">
        <v>140</v>
      </c>
      <c r="E3860" s="3">
        <v>350546</v>
      </c>
      <c r="F3860" s="1" t="s">
        <v>36</v>
      </c>
      <c r="G3860" s="3">
        <v>350546</v>
      </c>
      <c r="H3860" s="1">
        <v>0</v>
      </c>
      <c r="I3860" s="1">
        <v>0.29951299999999997</v>
      </c>
    </row>
    <row r="3861" spans="1:9" x14ac:dyDescent="0.25">
      <c r="A3861" s="1">
        <v>2140460014</v>
      </c>
      <c r="B3861" s="1" t="s">
        <v>2142</v>
      </c>
      <c r="C3861" s="1" t="s">
        <v>130</v>
      </c>
      <c r="D3861" s="1" t="s">
        <v>131</v>
      </c>
      <c r="E3861" s="1">
        <v>0</v>
      </c>
      <c r="F3861" s="1" t="s">
        <v>36</v>
      </c>
      <c r="G3861" s="1">
        <v>0</v>
      </c>
      <c r="H3861" s="3">
        <v>14765</v>
      </c>
      <c r="I3861" s="1">
        <v>0</v>
      </c>
    </row>
    <row r="3862" spans="1:9" x14ac:dyDescent="0.25">
      <c r="A3862" s="1">
        <v>2140460014</v>
      </c>
      <c r="B3862" s="1" t="s">
        <v>2142</v>
      </c>
      <c r="C3862" s="1" t="s">
        <v>167</v>
      </c>
      <c r="D3862" s="1" t="s">
        <v>168</v>
      </c>
      <c r="E3862" s="3">
        <v>1800</v>
      </c>
      <c r="F3862" s="1" t="s">
        <v>36</v>
      </c>
      <c r="G3862" s="1">
        <v>0</v>
      </c>
      <c r="H3862" s="1">
        <v>0</v>
      </c>
      <c r="I3862" s="1">
        <v>5.0122E-2</v>
      </c>
    </row>
    <row r="3863" spans="1:9" x14ac:dyDescent="0.25">
      <c r="A3863" s="1">
        <v>2140460014</v>
      </c>
      <c r="B3863" s="1" t="s">
        <v>2142</v>
      </c>
      <c r="C3863" s="1" t="s">
        <v>139</v>
      </c>
      <c r="D3863" s="1" t="s">
        <v>140</v>
      </c>
      <c r="E3863" s="3">
        <v>14765</v>
      </c>
      <c r="F3863" s="1" t="s">
        <v>36</v>
      </c>
      <c r="G3863" s="3">
        <v>14765</v>
      </c>
      <c r="H3863" s="1">
        <v>0</v>
      </c>
      <c r="I3863" s="1">
        <v>5.0122E-2</v>
      </c>
    </row>
    <row r="3864" spans="1:9" x14ac:dyDescent="0.25">
      <c r="A3864" s="1">
        <v>2140460015</v>
      </c>
      <c r="B3864" s="1" t="s">
        <v>2143</v>
      </c>
      <c r="C3864" s="1" t="s">
        <v>130</v>
      </c>
      <c r="D3864" s="1" t="s">
        <v>131</v>
      </c>
      <c r="E3864" s="1">
        <v>0</v>
      </c>
      <c r="F3864" s="1" t="s">
        <v>36</v>
      </c>
      <c r="G3864" s="1">
        <v>0</v>
      </c>
      <c r="H3864" s="3">
        <v>68615</v>
      </c>
      <c r="I3864" s="1">
        <v>0</v>
      </c>
    </row>
    <row r="3865" spans="1:9" x14ac:dyDescent="0.25">
      <c r="A3865" s="1">
        <v>2140460015</v>
      </c>
      <c r="B3865" s="1" t="s">
        <v>2143</v>
      </c>
      <c r="C3865" s="1" t="s">
        <v>139</v>
      </c>
      <c r="D3865" s="1" t="s">
        <v>140</v>
      </c>
      <c r="E3865" s="3">
        <v>68615</v>
      </c>
      <c r="F3865" s="1" t="s">
        <v>36</v>
      </c>
      <c r="G3865" s="3">
        <v>68615</v>
      </c>
      <c r="H3865" s="1">
        <v>0</v>
      </c>
      <c r="I3865" s="1">
        <v>3.1295999999999997E-2</v>
      </c>
    </row>
    <row r="3866" spans="1:9" x14ac:dyDescent="0.25">
      <c r="A3866" s="1">
        <v>2140460016</v>
      </c>
      <c r="B3866" s="1" t="s">
        <v>2144</v>
      </c>
      <c r="C3866" s="1" t="s">
        <v>130</v>
      </c>
      <c r="D3866" s="1" t="s">
        <v>131</v>
      </c>
      <c r="E3866" s="1">
        <v>0</v>
      </c>
      <c r="F3866" s="1" t="s">
        <v>36</v>
      </c>
      <c r="G3866" s="1">
        <v>0</v>
      </c>
      <c r="H3866" s="3">
        <v>13217</v>
      </c>
      <c r="I3866" s="1">
        <v>0</v>
      </c>
    </row>
    <row r="3867" spans="1:9" x14ac:dyDescent="0.25">
      <c r="A3867" s="1">
        <v>2140460016</v>
      </c>
      <c r="B3867" s="1" t="s">
        <v>2144</v>
      </c>
      <c r="C3867" s="1" t="s">
        <v>139</v>
      </c>
      <c r="D3867" s="1" t="s">
        <v>140</v>
      </c>
      <c r="E3867" s="3">
        <v>13217</v>
      </c>
      <c r="F3867" s="1" t="s">
        <v>36</v>
      </c>
      <c r="G3867" s="3">
        <v>13217</v>
      </c>
      <c r="H3867" s="1">
        <v>0</v>
      </c>
      <c r="I3867" s="1">
        <v>0.24406800000000001</v>
      </c>
    </row>
    <row r="3868" spans="1:9" x14ac:dyDescent="0.25">
      <c r="A3868" s="1">
        <v>2140460017</v>
      </c>
      <c r="B3868" s="1" t="s">
        <v>2145</v>
      </c>
      <c r="C3868" s="1" t="s">
        <v>130</v>
      </c>
      <c r="D3868" s="1" t="s">
        <v>131</v>
      </c>
      <c r="E3868" s="1">
        <v>0</v>
      </c>
      <c r="F3868" s="1" t="s">
        <v>36</v>
      </c>
      <c r="G3868" s="1">
        <v>0</v>
      </c>
      <c r="H3868" s="3">
        <v>15963</v>
      </c>
      <c r="I3868" s="1">
        <v>0</v>
      </c>
    </row>
    <row r="3869" spans="1:9" x14ac:dyDescent="0.25">
      <c r="A3869" s="1">
        <v>2140460017</v>
      </c>
      <c r="B3869" s="1" t="s">
        <v>2145</v>
      </c>
      <c r="C3869" s="1" t="s">
        <v>139</v>
      </c>
      <c r="D3869" s="1" t="s">
        <v>140</v>
      </c>
      <c r="E3869" s="3">
        <v>15963</v>
      </c>
      <c r="F3869" s="1" t="s">
        <v>36</v>
      </c>
      <c r="G3869" s="3">
        <v>15963</v>
      </c>
      <c r="H3869" s="1">
        <v>0</v>
      </c>
      <c r="I3869" s="1">
        <v>0.23353499999999999</v>
      </c>
    </row>
    <row r="3870" spans="1:9" x14ac:dyDescent="0.25">
      <c r="A3870" s="1">
        <v>2140460018</v>
      </c>
      <c r="B3870" s="1" t="s">
        <v>2146</v>
      </c>
      <c r="C3870" s="1" t="s">
        <v>130</v>
      </c>
      <c r="D3870" s="1" t="s">
        <v>131</v>
      </c>
      <c r="E3870" s="1">
        <v>0</v>
      </c>
      <c r="F3870" s="1" t="s">
        <v>36</v>
      </c>
      <c r="G3870" s="1">
        <v>0</v>
      </c>
      <c r="H3870" s="3">
        <v>12670</v>
      </c>
      <c r="I3870" s="1">
        <v>0</v>
      </c>
    </row>
    <row r="3871" spans="1:9" x14ac:dyDescent="0.25">
      <c r="A3871" s="1">
        <v>2140460018</v>
      </c>
      <c r="B3871" s="1" t="s">
        <v>2146</v>
      </c>
      <c r="C3871" s="1" t="s">
        <v>139</v>
      </c>
      <c r="D3871" s="1" t="s">
        <v>140</v>
      </c>
      <c r="E3871" s="3">
        <v>12670</v>
      </c>
      <c r="F3871" s="1" t="s">
        <v>36</v>
      </c>
      <c r="G3871" s="3">
        <v>12670</v>
      </c>
      <c r="H3871" s="1">
        <v>0</v>
      </c>
      <c r="I3871" s="1">
        <v>0.23208000000000001</v>
      </c>
    </row>
    <row r="3872" spans="1:9" x14ac:dyDescent="0.25">
      <c r="A3872" s="1">
        <v>2140460019</v>
      </c>
      <c r="B3872" s="1" t="s">
        <v>2147</v>
      </c>
      <c r="C3872" s="1" t="s">
        <v>130</v>
      </c>
      <c r="D3872" s="1" t="s">
        <v>131</v>
      </c>
      <c r="E3872" s="1">
        <v>0</v>
      </c>
      <c r="F3872" s="1" t="s">
        <v>36</v>
      </c>
      <c r="G3872" s="1">
        <v>0</v>
      </c>
      <c r="H3872" s="3">
        <v>4065</v>
      </c>
      <c r="I3872" s="1">
        <v>0</v>
      </c>
    </row>
    <row r="3873" spans="1:9" x14ac:dyDescent="0.25">
      <c r="A3873" s="1">
        <v>2140460019</v>
      </c>
      <c r="B3873" s="1" t="s">
        <v>2147</v>
      </c>
      <c r="C3873" s="1" t="s">
        <v>139</v>
      </c>
      <c r="D3873" s="1" t="s">
        <v>140</v>
      </c>
      <c r="E3873" s="3">
        <v>4065</v>
      </c>
      <c r="F3873" s="1" t="s">
        <v>36</v>
      </c>
      <c r="G3873" s="3">
        <v>4065</v>
      </c>
      <c r="H3873" s="1">
        <v>0</v>
      </c>
      <c r="I3873" s="1">
        <v>0.197161</v>
      </c>
    </row>
    <row r="3874" spans="1:9" x14ac:dyDescent="0.25">
      <c r="A3874" s="1">
        <v>2140460020</v>
      </c>
      <c r="B3874" s="1" t="s">
        <v>2148</v>
      </c>
      <c r="C3874" s="1" t="s">
        <v>130</v>
      </c>
      <c r="D3874" s="1" t="s">
        <v>131</v>
      </c>
      <c r="E3874" s="1">
        <v>0</v>
      </c>
      <c r="F3874" s="1" t="s">
        <v>36</v>
      </c>
      <c r="G3874" s="1">
        <v>0</v>
      </c>
      <c r="H3874" s="3">
        <v>9117</v>
      </c>
      <c r="I3874" s="1">
        <v>0</v>
      </c>
    </row>
    <row r="3875" spans="1:9" x14ac:dyDescent="0.25">
      <c r="A3875" s="1">
        <v>2140460020</v>
      </c>
      <c r="B3875" s="1" t="s">
        <v>2148</v>
      </c>
      <c r="C3875" s="1" t="s">
        <v>139</v>
      </c>
      <c r="D3875" s="1" t="s">
        <v>140</v>
      </c>
      <c r="E3875" s="3">
        <v>9117</v>
      </c>
      <c r="F3875" s="1" t="s">
        <v>36</v>
      </c>
      <c r="G3875" s="3">
        <v>9117</v>
      </c>
      <c r="H3875" s="1">
        <v>0</v>
      </c>
      <c r="I3875" s="1">
        <v>0.16947100000000001</v>
      </c>
    </row>
    <row r="3876" spans="1:9" x14ac:dyDescent="0.25">
      <c r="A3876" s="1">
        <v>2140460021</v>
      </c>
      <c r="B3876" s="1" t="s">
        <v>2149</v>
      </c>
      <c r="C3876" s="1" t="s">
        <v>130</v>
      </c>
      <c r="D3876" s="1" t="s">
        <v>131</v>
      </c>
      <c r="E3876" s="1">
        <v>0</v>
      </c>
      <c r="F3876" s="1" t="s">
        <v>36</v>
      </c>
      <c r="G3876" s="1">
        <v>0</v>
      </c>
      <c r="H3876" s="3">
        <v>23638</v>
      </c>
      <c r="I3876" s="1">
        <v>0</v>
      </c>
    </row>
    <row r="3877" spans="1:9" x14ac:dyDescent="0.25">
      <c r="A3877" s="1">
        <v>2140460021</v>
      </c>
      <c r="B3877" s="1" t="s">
        <v>2149</v>
      </c>
      <c r="C3877" s="1" t="s">
        <v>139</v>
      </c>
      <c r="D3877" s="1" t="s">
        <v>140</v>
      </c>
      <c r="E3877" s="3">
        <v>23638</v>
      </c>
      <c r="F3877" s="1" t="s">
        <v>36</v>
      </c>
      <c r="G3877" s="3">
        <v>23638</v>
      </c>
      <c r="H3877" s="1">
        <v>0</v>
      </c>
      <c r="I3877" s="1">
        <v>0.16170300000000001</v>
      </c>
    </row>
    <row r="3878" spans="1:9" x14ac:dyDescent="0.25">
      <c r="A3878" s="1">
        <v>2140470001</v>
      </c>
      <c r="B3878" s="1" t="s">
        <v>1009</v>
      </c>
      <c r="C3878" s="1" t="s">
        <v>130</v>
      </c>
      <c r="D3878" s="1" t="s">
        <v>131</v>
      </c>
      <c r="E3878" s="1">
        <v>30</v>
      </c>
      <c r="F3878" s="1" t="s">
        <v>36</v>
      </c>
      <c r="G3878" s="1">
        <v>29</v>
      </c>
      <c r="H3878" s="3">
        <v>6480</v>
      </c>
      <c r="I3878" s="1">
        <v>3.3533330000000001</v>
      </c>
    </row>
    <row r="3879" spans="1:9" x14ac:dyDescent="0.25">
      <c r="A3879" s="1">
        <v>2140470001</v>
      </c>
      <c r="B3879" s="1" t="s">
        <v>1009</v>
      </c>
      <c r="C3879" s="1" t="s">
        <v>137</v>
      </c>
      <c r="D3879" s="1" t="s">
        <v>138</v>
      </c>
      <c r="E3879" s="1">
        <v>0</v>
      </c>
      <c r="F3879" s="1" t="s">
        <v>36</v>
      </c>
      <c r="G3879" s="1">
        <v>1</v>
      </c>
      <c r="H3879" s="1">
        <v>0</v>
      </c>
      <c r="I3879" s="1">
        <v>0</v>
      </c>
    </row>
    <row r="3880" spans="1:9" x14ac:dyDescent="0.25">
      <c r="A3880" s="1">
        <v>2140470001</v>
      </c>
      <c r="B3880" s="1" t="s">
        <v>1009</v>
      </c>
      <c r="C3880" s="1" t="s">
        <v>139</v>
      </c>
      <c r="D3880" s="1" t="s">
        <v>140</v>
      </c>
      <c r="E3880" s="3">
        <v>4913</v>
      </c>
      <c r="F3880" s="1" t="s">
        <v>36</v>
      </c>
      <c r="G3880" s="3">
        <v>6480</v>
      </c>
      <c r="H3880" s="1">
        <v>0</v>
      </c>
      <c r="I3880" s="1">
        <v>3.3549199999999999</v>
      </c>
    </row>
    <row r="3881" spans="1:9" x14ac:dyDescent="0.25">
      <c r="A3881" s="1">
        <v>2140470002</v>
      </c>
      <c r="B3881" s="1" t="s">
        <v>1010</v>
      </c>
      <c r="C3881" s="1" t="s">
        <v>130</v>
      </c>
      <c r="D3881" s="1" t="s">
        <v>131</v>
      </c>
      <c r="E3881" s="1">
        <v>1</v>
      </c>
      <c r="F3881" s="1" t="s">
        <v>36</v>
      </c>
      <c r="G3881" s="1">
        <v>27</v>
      </c>
      <c r="H3881" s="3">
        <v>6480</v>
      </c>
      <c r="I3881" s="1">
        <v>3.37</v>
      </c>
    </row>
    <row r="3882" spans="1:9" x14ac:dyDescent="0.25">
      <c r="A3882" s="1">
        <v>2140470002</v>
      </c>
      <c r="B3882" s="1" t="s">
        <v>1010</v>
      </c>
      <c r="C3882" s="1" t="s">
        <v>139</v>
      </c>
      <c r="D3882" s="1" t="s">
        <v>140</v>
      </c>
      <c r="E3882" s="3">
        <v>5250</v>
      </c>
      <c r="F3882" s="1" t="s">
        <v>36</v>
      </c>
      <c r="G3882" s="3">
        <v>6480</v>
      </c>
      <c r="H3882" s="1">
        <v>0</v>
      </c>
      <c r="I3882" s="1">
        <v>3.3673790000000001</v>
      </c>
    </row>
    <row r="3883" spans="1:9" x14ac:dyDescent="0.25">
      <c r="A3883" s="1">
        <v>2140470003</v>
      </c>
      <c r="B3883" s="1" t="s">
        <v>1011</v>
      </c>
      <c r="C3883" s="1" t="s">
        <v>130</v>
      </c>
      <c r="D3883" s="1" t="s">
        <v>131</v>
      </c>
      <c r="E3883" s="1">
        <v>229</v>
      </c>
      <c r="F3883" s="1" t="s">
        <v>36</v>
      </c>
      <c r="G3883" s="1">
        <v>3</v>
      </c>
      <c r="H3883" s="3">
        <v>8640</v>
      </c>
      <c r="I3883" s="1">
        <v>3.3645849999999999</v>
      </c>
    </row>
    <row r="3884" spans="1:9" x14ac:dyDescent="0.25">
      <c r="A3884" s="1">
        <v>2140470003</v>
      </c>
      <c r="B3884" s="1" t="s">
        <v>1011</v>
      </c>
      <c r="C3884" s="1" t="s">
        <v>139</v>
      </c>
      <c r="D3884" s="1" t="s">
        <v>140</v>
      </c>
      <c r="E3884" s="3">
        <v>8484</v>
      </c>
      <c r="F3884" s="1" t="s">
        <v>36</v>
      </c>
      <c r="G3884" s="3">
        <v>8640</v>
      </c>
      <c r="H3884" s="1">
        <v>0</v>
      </c>
      <c r="I3884" s="1">
        <v>3.3646060000000002</v>
      </c>
    </row>
    <row r="3885" spans="1:9" x14ac:dyDescent="0.25">
      <c r="A3885" s="1">
        <v>2140470004</v>
      </c>
      <c r="B3885" s="1" t="s">
        <v>1013</v>
      </c>
      <c r="C3885" s="1" t="s">
        <v>130</v>
      </c>
      <c r="D3885" s="1" t="s">
        <v>131</v>
      </c>
      <c r="E3885" s="3">
        <v>2274</v>
      </c>
      <c r="F3885" s="1" t="s">
        <v>36</v>
      </c>
      <c r="G3885" s="1">
        <v>0</v>
      </c>
      <c r="H3885" s="1">
        <v>0</v>
      </c>
      <c r="I3885" s="1">
        <v>3.9889489999999999</v>
      </c>
    </row>
    <row r="3886" spans="1:9" x14ac:dyDescent="0.25">
      <c r="A3886" s="1">
        <v>2310010201</v>
      </c>
      <c r="B3886" s="1" t="s">
        <v>2150</v>
      </c>
      <c r="C3886" s="1" t="s">
        <v>130</v>
      </c>
      <c r="D3886" s="1" t="s">
        <v>131</v>
      </c>
      <c r="E3886" s="3">
        <v>2032</v>
      </c>
      <c r="F3886" s="1" t="s">
        <v>36</v>
      </c>
      <c r="G3886" s="1">
        <v>0</v>
      </c>
      <c r="H3886" s="1">
        <v>0</v>
      </c>
      <c r="I3886" s="1">
        <v>0.13763800000000001</v>
      </c>
    </row>
    <row r="3887" spans="1:9" x14ac:dyDescent="0.25">
      <c r="A3887" s="1">
        <v>2310010251</v>
      </c>
      <c r="B3887" s="1" t="s">
        <v>2151</v>
      </c>
      <c r="C3887" s="1" t="s">
        <v>130</v>
      </c>
      <c r="D3887" s="1" t="s">
        <v>131</v>
      </c>
      <c r="E3887" s="3">
        <v>7260</v>
      </c>
      <c r="F3887" s="1" t="s">
        <v>36</v>
      </c>
      <c r="G3887" s="1">
        <v>0</v>
      </c>
      <c r="H3887" s="1">
        <v>0</v>
      </c>
      <c r="I3887" s="1">
        <v>0.16298199999999999</v>
      </c>
    </row>
    <row r="3888" spans="1:9" x14ac:dyDescent="0.25">
      <c r="A3888" s="1">
        <v>2310010670</v>
      </c>
      <c r="B3888" s="1" t="s">
        <v>2152</v>
      </c>
      <c r="C3888" s="1" t="s">
        <v>130</v>
      </c>
      <c r="D3888" s="1" t="s">
        <v>131</v>
      </c>
      <c r="E3888" s="3">
        <v>2815</v>
      </c>
      <c r="F3888" s="1" t="s">
        <v>36</v>
      </c>
      <c r="G3888" s="1">
        <v>0</v>
      </c>
      <c r="H3888" s="1">
        <v>0</v>
      </c>
      <c r="I3888" s="1">
        <v>0.13384699999999999</v>
      </c>
    </row>
    <row r="3889" spans="1:9" x14ac:dyDescent="0.25">
      <c r="A3889" s="1">
        <v>2310010672</v>
      </c>
      <c r="B3889" s="1" t="s">
        <v>2153</v>
      </c>
      <c r="C3889" s="1" t="s">
        <v>130</v>
      </c>
      <c r="D3889" s="1" t="s">
        <v>131</v>
      </c>
      <c r="E3889" s="3">
        <v>41255</v>
      </c>
      <c r="F3889" s="1" t="s">
        <v>36</v>
      </c>
      <c r="G3889" s="1">
        <v>0</v>
      </c>
      <c r="H3889" s="1">
        <v>0</v>
      </c>
      <c r="I3889" s="1">
        <v>0.119132</v>
      </c>
    </row>
    <row r="3890" spans="1:9" x14ac:dyDescent="0.25">
      <c r="A3890" s="1">
        <v>2310030015</v>
      </c>
      <c r="B3890" s="1" t="s">
        <v>2154</v>
      </c>
      <c r="C3890" s="1" t="s">
        <v>142</v>
      </c>
      <c r="D3890" s="1" t="s">
        <v>143</v>
      </c>
      <c r="E3890" s="3">
        <v>4175.7</v>
      </c>
      <c r="F3890" s="1" t="s">
        <v>89</v>
      </c>
      <c r="G3890" s="1">
        <v>0</v>
      </c>
      <c r="H3890" s="1">
        <v>0</v>
      </c>
      <c r="I3890" s="1">
        <v>2.1219049999999999</v>
      </c>
    </row>
    <row r="3891" spans="1:9" x14ac:dyDescent="0.25">
      <c r="A3891" s="1">
        <v>2310030016</v>
      </c>
      <c r="B3891" s="1" t="s">
        <v>2155</v>
      </c>
      <c r="C3891" s="1" t="s">
        <v>130</v>
      </c>
      <c r="D3891" s="1" t="s">
        <v>131</v>
      </c>
      <c r="E3891" s="1">
        <v>319.39999999999998</v>
      </c>
      <c r="F3891" s="1" t="s">
        <v>89</v>
      </c>
      <c r="G3891" s="1">
        <v>0</v>
      </c>
      <c r="H3891" s="1">
        <v>0</v>
      </c>
      <c r="I3891" s="1">
        <v>2.1651220000000002</v>
      </c>
    </row>
    <row r="3892" spans="1:9" x14ac:dyDescent="0.25">
      <c r="A3892" s="1">
        <v>2310030016</v>
      </c>
      <c r="B3892" s="1" t="s">
        <v>2155</v>
      </c>
      <c r="C3892" s="1" t="s">
        <v>142</v>
      </c>
      <c r="D3892" s="1" t="s">
        <v>143</v>
      </c>
      <c r="E3892" s="3">
        <v>1877.12</v>
      </c>
      <c r="F3892" s="1" t="s">
        <v>89</v>
      </c>
      <c r="G3892" s="1">
        <v>0</v>
      </c>
      <c r="H3892" s="1">
        <v>0</v>
      </c>
      <c r="I3892" s="1">
        <v>2.1366299999999998</v>
      </c>
    </row>
    <row r="3893" spans="1:9" x14ac:dyDescent="0.25">
      <c r="A3893" s="1">
        <v>2310030017</v>
      </c>
      <c r="B3893" s="1" t="s">
        <v>2156</v>
      </c>
      <c r="C3893" s="1" t="s">
        <v>142</v>
      </c>
      <c r="D3893" s="1" t="s">
        <v>143</v>
      </c>
      <c r="E3893" s="3">
        <v>2277.15</v>
      </c>
      <c r="F3893" s="1" t="s">
        <v>89</v>
      </c>
      <c r="G3893" s="1">
        <v>0</v>
      </c>
      <c r="H3893" s="1">
        <v>0</v>
      </c>
      <c r="I3893" s="1">
        <v>2.5132949999999998</v>
      </c>
    </row>
    <row r="3894" spans="1:9" x14ac:dyDescent="0.25">
      <c r="A3894" s="1">
        <v>2310030018</v>
      </c>
      <c r="B3894" s="1" t="s">
        <v>2157</v>
      </c>
      <c r="C3894" s="1" t="s">
        <v>142</v>
      </c>
      <c r="D3894" s="1" t="s">
        <v>143</v>
      </c>
      <c r="E3894" s="3">
        <v>1864.4</v>
      </c>
      <c r="F3894" s="1" t="s">
        <v>89</v>
      </c>
      <c r="G3894" s="1">
        <v>0</v>
      </c>
      <c r="H3894" s="1">
        <v>0</v>
      </c>
      <c r="I3894" s="1">
        <v>2.1302240000000001</v>
      </c>
    </row>
    <row r="3895" spans="1:9" x14ac:dyDescent="0.25">
      <c r="A3895" s="1">
        <v>2310030019</v>
      </c>
      <c r="B3895" s="1" t="s">
        <v>2158</v>
      </c>
      <c r="C3895" s="1" t="s">
        <v>142</v>
      </c>
      <c r="D3895" s="1" t="s">
        <v>143</v>
      </c>
      <c r="E3895" s="3">
        <v>2593.3643000000002</v>
      </c>
      <c r="F3895" s="1" t="s">
        <v>89</v>
      </c>
      <c r="G3895" s="1">
        <v>0</v>
      </c>
      <c r="H3895" s="1">
        <v>0</v>
      </c>
      <c r="I3895" s="1">
        <v>2.1127959999999999</v>
      </c>
    </row>
    <row r="3896" spans="1:9" x14ac:dyDescent="0.25">
      <c r="A3896" s="1">
        <v>2310030020</v>
      </c>
      <c r="B3896" s="1" t="s">
        <v>2159</v>
      </c>
      <c r="C3896" s="1" t="s">
        <v>142</v>
      </c>
      <c r="D3896" s="1" t="s">
        <v>143</v>
      </c>
      <c r="E3896" s="3">
        <v>2038.0741</v>
      </c>
      <c r="F3896" s="1" t="s">
        <v>89</v>
      </c>
      <c r="G3896" s="1">
        <v>0</v>
      </c>
      <c r="H3896" s="1">
        <v>0</v>
      </c>
      <c r="I3896" s="1">
        <v>2.0455239999999999</v>
      </c>
    </row>
    <row r="3897" spans="1:9" x14ac:dyDescent="0.25">
      <c r="A3897" s="1">
        <v>2310030021</v>
      </c>
      <c r="B3897" s="1" t="s">
        <v>2160</v>
      </c>
      <c r="C3897" s="1" t="s">
        <v>126</v>
      </c>
      <c r="D3897" s="1" t="s">
        <v>127</v>
      </c>
      <c r="E3897" s="1">
        <v>734</v>
      </c>
      <c r="F3897" s="1" t="s">
        <v>89</v>
      </c>
      <c r="G3897" s="1">
        <v>0</v>
      </c>
      <c r="H3897" s="1">
        <v>0</v>
      </c>
      <c r="I3897" s="1">
        <v>2.332398</v>
      </c>
    </row>
    <row r="3898" spans="1:9" x14ac:dyDescent="0.25">
      <c r="A3898" s="1">
        <v>2310030021</v>
      </c>
      <c r="B3898" s="1" t="s">
        <v>2160</v>
      </c>
      <c r="C3898" s="1" t="s">
        <v>142</v>
      </c>
      <c r="D3898" s="1" t="s">
        <v>143</v>
      </c>
      <c r="E3898" s="3">
        <v>3040.56</v>
      </c>
      <c r="F3898" s="1" t="s">
        <v>89</v>
      </c>
      <c r="G3898" s="1">
        <v>0</v>
      </c>
      <c r="H3898" s="1">
        <v>0</v>
      </c>
      <c r="I3898" s="1">
        <v>1.941988</v>
      </c>
    </row>
    <row r="3899" spans="1:9" x14ac:dyDescent="0.25">
      <c r="A3899" s="1">
        <v>2310030049</v>
      </c>
      <c r="B3899" s="1" t="s">
        <v>2161</v>
      </c>
      <c r="C3899" s="1" t="s">
        <v>130</v>
      </c>
      <c r="D3899" s="1" t="s">
        <v>131</v>
      </c>
      <c r="E3899" s="1">
        <v>701</v>
      </c>
      <c r="F3899" s="1" t="s">
        <v>89</v>
      </c>
      <c r="G3899" s="1">
        <v>0</v>
      </c>
      <c r="H3899" s="3">
        <v>0</v>
      </c>
      <c r="I3899" s="1">
        <v>8.1308699999999998</v>
      </c>
    </row>
    <row r="3900" spans="1:9" x14ac:dyDescent="0.25">
      <c r="A3900" s="1">
        <v>2310030050</v>
      </c>
      <c r="B3900" s="1" t="s">
        <v>2162</v>
      </c>
      <c r="C3900" s="1" t="s">
        <v>130</v>
      </c>
      <c r="D3900" s="1" t="s">
        <v>131</v>
      </c>
      <c r="E3900" s="1">
        <v>170</v>
      </c>
      <c r="F3900" s="1" t="s">
        <v>89</v>
      </c>
      <c r="G3900" s="1">
        <v>0</v>
      </c>
      <c r="H3900" s="1">
        <v>0</v>
      </c>
      <c r="I3900" s="1">
        <v>5.1628239999999996</v>
      </c>
    </row>
    <row r="3901" spans="1:9" x14ac:dyDescent="0.25">
      <c r="A3901" s="1">
        <v>2310030053</v>
      </c>
      <c r="B3901" s="1" t="s">
        <v>2163</v>
      </c>
      <c r="C3901" s="1" t="s">
        <v>130</v>
      </c>
      <c r="D3901" s="1" t="s">
        <v>131</v>
      </c>
      <c r="E3901" s="1">
        <v>245.7</v>
      </c>
      <c r="F3901" s="1" t="s">
        <v>89</v>
      </c>
      <c r="G3901" s="1">
        <v>0</v>
      </c>
      <c r="H3901" s="1">
        <v>0</v>
      </c>
      <c r="I3901" s="1">
        <v>13.449897999999999</v>
      </c>
    </row>
    <row r="3902" spans="1:9" x14ac:dyDescent="0.25">
      <c r="A3902" s="1">
        <v>2310030055</v>
      </c>
      <c r="B3902" s="1" t="s">
        <v>2164</v>
      </c>
      <c r="C3902" s="1" t="s">
        <v>126</v>
      </c>
      <c r="D3902" s="1" t="s">
        <v>127</v>
      </c>
      <c r="E3902" s="1">
        <v>600</v>
      </c>
      <c r="F3902" s="1" t="s">
        <v>89</v>
      </c>
      <c r="G3902" s="1">
        <v>0</v>
      </c>
      <c r="H3902" s="1">
        <v>0</v>
      </c>
      <c r="I3902" s="1">
        <v>7.0846999999999998</v>
      </c>
    </row>
    <row r="3903" spans="1:9" x14ac:dyDescent="0.25">
      <c r="A3903" s="1">
        <v>2310030072</v>
      </c>
      <c r="B3903" s="1" t="s">
        <v>2165</v>
      </c>
      <c r="C3903" s="1" t="s">
        <v>130</v>
      </c>
      <c r="D3903" s="1" t="s">
        <v>131</v>
      </c>
      <c r="E3903" s="1">
        <v>494.8</v>
      </c>
      <c r="F3903" s="1" t="s">
        <v>89</v>
      </c>
      <c r="G3903" s="1">
        <v>0</v>
      </c>
      <c r="H3903" s="1">
        <v>0</v>
      </c>
      <c r="I3903" s="1">
        <v>2.1710590000000001</v>
      </c>
    </row>
    <row r="3904" spans="1:9" x14ac:dyDescent="0.25">
      <c r="A3904" s="1">
        <v>2310030072</v>
      </c>
      <c r="B3904" s="1" t="s">
        <v>2165</v>
      </c>
      <c r="C3904" s="1" t="s">
        <v>142</v>
      </c>
      <c r="D3904" s="1" t="s">
        <v>143</v>
      </c>
      <c r="E3904" s="3">
        <v>1800</v>
      </c>
      <c r="F3904" s="1" t="s">
        <v>89</v>
      </c>
      <c r="G3904" s="1">
        <v>0</v>
      </c>
      <c r="H3904" s="1">
        <v>0</v>
      </c>
      <c r="I3904" s="1">
        <v>1.866633</v>
      </c>
    </row>
    <row r="3905" spans="1:9" x14ac:dyDescent="0.25">
      <c r="A3905" s="1">
        <v>2310030077</v>
      </c>
      <c r="B3905" s="1" t="s">
        <v>2166</v>
      </c>
      <c r="C3905" s="1" t="s">
        <v>130</v>
      </c>
      <c r="D3905" s="1" t="s">
        <v>131</v>
      </c>
      <c r="E3905" s="1">
        <v>377.5</v>
      </c>
      <c r="F3905" s="1" t="s">
        <v>89</v>
      </c>
      <c r="G3905" s="1">
        <v>0</v>
      </c>
      <c r="H3905" s="1">
        <v>0</v>
      </c>
      <c r="I3905" s="1">
        <v>1.731841</v>
      </c>
    </row>
    <row r="3906" spans="1:9" x14ac:dyDescent="0.25">
      <c r="A3906" s="1">
        <v>2310030077</v>
      </c>
      <c r="B3906" s="1" t="s">
        <v>2166</v>
      </c>
      <c r="C3906" s="1" t="s">
        <v>142</v>
      </c>
      <c r="D3906" s="1" t="s">
        <v>143</v>
      </c>
      <c r="E3906" s="3">
        <v>1070</v>
      </c>
      <c r="F3906" s="1" t="s">
        <v>89</v>
      </c>
      <c r="G3906" s="1">
        <v>0</v>
      </c>
      <c r="H3906" s="1">
        <v>0</v>
      </c>
      <c r="I3906" s="1">
        <v>1.4849810000000001</v>
      </c>
    </row>
    <row r="3907" spans="1:9" x14ac:dyDescent="0.25">
      <c r="A3907" s="1">
        <v>2310030078</v>
      </c>
      <c r="B3907" s="1" t="s">
        <v>2167</v>
      </c>
      <c r="C3907" s="1" t="s">
        <v>130</v>
      </c>
      <c r="D3907" s="1" t="s">
        <v>131</v>
      </c>
      <c r="E3907" s="1">
        <v>629</v>
      </c>
      <c r="F3907" s="1" t="s">
        <v>89</v>
      </c>
      <c r="G3907" s="1">
        <v>0</v>
      </c>
      <c r="H3907" s="1">
        <v>0</v>
      </c>
      <c r="I3907" s="1">
        <v>2.110668</v>
      </c>
    </row>
    <row r="3908" spans="1:9" x14ac:dyDescent="0.25">
      <c r="A3908" s="1">
        <v>2310030086</v>
      </c>
      <c r="B3908" s="1" t="s">
        <v>2168</v>
      </c>
      <c r="C3908" s="1" t="s">
        <v>130</v>
      </c>
      <c r="D3908" s="1" t="s">
        <v>131</v>
      </c>
      <c r="E3908" s="1">
        <v>292.8</v>
      </c>
      <c r="F3908" s="1" t="s">
        <v>89</v>
      </c>
      <c r="G3908" s="1">
        <v>0</v>
      </c>
      <c r="H3908" s="1">
        <v>0</v>
      </c>
      <c r="I3908" s="1">
        <v>2.2140029999999999</v>
      </c>
    </row>
    <row r="3909" spans="1:9" x14ac:dyDescent="0.25">
      <c r="A3909" s="1">
        <v>2310030086</v>
      </c>
      <c r="B3909" s="1" t="s">
        <v>2168</v>
      </c>
      <c r="C3909" s="1" t="s">
        <v>142</v>
      </c>
      <c r="D3909" s="1" t="s">
        <v>143</v>
      </c>
      <c r="E3909" s="1">
        <v>600</v>
      </c>
      <c r="F3909" s="1" t="s">
        <v>89</v>
      </c>
      <c r="G3909" s="1">
        <v>0</v>
      </c>
      <c r="H3909" s="1">
        <v>0</v>
      </c>
      <c r="I3909" s="1">
        <v>2.215767</v>
      </c>
    </row>
    <row r="3910" spans="1:9" x14ac:dyDescent="0.25">
      <c r="A3910" s="1">
        <v>2310030106</v>
      </c>
      <c r="B3910" s="1" t="s">
        <v>2169</v>
      </c>
      <c r="C3910" s="1" t="s">
        <v>130</v>
      </c>
      <c r="D3910" s="1" t="s">
        <v>131</v>
      </c>
      <c r="E3910" s="1">
        <v>4.2</v>
      </c>
      <c r="F3910" s="1" t="s">
        <v>89</v>
      </c>
      <c r="G3910" s="1">
        <v>0</v>
      </c>
      <c r="H3910" s="1">
        <v>0</v>
      </c>
      <c r="I3910" s="1">
        <v>5.6261900000000002</v>
      </c>
    </row>
    <row r="3911" spans="1:9" x14ac:dyDescent="0.25">
      <c r="A3911" s="1">
        <v>2310030109</v>
      </c>
      <c r="B3911" s="1" t="s">
        <v>2170</v>
      </c>
      <c r="C3911" s="1" t="s">
        <v>130</v>
      </c>
      <c r="D3911" s="1" t="s">
        <v>131</v>
      </c>
      <c r="E3911" s="1">
        <v>2.6</v>
      </c>
      <c r="F3911" s="1" t="s">
        <v>89</v>
      </c>
      <c r="G3911" s="1">
        <v>0</v>
      </c>
      <c r="H3911" s="1">
        <v>0</v>
      </c>
      <c r="I3911" s="1">
        <v>5.7038460000000004</v>
      </c>
    </row>
    <row r="3912" spans="1:9" x14ac:dyDescent="0.25">
      <c r="A3912" s="1">
        <v>2310030110</v>
      </c>
      <c r="B3912" s="1" t="s">
        <v>2171</v>
      </c>
      <c r="C3912" s="1" t="s">
        <v>130</v>
      </c>
      <c r="D3912" s="1" t="s">
        <v>131</v>
      </c>
      <c r="E3912" s="1">
        <v>1.6</v>
      </c>
      <c r="F3912" s="1" t="s">
        <v>89</v>
      </c>
      <c r="G3912" s="1">
        <v>0</v>
      </c>
      <c r="H3912" s="1">
        <v>0</v>
      </c>
      <c r="I3912" s="1">
        <v>5.65</v>
      </c>
    </row>
    <row r="3913" spans="1:9" x14ac:dyDescent="0.25">
      <c r="A3913" s="1">
        <v>2310030131</v>
      </c>
      <c r="B3913" s="1" t="s">
        <v>2172</v>
      </c>
      <c r="C3913" s="1" t="s">
        <v>142</v>
      </c>
      <c r="D3913" s="1" t="s">
        <v>143</v>
      </c>
      <c r="E3913" s="1">
        <v>600</v>
      </c>
      <c r="F3913" s="1" t="s">
        <v>89</v>
      </c>
      <c r="G3913" s="1">
        <v>0</v>
      </c>
      <c r="H3913" s="1">
        <v>0</v>
      </c>
      <c r="I3913" s="1">
        <v>2.263417</v>
      </c>
    </row>
    <row r="3914" spans="1:9" x14ac:dyDescent="0.25">
      <c r="A3914" s="1">
        <v>2310030236</v>
      </c>
      <c r="B3914" s="1" t="s">
        <v>2173</v>
      </c>
      <c r="C3914" s="1" t="s">
        <v>130</v>
      </c>
      <c r="D3914" s="1" t="s">
        <v>131</v>
      </c>
      <c r="E3914" s="1">
        <v>63.195</v>
      </c>
      <c r="F3914" s="1" t="s">
        <v>89</v>
      </c>
      <c r="G3914" s="1">
        <v>22.16</v>
      </c>
      <c r="H3914" s="1">
        <v>1E-3</v>
      </c>
      <c r="I3914" s="1">
        <v>18.024685000000002</v>
      </c>
    </row>
    <row r="3915" spans="1:9" x14ac:dyDescent="0.25">
      <c r="A3915" s="1">
        <v>2310030236</v>
      </c>
      <c r="B3915" s="1" t="s">
        <v>2173</v>
      </c>
      <c r="C3915" s="1" t="s">
        <v>142</v>
      </c>
      <c r="D3915" s="1" t="s">
        <v>143</v>
      </c>
      <c r="E3915" s="1">
        <v>0</v>
      </c>
      <c r="F3915" s="1" t="s">
        <v>89</v>
      </c>
      <c r="G3915" s="1">
        <v>0</v>
      </c>
      <c r="H3915" s="1">
        <v>22.16</v>
      </c>
      <c r="I3915" s="1">
        <v>18.386133000000001</v>
      </c>
    </row>
    <row r="3916" spans="1:9" x14ac:dyDescent="0.25">
      <c r="A3916" s="1">
        <v>2310030236</v>
      </c>
      <c r="B3916" s="1" t="s">
        <v>2173</v>
      </c>
      <c r="C3916" s="1" t="s">
        <v>2174</v>
      </c>
      <c r="D3916" s="1" t="s">
        <v>2175</v>
      </c>
      <c r="E3916" s="1">
        <v>0</v>
      </c>
      <c r="F3916" s="1" t="s">
        <v>89</v>
      </c>
      <c r="G3916" s="1">
        <v>1E-3</v>
      </c>
      <c r="H3916" s="1">
        <v>0</v>
      </c>
      <c r="I3916" s="1">
        <v>18.024650000000001</v>
      </c>
    </row>
    <row r="3917" spans="1:9" x14ac:dyDescent="0.25">
      <c r="A3917" s="1">
        <v>2310030240</v>
      </c>
      <c r="B3917" s="1" t="s">
        <v>2176</v>
      </c>
      <c r="C3917" s="1" t="s">
        <v>130</v>
      </c>
      <c r="D3917" s="1" t="s">
        <v>131</v>
      </c>
      <c r="E3917" s="1">
        <v>134.85499999999999</v>
      </c>
      <c r="F3917" s="1" t="s">
        <v>89</v>
      </c>
      <c r="G3917" s="1">
        <v>0</v>
      </c>
      <c r="H3917" s="1">
        <v>0</v>
      </c>
      <c r="I3917" s="1">
        <v>23.955804000000001</v>
      </c>
    </row>
    <row r="3918" spans="1:9" x14ac:dyDescent="0.25">
      <c r="A3918" s="1">
        <v>2310030240</v>
      </c>
      <c r="B3918" s="1" t="s">
        <v>2176</v>
      </c>
      <c r="C3918" s="1" t="s">
        <v>2174</v>
      </c>
      <c r="D3918" s="1" t="s">
        <v>2175</v>
      </c>
      <c r="E3918" s="1">
        <v>2.2351999999999999</v>
      </c>
      <c r="F3918" s="1" t="s">
        <v>89</v>
      </c>
      <c r="G3918" s="1">
        <v>0</v>
      </c>
      <c r="H3918" s="1">
        <v>0</v>
      </c>
      <c r="I3918" s="1">
        <v>23.957588000000001</v>
      </c>
    </row>
    <row r="3919" spans="1:9" x14ac:dyDescent="0.25">
      <c r="A3919" s="1">
        <v>2310030261</v>
      </c>
      <c r="B3919" s="1" t="s">
        <v>2177</v>
      </c>
      <c r="C3919" s="1" t="s">
        <v>130</v>
      </c>
      <c r="D3919" s="1" t="s">
        <v>131</v>
      </c>
      <c r="E3919" s="1">
        <v>2</v>
      </c>
      <c r="F3919" s="1" t="s">
        <v>89</v>
      </c>
      <c r="G3919" s="1">
        <v>0</v>
      </c>
      <c r="H3919" s="1">
        <v>0</v>
      </c>
      <c r="I3919" s="1">
        <v>15.385</v>
      </c>
    </row>
    <row r="3920" spans="1:9" x14ac:dyDescent="0.25">
      <c r="A3920" s="1">
        <v>2310030263</v>
      </c>
      <c r="B3920" s="1" t="s">
        <v>2178</v>
      </c>
      <c r="C3920" s="1" t="s">
        <v>130</v>
      </c>
      <c r="D3920" s="1" t="s">
        <v>131</v>
      </c>
      <c r="E3920" s="1">
        <v>5.2</v>
      </c>
      <c r="F3920" s="1" t="s">
        <v>89</v>
      </c>
      <c r="G3920" s="1">
        <v>0</v>
      </c>
      <c r="H3920" s="1">
        <v>0</v>
      </c>
      <c r="I3920" s="1">
        <v>11.440384999999999</v>
      </c>
    </row>
    <row r="3921" spans="1:9" x14ac:dyDescent="0.25">
      <c r="A3921" s="1">
        <v>2310030264</v>
      </c>
      <c r="B3921" s="1" t="s">
        <v>2179</v>
      </c>
      <c r="C3921" s="1" t="s">
        <v>130</v>
      </c>
      <c r="D3921" s="1" t="s">
        <v>131</v>
      </c>
      <c r="E3921" s="1">
        <v>0.5</v>
      </c>
      <c r="F3921" s="1" t="s">
        <v>89</v>
      </c>
      <c r="G3921" s="1">
        <v>0</v>
      </c>
      <c r="H3921" s="1">
        <v>0</v>
      </c>
      <c r="I3921" s="1">
        <v>15.38</v>
      </c>
    </row>
    <row r="3922" spans="1:9" x14ac:dyDescent="0.25">
      <c r="A3922" s="1">
        <v>2310030265</v>
      </c>
      <c r="B3922" s="1" t="s">
        <v>2180</v>
      </c>
      <c r="C3922" s="1" t="s">
        <v>130</v>
      </c>
      <c r="D3922" s="1" t="s">
        <v>131</v>
      </c>
      <c r="E3922" s="1">
        <v>5.8</v>
      </c>
      <c r="F3922" s="1" t="s">
        <v>89</v>
      </c>
      <c r="G3922" s="1">
        <v>0</v>
      </c>
      <c r="H3922" s="1">
        <v>0</v>
      </c>
      <c r="I3922" s="1">
        <v>11.441379</v>
      </c>
    </row>
    <row r="3923" spans="1:9" x14ac:dyDescent="0.25">
      <c r="A3923" s="1">
        <v>2310030273</v>
      </c>
      <c r="B3923" s="1" t="s">
        <v>2181</v>
      </c>
      <c r="C3923" s="1" t="s">
        <v>307</v>
      </c>
      <c r="D3923" s="1" t="s">
        <v>308</v>
      </c>
      <c r="E3923" s="1">
        <v>84</v>
      </c>
      <c r="F3923" s="1" t="s">
        <v>89</v>
      </c>
      <c r="G3923" s="1">
        <v>0</v>
      </c>
      <c r="H3923" s="1">
        <v>0</v>
      </c>
      <c r="I3923" s="1">
        <v>3.6945239999999999</v>
      </c>
    </row>
    <row r="3924" spans="1:9" x14ac:dyDescent="0.25">
      <c r="A3924" s="1">
        <v>2310030273</v>
      </c>
      <c r="B3924" s="1" t="s">
        <v>2181</v>
      </c>
      <c r="C3924" s="1" t="s">
        <v>130</v>
      </c>
      <c r="D3924" s="1" t="s">
        <v>131</v>
      </c>
      <c r="E3924" s="3">
        <v>2627</v>
      </c>
      <c r="F3924" s="1" t="s">
        <v>89</v>
      </c>
      <c r="G3924" s="1">
        <v>27.12</v>
      </c>
      <c r="H3924" s="1">
        <v>0</v>
      </c>
      <c r="I3924" s="1">
        <v>4.0448230000000001</v>
      </c>
    </row>
    <row r="3925" spans="1:9" x14ac:dyDescent="0.25">
      <c r="A3925" s="1">
        <v>2310030273</v>
      </c>
      <c r="B3925" s="1" t="s">
        <v>2181</v>
      </c>
      <c r="C3925" s="1" t="s">
        <v>142</v>
      </c>
      <c r="D3925" s="1" t="s">
        <v>143</v>
      </c>
      <c r="E3925" s="1">
        <v>0</v>
      </c>
      <c r="F3925" s="1" t="s">
        <v>89</v>
      </c>
      <c r="G3925" s="1">
        <v>0</v>
      </c>
      <c r="H3925" s="1">
        <v>27.12</v>
      </c>
      <c r="I3925" s="1">
        <v>4.2687270000000002</v>
      </c>
    </row>
    <row r="3926" spans="1:9" x14ac:dyDescent="0.25">
      <c r="A3926" s="1">
        <v>2310030273</v>
      </c>
      <c r="B3926" s="1" t="s">
        <v>2181</v>
      </c>
      <c r="C3926" s="1" t="s">
        <v>2174</v>
      </c>
      <c r="D3926" s="1" t="s">
        <v>2175</v>
      </c>
      <c r="E3926" s="1">
        <v>448.64260000000002</v>
      </c>
      <c r="F3926" s="1" t="s">
        <v>89</v>
      </c>
      <c r="G3926" s="1">
        <v>0</v>
      </c>
      <c r="H3926" s="1">
        <v>0</v>
      </c>
      <c r="I3926" s="1">
        <v>3.9841289999999998</v>
      </c>
    </row>
    <row r="3927" spans="1:9" x14ac:dyDescent="0.25">
      <c r="A3927" s="1">
        <v>2310030273</v>
      </c>
      <c r="B3927" s="1" t="s">
        <v>2181</v>
      </c>
      <c r="C3927" s="1" t="s">
        <v>1480</v>
      </c>
      <c r="D3927" s="1" t="s">
        <v>1481</v>
      </c>
      <c r="E3927" s="1">
        <v>132.6</v>
      </c>
      <c r="F3927" s="1" t="s">
        <v>89</v>
      </c>
      <c r="G3927" s="1">
        <v>0</v>
      </c>
      <c r="H3927" s="1">
        <v>0</v>
      </c>
      <c r="I3927" s="1">
        <v>3.8961540000000001</v>
      </c>
    </row>
    <row r="3928" spans="1:9" x14ac:dyDescent="0.25">
      <c r="A3928" s="1">
        <v>2310030300</v>
      </c>
      <c r="B3928" s="1" t="s">
        <v>2182</v>
      </c>
      <c r="C3928" s="1" t="s">
        <v>130</v>
      </c>
      <c r="D3928" s="1" t="s">
        <v>131</v>
      </c>
      <c r="E3928" s="1">
        <v>189.7</v>
      </c>
      <c r="F3928" s="1" t="s">
        <v>89</v>
      </c>
      <c r="G3928" s="1">
        <v>0</v>
      </c>
      <c r="H3928" s="1">
        <v>0</v>
      </c>
      <c r="I3928" s="1">
        <v>4.8313649999999999</v>
      </c>
    </row>
    <row r="3929" spans="1:9" x14ac:dyDescent="0.25">
      <c r="A3929" s="1">
        <v>2310030303</v>
      </c>
      <c r="B3929" s="1" t="s">
        <v>2183</v>
      </c>
      <c r="C3929" s="1" t="s">
        <v>130</v>
      </c>
      <c r="D3929" s="1" t="s">
        <v>131</v>
      </c>
      <c r="E3929" s="1">
        <v>800</v>
      </c>
      <c r="F3929" s="1" t="s">
        <v>36</v>
      </c>
      <c r="G3929" s="1">
        <v>0</v>
      </c>
      <c r="H3929" s="1">
        <v>0</v>
      </c>
      <c r="I3929" s="1">
        <v>0.37</v>
      </c>
    </row>
    <row r="3930" spans="1:9" x14ac:dyDescent="0.25">
      <c r="A3930" s="1">
        <v>2310030304</v>
      </c>
      <c r="B3930" s="1" t="s">
        <v>2184</v>
      </c>
      <c r="C3930" s="1" t="s">
        <v>130</v>
      </c>
      <c r="D3930" s="1" t="s">
        <v>131</v>
      </c>
      <c r="E3930" s="1">
        <v>800</v>
      </c>
      <c r="F3930" s="1" t="s">
        <v>36</v>
      </c>
      <c r="G3930" s="1">
        <v>0</v>
      </c>
      <c r="H3930" s="1">
        <v>0</v>
      </c>
      <c r="I3930" s="1">
        <v>0.37</v>
      </c>
    </row>
    <row r="3931" spans="1:9" x14ac:dyDescent="0.25">
      <c r="A3931" s="1">
        <v>2310030306</v>
      </c>
      <c r="B3931" s="1" t="s">
        <v>2185</v>
      </c>
      <c r="C3931" s="1" t="s">
        <v>130</v>
      </c>
      <c r="D3931" s="1" t="s">
        <v>131</v>
      </c>
      <c r="E3931" s="1">
        <v>800</v>
      </c>
      <c r="F3931" s="1" t="s">
        <v>36</v>
      </c>
      <c r="G3931" s="3">
        <v>0</v>
      </c>
      <c r="H3931" s="1">
        <v>0</v>
      </c>
      <c r="I3931" s="1">
        <v>0.37</v>
      </c>
    </row>
    <row r="3932" spans="1:9" x14ac:dyDescent="0.25">
      <c r="A3932" s="1">
        <v>2310030307</v>
      </c>
      <c r="B3932" s="1" t="s">
        <v>2186</v>
      </c>
      <c r="C3932" s="1" t="s">
        <v>130</v>
      </c>
      <c r="D3932" s="1" t="s">
        <v>131</v>
      </c>
      <c r="E3932" s="1">
        <v>800</v>
      </c>
      <c r="F3932" s="1" t="s">
        <v>36</v>
      </c>
      <c r="G3932" s="1">
        <v>0</v>
      </c>
      <c r="H3932" s="1">
        <v>0</v>
      </c>
      <c r="I3932" s="1">
        <v>0.37</v>
      </c>
    </row>
    <row r="3933" spans="1:9" x14ac:dyDescent="0.25">
      <c r="A3933" s="1">
        <v>2310030308</v>
      </c>
      <c r="B3933" s="1" t="s">
        <v>2187</v>
      </c>
      <c r="C3933" s="1" t="s">
        <v>130</v>
      </c>
      <c r="D3933" s="1" t="s">
        <v>131</v>
      </c>
      <c r="E3933" s="1">
        <v>800</v>
      </c>
      <c r="F3933" s="1" t="s">
        <v>36</v>
      </c>
      <c r="G3933" s="1">
        <v>0</v>
      </c>
      <c r="H3933" s="1">
        <v>0</v>
      </c>
      <c r="I3933" s="1">
        <v>0.37</v>
      </c>
    </row>
    <row r="3934" spans="1:9" x14ac:dyDescent="0.25">
      <c r="A3934" s="1">
        <v>2310030310</v>
      </c>
      <c r="B3934" s="1" t="s">
        <v>2188</v>
      </c>
      <c r="C3934" s="1" t="s">
        <v>130</v>
      </c>
      <c r="D3934" s="1" t="s">
        <v>131</v>
      </c>
      <c r="E3934" s="1">
        <v>4.3</v>
      </c>
      <c r="F3934" s="1" t="s">
        <v>89</v>
      </c>
      <c r="G3934" s="1">
        <v>0</v>
      </c>
      <c r="H3934" s="1">
        <v>0</v>
      </c>
      <c r="I3934" s="1">
        <v>11.439534999999999</v>
      </c>
    </row>
    <row r="3935" spans="1:9" x14ac:dyDescent="0.25">
      <c r="A3935" s="1">
        <v>2310030311</v>
      </c>
      <c r="B3935" s="1" t="s">
        <v>2189</v>
      </c>
      <c r="C3935" s="1" t="s">
        <v>130</v>
      </c>
      <c r="D3935" s="1" t="s">
        <v>131</v>
      </c>
      <c r="E3935" s="1">
        <v>770</v>
      </c>
      <c r="F3935" s="1" t="s">
        <v>36</v>
      </c>
      <c r="G3935" s="1">
        <v>0</v>
      </c>
      <c r="H3935" s="1">
        <v>0</v>
      </c>
      <c r="I3935" s="1">
        <v>0.38163599999999998</v>
      </c>
    </row>
    <row r="3936" spans="1:9" x14ac:dyDescent="0.25">
      <c r="A3936" s="1">
        <v>2310030312</v>
      </c>
      <c r="B3936" s="1" t="s">
        <v>2190</v>
      </c>
      <c r="C3936" s="1" t="s">
        <v>130</v>
      </c>
      <c r="D3936" s="1" t="s">
        <v>131</v>
      </c>
      <c r="E3936" s="1">
        <v>420</v>
      </c>
      <c r="F3936" s="1" t="s">
        <v>36</v>
      </c>
      <c r="G3936" s="1">
        <v>0</v>
      </c>
      <c r="H3936" s="3">
        <v>0</v>
      </c>
      <c r="I3936" s="1">
        <v>0.38988099999999998</v>
      </c>
    </row>
    <row r="3937" spans="1:9" x14ac:dyDescent="0.25">
      <c r="A3937" s="1">
        <v>2310030313</v>
      </c>
      <c r="B3937" s="1" t="s">
        <v>2191</v>
      </c>
      <c r="C3937" s="1" t="s">
        <v>130</v>
      </c>
      <c r="D3937" s="1" t="s">
        <v>131</v>
      </c>
      <c r="E3937" s="1">
        <v>350</v>
      </c>
      <c r="F3937" s="1" t="s">
        <v>36</v>
      </c>
      <c r="G3937" s="1">
        <v>0</v>
      </c>
      <c r="H3937" s="1">
        <v>0</v>
      </c>
      <c r="I3937" s="1">
        <v>0.39179999999999998</v>
      </c>
    </row>
    <row r="3938" spans="1:9" x14ac:dyDescent="0.25">
      <c r="A3938" s="1">
        <v>2310030314</v>
      </c>
      <c r="B3938" s="1" t="s">
        <v>2192</v>
      </c>
      <c r="C3938" s="1" t="s">
        <v>130</v>
      </c>
      <c r="D3938" s="1" t="s">
        <v>131</v>
      </c>
      <c r="E3938" s="1">
        <v>650</v>
      </c>
      <c r="F3938" s="1" t="s">
        <v>36</v>
      </c>
      <c r="G3938" s="1">
        <v>0</v>
      </c>
      <c r="H3938" s="1">
        <v>0</v>
      </c>
      <c r="I3938" s="1">
        <v>0.38423099999999999</v>
      </c>
    </row>
    <row r="3939" spans="1:9" x14ac:dyDescent="0.25">
      <c r="A3939" s="1">
        <v>2310030315</v>
      </c>
      <c r="B3939" s="1" t="s">
        <v>2193</v>
      </c>
      <c r="C3939" s="1" t="s">
        <v>130</v>
      </c>
      <c r="D3939" s="1" t="s">
        <v>131</v>
      </c>
      <c r="E3939" s="1">
        <v>115</v>
      </c>
      <c r="F3939" s="1" t="s">
        <v>36</v>
      </c>
      <c r="G3939" s="1">
        <v>0</v>
      </c>
      <c r="H3939" s="1">
        <v>0</v>
      </c>
      <c r="I3939" s="1">
        <v>0.39912999999999998</v>
      </c>
    </row>
    <row r="3940" spans="1:9" x14ac:dyDescent="0.25">
      <c r="A3940" s="1">
        <v>2310040100</v>
      </c>
      <c r="B3940" s="1" t="s">
        <v>2194</v>
      </c>
      <c r="C3940" s="1" t="s">
        <v>130</v>
      </c>
      <c r="D3940" s="1" t="s">
        <v>131</v>
      </c>
      <c r="E3940" s="1">
        <v>641.02560000000005</v>
      </c>
      <c r="F3940" s="1" t="s">
        <v>36</v>
      </c>
      <c r="G3940" s="1">
        <v>0</v>
      </c>
      <c r="H3940" s="1">
        <v>0</v>
      </c>
      <c r="I3940" s="1">
        <v>8.7609999999999993E-2</v>
      </c>
    </row>
    <row r="3941" spans="1:9" x14ac:dyDescent="0.25">
      <c r="A3941" s="1">
        <v>2310040179</v>
      </c>
      <c r="B3941" s="1" t="s">
        <v>2195</v>
      </c>
      <c r="C3941" s="1" t="s">
        <v>130</v>
      </c>
      <c r="D3941" s="1" t="s">
        <v>131</v>
      </c>
      <c r="E3941" s="3">
        <v>3961.5385000000001</v>
      </c>
      <c r="F3941" s="1" t="s">
        <v>36</v>
      </c>
      <c r="G3941" s="1">
        <v>0</v>
      </c>
      <c r="H3941" s="3">
        <v>0</v>
      </c>
      <c r="I3941" s="1">
        <v>0.110947</v>
      </c>
    </row>
    <row r="3942" spans="1:9" x14ac:dyDescent="0.25">
      <c r="A3942" s="1">
        <v>2310040270</v>
      </c>
      <c r="B3942" s="1" t="s">
        <v>2196</v>
      </c>
      <c r="C3942" s="1" t="s">
        <v>130</v>
      </c>
      <c r="D3942" s="1" t="s">
        <v>131</v>
      </c>
      <c r="E3942" s="1">
        <v>170.5128</v>
      </c>
      <c r="F3942" s="1" t="s">
        <v>36</v>
      </c>
      <c r="G3942" s="1">
        <v>0</v>
      </c>
      <c r="H3942" s="1">
        <v>0</v>
      </c>
      <c r="I3942" s="1">
        <v>0.20825399999999999</v>
      </c>
    </row>
    <row r="3943" spans="1:9" x14ac:dyDescent="0.25">
      <c r="A3943" s="1">
        <v>2310040361</v>
      </c>
      <c r="B3943" s="1" t="s">
        <v>2197</v>
      </c>
      <c r="C3943" s="1" t="s">
        <v>130</v>
      </c>
      <c r="D3943" s="1" t="s">
        <v>131</v>
      </c>
      <c r="E3943" s="3">
        <v>2734.2727</v>
      </c>
      <c r="F3943" s="1" t="s">
        <v>36</v>
      </c>
      <c r="G3943" s="1">
        <v>0</v>
      </c>
      <c r="H3943" s="1">
        <v>0</v>
      </c>
      <c r="I3943" s="1">
        <v>8.0726999999999993E-2</v>
      </c>
    </row>
    <row r="3944" spans="1:9" x14ac:dyDescent="0.25">
      <c r="A3944" s="1">
        <v>2310040362</v>
      </c>
      <c r="B3944" s="1" t="s">
        <v>2198</v>
      </c>
      <c r="C3944" s="1" t="s">
        <v>130</v>
      </c>
      <c r="D3944" s="1" t="s">
        <v>131</v>
      </c>
      <c r="E3944" s="3">
        <v>1845</v>
      </c>
      <c r="F3944" s="1" t="s">
        <v>36</v>
      </c>
      <c r="G3944" s="1">
        <v>0</v>
      </c>
      <c r="H3944" s="1">
        <v>0</v>
      </c>
      <c r="I3944" s="1">
        <v>8.1046000000000007E-2</v>
      </c>
    </row>
    <row r="3945" spans="1:9" x14ac:dyDescent="0.25">
      <c r="A3945" s="1">
        <v>2310040364</v>
      </c>
      <c r="B3945" s="1" t="s">
        <v>2199</v>
      </c>
      <c r="C3945" s="1" t="s">
        <v>130</v>
      </c>
      <c r="D3945" s="1" t="s">
        <v>131</v>
      </c>
      <c r="E3945" s="3">
        <v>1417</v>
      </c>
      <c r="F3945" s="1" t="s">
        <v>36</v>
      </c>
      <c r="G3945" s="1">
        <v>0</v>
      </c>
      <c r="H3945" s="1">
        <v>0</v>
      </c>
      <c r="I3945" s="1">
        <v>8.0685000000000007E-2</v>
      </c>
    </row>
    <row r="3946" spans="1:9" x14ac:dyDescent="0.25">
      <c r="A3946" s="1">
        <v>2310040365</v>
      </c>
      <c r="B3946" s="1" t="s">
        <v>2200</v>
      </c>
      <c r="C3946" s="1" t="s">
        <v>130</v>
      </c>
      <c r="D3946" s="1" t="s">
        <v>131</v>
      </c>
      <c r="E3946" s="1">
        <v>547.90909999999997</v>
      </c>
      <c r="F3946" s="1" t="s">
        <v>36</v>
      </c>
      <c r="G3946" s="1">
        <v>0</v>
      </c>
      <c r="H3946" s="3">
        <v>0</v>
      </c>
      <c r="I3946" s="1">
        <v>8.0688999999999997E-2</v>
      </c>
    </row>
    <row r="3947" spans="1:9" x14ac:dyDescent="0.25">
      <c r="A3947" s="1">
        <v>2310040366</v>
      </c>
      <c r="B3947" s="1" t="s">
        <v>2201</v>
      </c>
      <c r="C3947" s="1" t="s">
        <v>130</v>
      </c>
      <c r="D3947" s="1" t="s">
        <v>131</v>
      </c>
      <c r="E3947" s="3">
        <v>1240.9091000000001</v>
      </c>
      <c r="F3947" s="1" t="s">
        <v>36</v>
      </c>
      <c r="G3947" s="1">
        <v>0</v>
      </c>
      <c r="H3947" s="1">
        <v>0</v>
      </c>
      <c r="I3947" s="1">
        <v>8.0626000000000003E-2</v>
      </c>
    </row>
    <row r="3948" spans="1:9" x14ac:dyDescent="0.25">
      <c r="A3948" s="1">
        <v>2310040367</v>
      </c>
      <c r="B3948" s="1" t="s">
        <v>2202</v>
      </c>
      <c r="C3948" s="1" t="s">
        <v>130</v>
      </c>
      <c r="D3948" s="1" t="s">
        <v>131</v>
      </c>
      <c r="E3948" s="3">
        <v>1941.3635999999999</v>
      </c>
      <c r="F3948" s="1" t="s">
        <v>36</v>
      </c>
      <c r="G3948" s="1">
        <v>0</v>
      </c>
      <c r="H3948" s="1">
        <v>0</v>
      </c>
      <c r="I3948" s="1">
        <v>8.0629000000000006E-2</v>
      </c>
    </row>
    <row r="3949" spans="1:9" x14ac:dyDescent="0.25">
      <c r="A3949" s="1">
        <v>2310040368</v>
      </c>
      <c r="B3949" s="1" t="s">
        <v>2203</v>
      </c>
      <c r="C3949" s="1" t="s">
        <v>130</v>
      </c>
      <c r="D3949" s="1" t="s">
        <v>131</v>
      </c>
      <c r="E3949" s="1">
        <v>809.09090000000003</v>
      </c>
      <c r="F3949" s="1" t="s">
        <v>36</v>
      </c>
      <c r="G3949" s="1">
        <v>0</v>
      </c>
      <c r="H3949" s="1">
        <v>0</v>
      </c>
      <c r="I3949" s="1">
        <v>8.0708000000000002E-2</v>
      </c>
    </row>
    <row r="3950" spans="1:9" x14ac:dyDescent="0.25">
      <c r="A3950" s="1">
        <v>2310040369</v>
      </c>
      <c r="B3950" s="1" t="s">
        <v>2204</v>
      </c>
      <c r="C3950" s="1" t="s">
        <v>130</v>
      </c>
      <c r="D3950" s="1" t="s">
        <v>131</v>
      </c>
      <c r="E3950" s="1">
        <v>191.36359999999999</v>
      </c>
      <c r="F3950" s="1" t="s">
        <v>36</v>
      </c>
      <c r="G3950" s="1">
        <v>0</v>
      </c>
      <c r="H3950" s="1">
        <v>0</v>
      </c>
      <c r="I3950" s="1">
        <v>8.0684000000000006E-2</v>
      </c>
    </row>
    <row r="3951" spans="1:9" x14ac:dyDescent="0.25">
      <c r="A3951" s="1">
        <v>2310040370</v>
      </c>
      <c r="B3951" s="1" t="s">
        <v>2205</v>
      </c>
      <c r="C3951" s="1" t="s">
        <v>130</v>
      </c>
      <c r="D3951" s="1" t="s">
        <v>131</v>
      </c>
      <c r="E3951" s="1">
        <v>676.09090000000003</v>
      </c>
      <c r="F3951" s="1" t="s">
        <v>36</v>
      </c>
      <c r="G3951" s="1">
        <v>0</v>
      </c>
      <c r="H3951" s="1">
        <v>0</v>
      </c>
      <c r="I3951" s="1">
        <v>8.0772999999999998E-2</v>
      </c>
    </row>
    <row r="3952" spans="1:9" x14ac:dyDescent="0.25">
      <c r="A3952" s="1">
        <v>2310040371</v>
      </c>
      <c r="B3952" s="1" t="s">
        <v>2206</v>
      </c>
      <c r="C3952" s="1" t="s">
        <v>130</v>
      </c>
      <c r="D3952" s="1" t="s">
        <v>131</v>
      </c>
      <c r="E3952" s="1">
        <v>819</v>
      </c>
      <c r="F3952" s="1" t="s">
        <v>36</v>
      </c>
      <c r="G3952" s="1">
        <v>0</v>
      </c>
      <c r="H3952" s="1">
        <v>0</v>
      </c>
      <c r="I3952" s="1">
        <v>8.0658999999999995E-2</v>
      </c>
    </row>
    <row r="3953" spans="1:9" x14ac:dyDescent="0.25">
      <c r="A3953" s="1">
        <v>2310040372</v>
      </c>
      <c r="B3953" s="1" t="s">
        <v>2207</v>
      </c>
      <c r="C3953" s="1" t="s">
        <v>130</v>
      </c>
      <c r="D3953" s="1" t="s">
        <v>131</v>
      </c>
      <c r="E3953" s="3">
        <v>1105.9091000000001</v>
      </c>
      <c r="F3953" s="1" t="s">
        <v>36</v>
      </c>
      <c r="G3953" s="1">
        <v>0</v>
      </c>
      <c r="H3953" s="1">
        <v>0</v>
      </c>
      <c r="I3953" s="1">
        <v>8.0893000000000007E-2</v>
      </c>
    </row>
    <row r="3954" spans="1:9" x14ac:dyDescent="0.25">
      <c r="A3954" s="1">
        <v>2310040508</v>
      </c>
      <c r="B3954" s="1" t="s">
        <v>2208</v>
      </c>
      <c r="C3954" s="1" t="s">
        <v>130</v>
      </c>
      <c r="D3954" s="1" t="s">
        <v>131</v>
      </c>
      <c r="E3954" s="1">
        <v>83.8</v>
      </c>
      <c r="F3954" s="1" t="s">
        <v>89</v>
      </c>
      <c r="G3954" s="1">
        <v>0</v>
      </c>
      <c r="H3954" s="1">
        <v>0</v>
      </c>
      <c r="I3954" s="1">
        <v>9</v>
      </c>
    </row>
    <row r="3955" spans="1:9" x14ac:dyDescent="0.25">
      <c r="A3955" s="1">
        <v>2310040524</v>
      </c>
      <c r="B3955" s="1" t="s">
        <v>2209</v>
      </c>
      <c r="C3955" s="1" t="s">
        <v>130</v>
      </c>
      <c r="D3955" s="1" t="s">
        <v>131</v>
      </c>
      <c r="E3955" s="3">
        <v>13866.6667</v>
      </c>
      <c r="F3955" s="1" t="s">
        <v>36</v>
      </c>
      <c r="G3955" s="1">
        <v>0</v>
      </c>
      <c r="H3955" s="1">
        <v>0</v>
      </c>
      <c r="I3955" s="1">
        <v>0.134101</v>
      </c>
    </row>
    <row r="3956" spans="1:9" x14ac:dyDescent="0.25">
      <c r="A3956" s="1">
        <v>2310040527</v>
      </c>
      <c r="B3956" s="1" t="s">
        <v>2210</v>
      </c>
      <c r="C3956" s="1" t="s">
        <v>130</v>
      </c>
      <c r="D3956" s="1" t="s">
        <v>131</v>
      </c>
      <c r="E3956" s="3">
        <v>2200</v>
      </c>
      <c r="F3956" s="1" t="s">
        <v>36</v>
      </c>
      <c r="G3956" s="1">
        <v>0</v>
      </c>
      <c r="H3956" s="1">
        <v>0</v>
      </c>
      <c r="I3956" s="1">
        <v>0.149727</v>
      </c>
    </row>
    <row r="3957" spans="1:9" x14ac:dyDescent="0.25">
      <c r="A3957" s="1">
        <v>2310040536</v>
      </c>
      <c r="B3957" s="1" t="s">
        <v>2211</v>
      </c>
      <c r="C3957" s="1" t="s">
        <v>130</v>
      </c>
      <c r="D3957" s="1" t="s">
        <v>131</v>
      </c>
      <c r="E3957" s="1">
        <v>71.372</v>
      </c>
      <c r="F3957" s="1" t="s">
        <v>89</v>
      </c>
      <c r="G3957" s="1">
        <v>0</v>
      </c>
      <c r="H3957" s="1">
        <v>0</v>
      </c>
      <c r="I3957" s="1">
        <v>28.793645000000001</v>
      </c>
    </row>
    <row r="3958" spans="1:9" x14ac:dyDescent="0.25">
      <c r="A3958" s="1">
        <v>2310040536</v>
      </c>
      <c r="B3958" s="1" t="s">
        <v>2211</v>
      </c>
      <c r="C3958" s="1" t="s">
        <v>142</v>
      </c>
      <c r="D3958" s="1" t="s">
        <v>143</v>
      </c>
      <c r="E3958" s="1">
        <v>0.192</v>
      </c>
      <c r="F3958" s="1" t="s">
        <v>89</v>
      </c>
      <c r="G3958" s="1">
        <v>0</v>
      </c>
      <c r="H3958" s="1">
        <v>0</v>
      </c>
      <c r="I3958" s="1">
        <v>28.4375</v>
      </c>
    </row>
    <row r="3959" spans="1:9" x14ac:dyDescent="0.25">
      <c r="A3959" s="1">
        <v>2310040536</v>
      </c>
      <c r="B3959" s="1" t="s">
        <v>2211</v>
      </c>
      <c r="C3959" s="1" t="s">
        <v>2174</v>
      </c>
      <c r="D3959" s="1" t="s">
        <v>2175</v>
      </c>
      <c r="E3959" s="1">
        <v>1.0369999999999999</v>
      </c>
      <c r="F3959" s="1" t="s">
        <v>89</v>
      </c>
      <c r="G3959" s="1">
        <v>0</v>
      </c>
      <c r="H3959" s="1">
        <v>0</v>
      </c>
      <c r="I3959" s="1">
        <v>28.977820999999999</v>
      </c>
    </row>
    <row r="3960" spans="1:9" x14ac:dyDescent="0.25">
      <c r="A3960" s="1">
        <v>2310040537</v>
      </c>
      <c r="B3960" s="1" t="s">
        <v>2212</v>
      </c>
      <c r="C3960" s="1" t="s">
        <v>130</v>
      </c>
      <c r="D3960" s="1" t="s">
        <v>131</v>
      </c>
      <c r="E3960" s="1">
        <v>50.006999999999998</v>
      </c>
      <c r="F3960" s="1" t="s">
        <v>89</v>
      </c>
      <c r="G3960" s="1">
        <v>0</v>
      </c>
      <c r="H3960" s="1">
        <v>0</v>
      </c>
      <c r="I3960" s="1">
        <v>30.187173999999999</v>
      </c>
    </row>
    <row r="3961" spans="1:9" x14ac:dyDescent="0.25">
      <c r="A3961" s="1">
        <v>2310040538</v>
      </c>
      <c r="B3961" s="1" t="s">
        <v>2213</v>
      </c>
      <c r="C3961" s="1" t="s">
        <v>130</v>
      </c>
      <c r="D3961" s="1" t="s">
        <v>131</v>
      </c>
      <c r="E3961" s="1">
        <v>17.489999999999998</v>
      </c>
      <c r="F3961" s="1" t="s">
        <v>89</v>
      </c>
      <c r="G3961" s="1">
        <v>0</v>
      </c>
      <c r="H3961" s="1">
        <v>0</v>
      </c>
      <c r="I3961" s="1">
        <v>29.540309000000001</v>
      </c>
    </row>
    <row r="3962" spans="1:9" x14ac:dyDescent="0.25">
      <c r="A3962" s="1">
        <v>2310040539</v>
      </c>
      <c r="B3962" s="1" t="s">
        <v>2214</v>
      </c>
      <c r="C3962" s="1" t="s">
        <v>130</v>
      </c>
      <c r="D3962" s="1" t="s">
        <v>131</v>
      </c>
      <c r="E3962" s="1">
        <v>17.152000000000001</v>
      </c>
      <c r="F3962" s="1" t="s">
        <v>89</v>
      </c>
      <c r="G3962" s="1">
        <v>0</v>
      </c>
      <c r="H3962" s="1">
        <v>0</v>
      </c>
      <c r="I3962" s="1">
        <v>60.912430000000001</v>
      </c>
    </row>
    <row r="3963" spans="1:9" x14ac:dyDescent="0.25">
      <c r="A3963" s="1">
        <v>2310040540</v>
      </c>
      <c r="B3963" s="1" t="s">
        <v>2215</v>
      </c>
      <c r="C3963" s="1" t="s">
        <v>130</v>
      </c>
      <c r="D3963" s="1" t="s">
        <v>131</v>
      </c>
      <c r="E3963" s="1">
        <v>38.92</v>
      </c>
      <c r="F3963" s="1" t="s">
        <v>89</v>
      </c>
      <c r="G3963" s="1">
        <v>0</v>
      </c>
      <c r="H3963" s="1">
        <v>0</v>
      </c>
      <c r="I3963" s="1">
        <v>20.353802999999999</v>
      </c>
    </row>
    <row r="3964" spans="1:9" x14ac:dyDescent="0.25">
      <c r="A3964" s="1">
        <v>2310040541</v>
      </c>
      <c r="B3964" s="1" t="s">
        <v>2216</v>
      </c>
      <c r="C3964" s="1" t="s">
        <v>130</v>
      </c>
      <c r="D3964" s="1" t="s">
        <v>131</v>
      </c>
      <c r="E3964" s="1">
        <v>29.045999999999999</v>
      </c>
      <c r="F3964" s="1" t="s">
        <v>89</v>
      </c>
      <c r="G3964" s="1">
        <v>0</v>
      </c>
      <c r="H3964" s="1">
        <v>0</v>
      </c>
      <c r="I3964" s="1">
        <v>27.394822000000001</v>
      </c>
    </row>
    <row r="3965" spans="1:9" x14ac:dyDescent="0.25">
      <c r="A3965" s="1">
        <v>2310040542</v>
      </c>
      <c r="B3965" s="1" t="s">
        <v>2217</v>
      </c>
      <c r="C3965" s="1" t="s">
        <v>130</v>
      </c>
      <c r="D3965" s="1" t="s">
        <v>131</v>
      </c>
      <c r="E3965" s="1">
        <v>17.263000000000002</v>
      </c>
      <c r="F3965" s="1" t="s">
        <v>89</v>
      </c>
      <c r="G3965" s="1">
        <v>0</v>
      </c>
      <c r="H3965" s="1">
        <v>0</v>
      </c>
      <c r="I3965" s="1">
        <v>26.883507999999999</v>
      </c>
    </row>
    <row r="3966" spans="1:9" x14ac:dyDescent="0.25">
      <c r="A3966" s="1">
        <v>2310040543</v>
      </c>
      <c r="B3966" s="1" t="s">
        <v>2218</v>
      </c>
      <c r="C3966" s="1" t="s">
        <v>130</v>
      </c>
      <c r="D3966" s="1" t="s">
        <v>131</v>
      </c>
      <c r="E3966" s="1">
        <v>24.693999999999999</v>
      </c>
      <c r="F3966" s="1" t="s">
        <v>89</v>
      </c>
      <c r="G3966" s="1">
        <v>0</v>
      </c>
      <c r="H3966" s="1">
        <v>0</v>
      </c>
      <c r="I3966" s="1">
        <v>26.378876999999999</v>
      </c>
    </row>
    <row r="3967" spans="1:9" x14ac:dyDescent="0.25">
      <c r="A3967" s="1">
        <v>2310040544</v>
      </c>
      <c r="B3967" s="1" t="s">
        <v>2219</v>
      </c>
      <c r="C3967" s="1" t="s">
        <v>130</v>
      </c>
      <c r="D3967" s="1" t="s">
        <v>131</v>
      </c>
      <c r="E3967" s="1">
        <v>35.582999999999998</v>
      </c>
      <c r="F3967" s="1" t="s">
        <v>89</v>
      </c>
      <c r="G3967" s="1">
        <v>0</v>
      </c>
      <c r="H3967" s="1">
        <v>0</v>
      </c>
      <c r="I3967" s="1">
        <v>18.295252999999999</v>
      </c>
    </row>
    <row r="3968" spans="1:9" x14ac:dyDescent="0.25">
      <c r="A3968" s="1">
        <v>2310040545</v>
      </c>
      <c r="B3968" s="1" t="s">
        <v>2220</v>
      </c>
      <c r="C3968" s="1" t="s">
        <v>130</v>
      </c>
      <c r="D3968" s="1" t="s">
        <v>131</v>
      </c>
      <c r="E3968" s="1">
        <v>3.9820000000000002</v>
      </c>
      <c r="F3968" s="1" t="s">
        <v>89</v>
      </c>
      <c r="G3968" s="1">
        <v>0</v>
      </c>
      <c r="H3968" s="1">
        <v>0</v>
      </c>
      <c r="I3968" s="1">
        <v>22.661978999999999</v>
      </c>
    </row>
    <row r="3969" spans="1:9" x14ac:dyDescent="0.25">
      <c r="A3969" s="1">
        <v>2310040546</v>
      </c>
      <c r="B3969" s="1" t="s">
        <v>2221</v>
      </c>
      <c r="C3969" s="1" t="s">
        <v>130</v>
      </c>
      <c r="D3969" s="1" t="s">
        <v>131</v>
      </c>
      <c r="E3969" s="1">
        <v>24.32</v>
      </c>
      <c r="F3969" s="1" t="s">
        <v>89</v>
      </c>
      <c r="G3969" s="1">
        <v>0</v>
      </c>
      <c r="H3969" s="1">
        <v>0</v>
      </c>
      <c r="I3969" s="1">
        <v>20.471627999999999</v>
      </c>
    </row>
    <row r="3970" spans="1:9" x14ac:dyDescent="0.25">
      <c r="A3970" s="1">
        <v>2310040549</v>
      </c>
      <c r="B3970" s="1" t="s">
        <v>2222</v>
      </c>
      <c r="C3970" s="1" t="s">
        <v>130</v>
      </c>
      <c r="D3970" s="1" t="s">
        <v>131</v>
      </c>
      <c r="E3970" s="1">
        <v>5</v>
      </c>
      <c r="F3970" s="1" t="s">
        <v>36</v>
      </c>
      <c r="G3970" s="1">
        <v>0</v>
      </c>
      <c r="H3970" s="1">
        <v>0</v>
      </c>
      <c r="I3970" s="1">
        <v>6.6000000000000003E-2</v>
      </c>
    </row>
    <row r="3971" spans="1:9" x14ac:dyDescent="0.25">
      <c r="A3971" s="1">
        <v>2310040559</v>
      </c>
      <c r="B3971" s="1" t="s">
        <v>2223</v>
      </c>
      <c r="C3971" s="1" t="s">
        <v>130</v>
      </c>
      <c r="D3971" s="1" t="s">
        <v>131</v>
      </c>
      <c r="E3971" s="3">
        <v>8879</v>
      </c>
      <c r="F3971" s="1" t="s">
        <v>36</v>
      </c>
      <c r="G3971" s="1">
        <v>0</v>
      </c>
      <c r="H3971" s="1">
        <v>0</v>
      </c>
      <c r="I3971" s="1">
        <v>9.9695000000000006E-2</v>
      </c>
    </row>
    <row r="3972" spans="1:9" x14ac:dyDescent="0.25">
      <c r="A3972" s="1">
        <v>2310040560</v>
      </c>
      <c r="B3972" s="1" t="s">
        <v>2224</v>
      </c>
      <c r="C3972" s="1" t="s">
        <v>130</v>
      </c>
      <c r="D3972" s="1" t="s">
        <v>131</v>
      </c>
      <c r="E3972" s="3">
        <v>22442.2857</v>
      </c>
      <c r="F3972" s="1" t="s">
        <v>36</v>
      </c>
      <c r="G3972" s="1">
        <v>0</v>
      </c>
      <c r="H3972" s="1">
        <v>0</v>
      </c>
      <c r="I3972" s="1">
        <v>0.110828</v>
      </c>
    </row>
    <row r="3973" spans="1:9" x14ac:dyDescent="0.25">
      <c r="A3973" s="1">
        <v>2310040561</v>
      </c>
      <c r="B3973" s="1" t="s">
        <v>2225</v>
      </c>
      <c r="C3973" s="1" t="s">
        <v>130</v>
      </c>
      <c r="D3973" s="1" t="s">
        <v>131</v>
      </c>
      <c r="E3973" s="3">
        <v>19351</v>
      </c>
      <c r="F3973" s="1" t="s">
        <v>36</v>
      </c>
      <c r="G3973" s="1">
        <v>0</v>
      </c>
      <c r="H3973" s="1">
        <v>0</v>
      </c>
      <c r="I3973" s="1">
        <v>9.9931000000000006E-2</v>
      </c>
    </row>
    <row r="3974" spans="1:9" x14ac:dyDescent="0.25">
      <c r="A3974" s="1">
        <v>2310040562</v>
      </c>
      <c r="B3974" s="1" t="s">
        <v>2226</v>
      </c>
      <c r="C3974" s="1" t="s">
        <v>130</v>
      </c>
      <c r="D3974" s="1" t="s">
        <v>131</v>
      </c>
      <c r="E3974" s="3">
        <v>20085</v>
      </c>
      <c r="F3974" s="1" t="s">
        <v>36</v>
      </c>
      <c r="G3974" s="1">
        <v>0</v>
      </c>
      <c r="H3974" s="1">
        <v>0</v>
      </c>
      <c r="I3974" s="1">
        <v>0.1137</v>
      </c>
    </row>
    <row r="3975" spans="1:9" x14ac:dyDescent="0.25">
      <c r="A3975" s="1">
        <v>2310040563</v>
      </c>
      <c r="B3975" s="1" t="s">
        <v>2227</v>
      </c>
      <c r="C3975" s="1" t="s">
        <v>130</v>
      </c>
      <c r="D3975" s="1" t="s">
        <v>131</v>
      </c>
      <c r="E3975" s="3">
        <v>19640</v>
      </c>
      <c r="F3975" s="1" t="s">
        <v>36</v>
      </c>
      <c r="G3975" s="1">
        <v>0</v>
      </c>
      <c r="H3975" s="1">
        <v>0</v>
      </c>
      <c r="I3975" s="1">
        <v>9.9345000000000003E-2</v>
      </c>
    </row>
    <row r="3976" spans="1:9" x14ac:dyDescent="0.25">
      <c r="A3976" s="1">
        <v>2310040564</v>
      </c>
      <c r="B3976" s="1" t="s">
        <v>2228</v>
      </c>
      <c r="C3976" s="1" t="s">
        <v>130</v>
      </c>
      <c r="D3976" s="1" t="s">
        <v>131</v>
      </c>
      <c r="E3976" s="3">
        <v>20250.000800000002</v>
      </c>
      <c r="F3976" s="1" t="s">
        <v>36</v>
      </c>
      <c r="G3976" s="1">
        <v>0</v>
      </c>
      <c r="H3976" s="1">
        <v>0</v>
      </c>
      <c r="I3976" s="1">
        <v>9.8117999999999997E-2</v>
      </c>
    </row>
    <row r="3977" spans="1:9" x14ac:dyDescent="0.25">
      <c r="A3977" s="1">
        <v>2310040565</v>
      </c>
      <c r="B3977" s="1" t="s">
        <v>2229</v>
      </c>
      <c r="C3977" s="1" t="s">
        <v>130</v>
      </c>
      <c r="D3977" s="1" t="s">
        <v>131</v>
      </c>
      <c r="E3977" s="3">
        <v>20277</v>
      </c>
      <c r="F3977" s="1" t="s">
        <v>36</v>
      </c>
      <c r="G3977" s="1">
        <v>0</v>
      </c>
      <c r="H3977" s="1">
        <v>0</v>
      </c>
      <c r="I3977" s="1">
        <v>0.106956</v>
      </c>
    </row>
    <row r="3978" spans="1:9" x14ac:dyDescent="0.25">
      <c r="A3978" s="1">
        <v>2310040566</v>
      </c>
      <c r="B3978" s="1" t="s">
        <v>2230</v>
      </c>
      <c r="C3978" s="1" t="s">
        <v>130</v>
      </c>
      <c r="D3978" s="1" t="s">
        <v>131</v>
      </c>
      <c r="E3978" s="3">
        <v>20397</v>
      </c>
      <c r="F3978" s="1" t="s">
        <v>36</v>
      </c>
      <c r="G3978" s="1">
        <v>0</v>
      </c>
      <c r="H3978" s="1">
        <v>0</v>
      </c>
      <c r="I3978" s="1">
        <v>9.6088999999999994E-2</v>
      </c>
    </row>
    <row r="3979" spans="1:9" x14ac:dyDescent="0.25">
      <c r="A3979" s="1">
        <v>2310040567</v>
      </c>
      <c r="B3979" s="1" t="s">
        <v>2231</v>
      </c>
      <c r="C3979" s="1" t="s">
        <v>130</v>
      </c>
      <c r="D3979" s="1" t="s">
        <v>131</v>
      </c>
      <c r="E3979" s="3">
        <v>20486</v>
      </c>
      <c r="F3979" s="1" t="s">
        <v>36</v>
      </c>
      <c r="G3979" s="1">
        <v>0</v>
      </c>
      <c r="H3979" s="1">
        <v>0</v>
      </c>
      <c r="I3979" s="1">
        <v>0.10184600000000001</v>
      </c>
    </row>
    <row r="3980" spans="1:9" x14ac:dyDescent="0.25">
      <c r="A3980" s="1">
        <v>2310040568</v>
      </c>
      <c r="B3980" s="1" t="s">
        <v>2232</v>
      </c>
      <c r="C3980" s="1" t="s">
        <v>130</v>
      </c>
      <c r="D3980" s="1" t="s">
        <v>131</v>
      </c>
      <c r="E3980" s="3">
        <v>17414</v>
      </c>
      <c r="F3980" s="1" t="s">
        <v>36</v>
      </c>
      <c r="G3980" s="1">
        <v>0</v>
      </c>
      <c r="H3980" s="1">
        <v>0</v>
      </c>
      <c r="I3980" s="1">
        <v>0.114194</v>
      </c>
    </row>
    <row r="3981" spans="1:9" x14ac:dyDescent="0.25">
      <c r="A3981" s="1">
        <v>2310040569</v>
      </c>
      <c r="B3981" s="1" t="s">
        <v>2233</v>
      </c>
      <c r="C3981" s="1" t="s">
        <v>130</v>
      </c>
      <c r="D3981" s="1" t="s">
        <v>131</v>
      </c>
      <c r="E3981" s="3">
        <v>21530</v>
      </c>
      <c r="F3981" s="1" t="s">
        <v>36</v>
      </c>
      <c r="G3981" s="1">
        <v>0</v>
      </c>
      <c r="H3981" s="1">
        <v>0</v>
      </c>
      <c r="I3981" s="1">
        <v>9.7522999999999999E-2</v>
      </c>
    </row>
    <row r="3982" spans="1:9" x14ac:dyDescent="0.25">
      <c r="A3982" s="1">
        <v>2310040570</v>
      </c>
      <c r="B3982" s="1" t="s">
        <v>2234</v>
      </c>
      <c r="C3982" s="1" t="s">
        <v>130</v>
      </c>
      <c r="D3982" s="1" t="s">
        <v>131</v>
      </c>
      <c r="E3982" s="3">
        <v>19491</v>
      </c>
      <c r="F3982" s="1" t="s">
        <v>36</v>
      </c>
      <c r="G3982" s="1">
        <v>0</v>
      </c>
      <c r="H3982" s="1">
        <v>0</v>
      </c>
      <c r="I3982" s="1">
        <v>9.3847E-2</v>
      </c>
    </row>
    <row r="3983" spans="1:9" x14ac:dyDescent="0.25">
      <c r="A3983" s="1">
        <v>2310040571</v>
      </c>
      <c r="B3983" s="1" t="s">
        <v>2235</v>
      </c>
      <c r="C3983" s="1" t="s">
        <v>130</v>
      </c>
      <c r="D3983" s="1" t="s">
        <v>131</v>
      </c>
      <c r="E3983" s="1">
        <v>302.4545</v>
      </c>
      <c r="F3983" s="1" t="s">
        <v>36</v>
      </c>
      <c r="G3983" s="3">
        <v>0</v>
      </c>
      <c r="H3983" s="1">
        <v>0</v>
      </c>
      <c r="I3983" s="1">
        <v>8.0606999999999998E-2</v>
      </c>
    </row>
    <row r="3984" spans="1:9" x14ac:dyDescent="0.25">
      <c r="A3984" s="1">
        <v>2310040572</v>
      </c>
      <c r="B3984" s="1" t="s">
        <v>2236</v>
      </c>
      <c r="C3984" s="1" t="s">
        <v>130</v>
      </c>
      <c r="D3984" s="1" t="s">
        <v>131</v>
      </c>
      <c r="E3984" s="1">
        <v>53.802</v>
      </c>
      <c r="F3984" s="1" t="s">
        <v>89</v>
      </c>
      <c r="G3984" s="1">
        <v>0</v>
      </c>
      <c r="H3984" s="1">
        <v>0</v>
      </c>
      <c r="I3984" s="1">
        <v>17.586707000000001</v>
      </c>
    </row>
    <row r="3985" spans="1:9" x14ac:dyDescent="0.25">
      <c r="A3985" s="1">
        <v>2310040572</v>
      </c>
      <c r="B3985" s="1" t="s">
        <v>2236</v>
      </c>
      <c r="C3985" s="1" t="s">
        <v>2174</v>
      </c>
      <c r="D3985" s="1" t="s">
        <v>2175</v>
      </c>
      <c r="E3985" s="1">
        <v>0.97699999999999998</v>
      </c>
      <c r="F3985" s="1" t="s">
        <v>89</v>
      </c>
      <c r="G3985" s="1">
        <v>0</v>
      </c>
      <c r="H3985" s="1">
        <v>0</v>
      </c>
      <c r="I3985" s="1">
        <v>17.543500999999999</v>
      </c>
    </row>
    <row r="3986" spans="1:9" x14ac:dyDescent="0.25">
      <c r="A3986" s="1">
        <v>2310040575</v>
      </c>
      <c r="B3986" s="1" t="s">
        <v>2237</v>
      </c>
      <c r="C3986" s="1" t="s">
        <v>130</v>
      </c>
      <c r="D3986" s="1" t="s">
        <v>131</v>
      </c>
      <c r="E3986" s="1">
        <v>117.44</v>
      </c>
      <c r="F3986" s="1" t="s">
        <v>89</v>
      </c>
      <c r="G3986" s="3">
        <v>0</v>
      </c>
      <c r="H3986" s="1">
        <v>0</v>
      </c>
      <c r="I3986" s="1">
        <v>13.450272</v>
      </c>
    </row>
    <row r="3987" spans="1:9" x14ac:dyDescent="0.25">
      <c r="A3987" s="1">
        <v>2310040576</v>
      </c>
      <c r="B3987" s="1" t="s">
        <v>2238</v>
      </c>
      <c r="C3987" s="1" t="s">
        <v>130</v>
      </c>
      <c r="D3987" s="1" t="s">
        <v>131</v>
      </c>
      <c r="E3987" s="1">
        <v>87.1</v>
      </c>
      <c r="F3987" s="1" t="s">
        <v>89</v>
      </c>
      <c r="G3987" s="1">
        <v>0</v>
      </c>
      <c r="H3987" s="1">
        <v>0</v>
      </c>
      <c r="I3987" s="1">
        <v>16.952812999999999</v>
      </c>
    </row>
    <row r="3988" spans="1:9" x14ac:dyDescent="0.25">
      <c r="A3988" s="1">
        <v>2310040577</v>
      </c>
      <c r="B3988" s="1" t="s">
        <v>2239</v>
      </c>
      <c r="C3988" s="1" t="s">
        <v>130</v>
      </c>
      <c r="D3988" s="1" t="s">
        <v>131</v>
      </c>
      <c r="E3988" s="1">
        <v>112.1</v>
      </c>
      <c r="F3988" s="1" t="s">
        <v>89</v>
      </c>
      <c r="G3988" s="1">
        <v>0</v>
      </c>
      <c r="H3988" s="1">
        <v>0</v>
      </c>
      <c r="I3988" s="1">
        <v>16.952898999999999</v>
      </c>
    </row>
    <row r="3989" spans="1:9" x14ac:dyDescent="0.25">
      <c r="A3989" s="1">
        <v>2310040578</v>
      </c>
      <c r="B3989" s="1" t="s">
        <v>2240</v>
      </c>
      <c r="C3989" s="1" t="s">
        <v>130</v>
      </c>
      <c r="D3989" s="1" t="s">
        <v>131</v>
      </c>
      <c r="E3989" s="1">
        <v>58.6</v>
      </c>
      <c r="F3989" s="1" t="s">
        <v>89</v>
      </c>
      <c r="G3989" s="1">
        <v>0</v>
      </c>
      <c r="H3989" s="1">
        <v>0</v>
      </c>
      <c r="I3989" s="1">
        <v>16.952901000000001</v>
      </c>
    </row>
    <row r="3990" spans="1:9" x14ac:dyDescent="0.25">
      <c r="A3990" s="1">
        <v>2310040610</v>
      </c>
      <c r="B3990" s="1" t="s">
        <v>2241</v>
      </c>
      <c r="C3990" s="1" t="s">
        <v>130</v>
      </c>
      <c r="D3990" s="1" t="s">
        <v>131</v>
      </c>
      <c r="E3990" s="3">
        <v>2177.9747000000002</v>
      </c>
      <c r="F3990" s="1" t="s">
        <v>36</v>
      </c>
      <c r="G3990" s="1">
        <v>0</v>
      </c>
      <c r="H3990" s="1">
        <v>0</v>
      </c>
      <c r="I3990" s="1">
        <v>0.16345499999999999</v>
      </c>
    </row>
    <row r="3991" spans="1:9" x14ac:dyDescent="0.25">
      <c r="A3991" s="1">
        <v>2310040610</v>
      </c>
      <c r="B3991" s="1" t="s">
        <v>2241</v>
      </c>
      <c r="C3991" s="1" t="s">
        <v>142</v>
      </c>
      <c r="D3991" s="1" t="s">
        <v>143</v>
      </c>
      <c r="E3991" s="1">
        <v>4.7000000000000002E-3</v>
      </c>
      <c r="F3991" s="1" t="s">
        <v>36</v>
      </c>
      <c r="G3991" s="1">
        <v>0</v>
      </c>
      <c r="H3991" s="1">
        <v>0</v>
      </c>
      <c r="I3991" s="1">
        <v>0</v>
      </c>
    </row>
    <row r="3992" spans="1:9" x14ac:dyDescent="0.25">
      <c r="A3992" s="1">
        <v>2310040611</v>
      </c>
      <c r="B3992" s="1" t="s">
        <v>2242</v>
      </c>
      <c r="C3992" s="1" t="s">
        <v>130</v>
      </c>
      <c r="D3992" s="1" t="s">
        <v>131</v>
      </c>
      <c r="E3992" s="3">
        <v>1139.7847999999999</v>
      </c>
      <c r="F3992" s="1" t="s">
        <v>36</v>
      </c>
      <c r="G3992" s="1">
        <v>0</v>
      </c>
      <c r="H3992" s="1">
        <v>0</v>
      </c>
      <c r="I3992" s="1">
        <v>0.176875</v>
      </c>
    </row>
    <row r="3993" spans="1:9" x14ac:dyDescent="0.25">
      <c r="A3993" s="1">
        <v>2310040612</v>
      </c>
      <c r="B3993" s="1" t="s">
        <v>2243</v>
      </c>
      <c r="C3993" s="1" t="s">
        <v>130</v>
      </c>
      <c r="D3993" s="1" t="s">
        <v>131</v>
      </c>
      <c r="E3993" s="1">
        <v>830.78480000000002</v>
      </c>
      <c r="F3993" s="1" t="s">
        <v>36</v>
      </c>
      <c r="G3993" s="1">
        <v>0</v>
      </c>
      <c r="H3993" s="1">
        <v>0</v>
      </c>
      <c r="I3993" s="1">
        <v>0.17388400000000001</v>
      </c>
    </row>
    <row r="3994" spans="1:9" x14ac:dyDescent="0.25">
      <c r="A3994" s="1">
        <v>2310040613</v>
      </c>
      <c r="B3994" s="1" t="s">
        <v>2244</v>
      </c>
      <c r="C3994" s="1" t="s">
        <v>130</v>
      </c>
      <c r="D3994" s="1" t="s">
        <v>131</v>
      </c>
      <c r="E3994" s="3">
        <v>1897.7847999999999</v>
      </c>
      <c r="F3994" s="1" t="s">
        <v>36</v>
      </c>
      <c r="G3994" s="1">
        <v>0</v>
      </c>
      <c r="H3994" s="1">
        <v>0</v>
      </c>
      <c r="I3994" s="1">
        <v>0.13878299999999999</v>
      </c>
    </row>
    <row r="3995" spans="1:9" x14ac:dyDescent="0.25">
      <c r="A3995" s="1">
        <v>2310040614</v>
      </c>
      <c r="B3995" s="1" t="s">
        <v>2245</v>
      </c>
      <c r="C3995" s="1" t="s">
        <v>130</v>
      </c>
      <c r="D3995" s="1" t="s">
        <v>131</v>
      </c>
      <c r="E3995" s="1">
        <v>786.43039999999996</v>
      </c>
      <c r="F3995" s="1" t="s">
        <v>36</v>
      </c>
      <c r="G3995" s="1">
        <v>0</v>
      </c>
      <c r="H3995" s="1">
        <v>0</v>
      </c>
      <c r="I3995" s="1">
        <v>0.229467</v>
      </c>
    </row>
    <row r="3996" spans="1:9" x14ac:dyDescent="0.25">
      <c r="A3996" s="1">
        <v>2310040615</v>
      </c>
      <c r="B3996" s="1" t="s">
        <v>2246</v>
      </c>
      <c r="C3996" s="1" t="s">
        <v>130</v>
      </c>
      <c r="D3996" s="1" t="s">
        <v>131</v>
      </c>
      <c r="E3996" s="3">
        <v>2000</v>
      </c>
      <c r="F3996" s="1" t="s">
        <v>36</v>
      </c>
      <c r="G3996" s="1">
        <v>0</v>
      </c>
      <c r="H3996" s="1">
        <v>0</v>
      </c>
      <c r="I3996" s="1">
        <v>0.18445500000000001</v>
      </c>
    </row>
    <row r="3997" spans="1:9" x14ac:dyDescent="0.25">
      <c r="A3997" s="1">
        <v>2310050017</v>
      </c>
      <c r="B3997" s="1" t="s">
        <v>2247</v>
      </c>
      <c r="C3997" s="1" t="s">
        <v>2248</v>
      </c>
      <c r="D3997" s="1" t="s">
        <v>2249</v>
      </c>
      <c r="E3997" s="1">
        <v>0</v>
      </c>
      <c r="F3997" s="1" t="s">
        <v>89</v>
      </c>
      <c r="G3997" s="1">
        <v>0</v>
      </c>
      <c r="H3997" s="1">
        <v>1.9</v>
      </c>
      <c r="I3997" s="1">
        <v>16.627500000000001</v>
      </c>
    </row>
    <row r="3998" spans="1:9" x14ac:dyDescent="0.25">
      <c r="A3998" s="1">
        <v>2310050034</v>
      </c>
      <c r="B3998" s="1" t="s">
        <v>2250</v>
      </c>
      <c r="C3998" s="1" t="s">
        <v>2248</v>
      </c>
      <c r="D3998" s="1" t="s">
        <v>2249</v>
      </c>
      <c r="E3998" s="1">
        <v>326.47000000000003</v>
      </c>
      <c r="F3998" s="1" t="s">
        <v>89</v>
      </c>
      <c r="G3998" s="1">
        <v>0</v>
      </c>
      <c r="H3998" s="3">
        <v>2989.63</v>
      </c>
      <c r="I3998" s="1">
        <v>3.9206050000000001</v>
      </c>
    </row>
    <row r="3999" spans="1:9" x14ac:dyDescent="0.25">
      <c r="A3999" s="1">
        <v>2310050035</v>
      </c>
      <c r="B3999" s="1" t="s">
        <v>2251</v>
      </c>
      <c r="C3999" s="1" t="s">
        <v>2248</v>
      </c>
      <c r="D3999" s="1" t="s">
        <v>2249</v>
      </c>
      <c r="E3999" s="1">
        <v>201.51</v>
      </c>
      <c r="F3999" s="1" t="s">
        <v>89</v>
      </c>
      <c r="G3999" s="1">
        <v>0</v>
      </c>
      <c r="H3999" s="3">
        <v>2989.63</v>
      </c>
      <c r="I3999" s="1">
        <v>3.8110270000000002</v>
      </c>
    </row>
    <row r="4000" spans="1:9" x14ac:dyDescent="0.25">
      <c r="A4000" s="1">
        <v>2310050036</v>
      </c>
      <c r="B4000" s="1" t="s">
        <v>2252</v>
      </c>
      <c r="C4000" s="1" t="s">
        <v>2248</v>
      </c>
      <c r="D4000" s="1" t="s">
        <v>2249</v>
      </c>
      <c r="E4000" s="3">
        <v>201.67</v>
      </c>
      <c r="F4000" s="1" t="s">
        <v>89</v>
      </c>
      <c r="G4000" s="3">
        <v>0</v>
      </c>
      <c r="H4000" s="3">
        <v>2989.63</v>
      </c>
      <c r="I4000" s="1">
        <v>3.869291</v>
      </c>
    </row>
    <row r="4001" spans="1:9" x14ac:dyDescent="0.25">
      <c r="A4001" s="1">
        <v>2310050037</v>
      </c>
      <c r="B4001" s="1" t="s">
        <v>2253</v>
      </c>
      <c r="C4001" s="1" t="s">
        <v>2248</v>
      </c>
      <c r="D4001" s="1" t="s">
        <v>2249</v>
      </c>
      <c r="E4001" s="1">
        <v>168.11</v>
      </c>
      <c r="F4001" s="1" t="s">
        <v>89</v>
      </c>
      <c r="G4001" s="1">
        <v>0</v>
      </c>
      <c r="H4001" s="3">
        <v>2989.63</v>
      </c>
      <c r="I4001" s="1">
        <v>4.0173699999999997</v>
      </c>
    </row>
    <row r="4002" spans="1:9" x14ac:dyDescent="0.25">
      <c r="A4002" s="1">
        <v>2310050038</v>
      </c>
      <c r="B4002" s="1" t="s">
        <v>2254</v>
      </c>
      <c r="C4002" s="1" t="s">
        <v>2248</v>
      </c>
      <c r="D4002" s="1" t="s">
        <v>2249</v>
      </c>
      <c r="E4002" s="3">
        <v>169.01</v>
      </c>
      <c r="F4002" s="1" t="s">
        <v>89</v>
      </c>
      <c r="G4002" s="3">
        <v>0</v>
      </c>
      <c r="H4002" s="3">
        <v>2989.63</v>
      </c>
      <c r="I4002" s="1">
        <v>3.9973969999999999</v>
      </c>
    </row>
    <row r="4003" spans="1:9" x14ac:dyDescent="0.25">
      <c r="A4003" s="1">
        <v>2310050039</v>
      </c>
      <c r="B4003" s="1" t="s">
        <v>2255</v>
      </c>
      <c r="C4003" s="1" t="s">
        <v>2248</v>
      </c>
      <c r="D4003" s="1" t="s">
        <v>2249</v>
      </c>
      <c r="E4003" s="1">
        <v>184.97</v>
      </c>
      <c r="F4003" s="1" t="s">
        <v>89</v>
      </c>
      <c r="G4003" s="1">
        <v>0</v>
      </c>
      <c r="H4003" s="3">
        <v>2989.63</v>
      </c>
      <c r="I4003" s="1">
        <v>3.9351790000000002</v>
      </c>
    </row>
    <row r="4004" spans="1:9" x14ac:dyDescent="0.25">
      <c r="A4004" s="1">
        <v>2310050040</v>
      </c>
      <c r="B4004" s="1" t="s">
        <v>2256</v>
      </c>
      <c r="C4004" s="1" t="s">
        <v>2248</v>
      </c>
      <c r="D4004" s="1" t="s">
        <v>2249</v>
      </c>
      <c r="E4004" s="3">
        <v>377.81</v>
      </c>
      <c r="F4004" s="1" t="s">
        <v>89</v>
      </c>
      <c r="G4004" s="3">
        <v>0</v>
      </c>
      <c r="H4004" s="3">
        <v>2989.63</v>
      </c>
      <c r="I4004" s="1">
        <v>3.8947620000000001</v>
      </c>
    </row>
    <row r="4005" spans="1:9" x14ac:dyDescent="0.25">
      <c r="A4005" s="1">
        <v>2310050041</v>
      </c>
      <c r="B4005" s="1" t="s">
        <v>2257</v>
      </c>
      <c r="C4005" s="1" t="s">
        <v>2248</v>
      </c>
      <c r="D4005" s="1" t="s">
        <v>2249</v>
      </c>
      <c r="E4005" s="1">
        <v>149.91</v>
      </c>
      <c r="F4005" s="1" t="s">
        <v>89</v>
      </c>
      <c r="G4005" s="1">
        <v>0</v>
      </c>
      <c r="H4005" s="3">
        <v>2989.63</v>
      </c>
      <c r="I4005" s="1">
        <v>3.8133550000000001</v>
      </c>
    </row>
    <row r="4006" spans="1:9" x14ac:dyDescent="0.25">
      <c r="A4006" s="1">
        <v>2310050042</v>
      </c>
      <c r="B4006" s="1" t="s">
        <v>2258</v>
      </c>
      <c r="C4006" s="1" t="s">
        <v>2248</v>
      </c>
      <c r="D4006" s="1" t="s">
        <v>2249</v>
      </c>
      <c r="E4006" s="3">
        <v>305.01</v>
      </c>
      <c r="F4006" s="1" t="s">
        <v>89</v>
      </c>
      <c r="G4006" s="3">
        <v>0</v>
      </c>
      <c r="H4006" s="3">
        <v>2989.63</v>
      </c>
      <c r="I4006" s="1">
        <v>3.9754109999999998</v>
      </c>
    </row>
    <row r="4007" spans="1:9" x14ac:dyDescent="0.25">
      <c r="A4007" s="1">
        <v>2310050043</v>
      </c>
      <c r="B4007" s="1" t="s">
        <v>2259</v>
      </c>
      <c r="C4007" s="1" t="s">
        <v>2248</v>
      </c>
      <c r="D4007" s="1" t="s">
        <v>2249</v>
      </c>
      <c r="E4007" s="1">
        <v>203.11</v>
      </c>
      <c r="F4007" s="1" t="s">
        <v>89</v>
      </c>
      <c r="G4007" s="1">
        <v>0</v>
      </c>
      <c r="H4007" s="3">
        <v>2989.63</v>
      </c>
      <c r="I4007" s="1">
        <v>3.8434840000000001</v>
      </c>
    </row>
    <row r="4008" spans="1:9" x14ac:dyDescent="0.25">
      <c r="A4008" s="1">
        <v>2310050044</v>
      </c>
      <c r="B4008" s="1" t="s">
        <v>2260</v>
      </c>
      <c r="C4008" s="1" t="s">
        <v>2248</v>
      </c>
      <c r="D4008" s="1" t="s">
        <v>2249</v>
      </c>
      <c r="E4008" s="3">
        <v>156.01</v>
      </c>
      <c r="F4008" s="1" t="s">
        <v>89</v>
      </c>
      <c r="G4008" s="1">
        <v>0</v>
      </c>
      <c r="H4008" s="3">
        <v>2989.63</v>
      </c>
      <c r="I4008" s="1">
        <v>3.9805779999999999</v>
      </c>
    </row>
    <row r="4009" spans="1:9" x14ac:dyDescent="0.25">
      <c r="A4009" s="1">
        <v>2310050045</v>
      </c>
      <c r="B4009" s="1" t="s">
        <v>2261</v>
      </c>
      <c r="C4009" s="1" t="s">
        <v>2248</v>
      </c>
      <c r="D4009" s="1" t="s">
        <v>2249</v>
      </c>
      <c r="E4009" s="3">
        <v>263.31</v>
      </c>
      <c r="F4009" s="1" t="s">
        <v>89</v>
      </c>
      <c r="G4009" s="3">
        <v>0</v>
      </c>
      <c r="H4009" s="3">
        <v>2989.63</v>
      </c>
      <c r="I4009" s="1">
        <v>3.988721</v>
      </c>
    </row>
    <row r="4010" spans="1:9" x14ac:dyDescent="0.25">
      <c r="A4010" s="1">
        <v>2310050046</v>
      </c>
      <c r="B4010" s="1" t="s">
        <v>2262</v>
      </c>
      <c r="C4010" s="1" t="s">
        <v>2248</v>
      </c>
      <c r="D4010" s="1" t="s">
        <v>2249</v>
      </c>
      <c r="E4010" s="3">
        <v>189.428</v>
      </c>
      <c r="F4010" s="1" t="s">
        <v>89</v>
      </c>
      <c r="G4010" s="1">
        <v>0</v>
      </c>
      <c r="H4010" s="3">
        <v>1468.58</v>
      </c>
      <c r="I4010" s="1">
        <v>8.33277</v>
      </c>
    </row>
    <row r="4011" spans="1:9" x14ac:dyDescent="0.25">
      <c r="A4011" s="1">
        <v>2310050047</v>
      </c>
      <c r="B4011" s="1" t="s">
        <v>2263</v>
      </c>
      <c r="C4011" s="1" t="s">
        <v>2248</v>
      </c>
      <c r="D4011" s="1" t="s">
        <v>2249</v>
      </c>
      <c r="E4011" s="1">
        <v>71.007999999999996</v>
      </c>
      <c r="F4011" s="1" t="s">
        <v>89</v>
      </c>
      <c r="G4011" s="1">
        <v>0</v>
      </c>
      <c r="H4011" s="3">
        <v>1468.58</v>
      </c>
      <c r="I4011" s="1">
        <v>8.6345200000000002</v>
      </c>
    </row>
    <row r="4012" spans="1:9" x14ac:dyDescent="0.25">
      <c r="A4012" s="1">
        <v>2310050048</v>
      </c>
      <c r="B4012" s="1" t="s">
        <v>2264</v>
      </c>
      <c r="C4012" s="1" t="s">
        <v>2248</v>
      </c>
      <c r="D4012" s="1" t="s">
        <v>2249</v>
      </c>
      <c r="E4012" s="1">
        <v>105.008</v>
      </c>
      <c r="F4012" s="1" t="s">
        <v>89</v>
      </c>
      <c r="G4012" s="1">
        <v>0</v>
      </c>
      <c r="H4012" s="3">
        <v>1468.58</v>
      </c>
      <c r="I4012" s="1">
        <v>8.4980189999999993</v>
      </c>
    </row>
    <row r="4013" spans="1:9" x14ac:dyDescent="0.25">
      <c r="A4013" s="1">
        <v>2310050049</v>
      </c>
      <c r="B4013" s="1" t="s">
        <v>2265</v>
      </c>
      <c r="C4013" s="1" t="s">
        <v>2248</v>
      </c>
      <c r="D4013" s="1" t="s">
        <v>2249</v>
      </c>
      <c r="E4013" s="1">
        <v>37.508000000000003</v>
      </c>
      <c r="F4013" s="1" t="s">
        <v>89</v>
      </c>
      <c r="G4013" s="1">
        <v>0</v>
      </c>
      <c r="H4013" s="3">
        <v>1468.58</v>
      </c>
      <c r="I4013" s="1">
        <v>8.4667270000000006</v>
      </c>
    </row>
    <row r="4014" spans="1:9" x14ac:dyDescent="0.25">
      <c r="A4014" s="1">
        <v>2310050050</v>
      </c>
      <c r="B4014" s="1" t="s">
        <v>2266</v>
      </c>
      <c r="C4014" s="1" t="s">
        <v>2248</v>
      </c>
      <c r="D4014" s="1" t="s">
        <v>2249</v>
      </c>
      <c r="E4014" s="1">
        <v>52.508000000000003</v>
      </c>
      <c r="F4014" s="1" t="s">
        <v>89</v>
      </c>
      <c r="G4014" s="1">
        <v>0</v>
      </c>
      <c r="H4014" s="3">
        <v>1468.58</v>
      </c>
      <c r="I4014" s="1">
        <v>8.5141310000000008</v>
      </c>
    </row>
    <row r="4015" spans="1:9" x14ac:dyDescent="0.25">
      <c r="A4015" s="1">
        <v>2310050053</v>
      </c>
      <c r="B4015" s="1" t="s">
        <v>2267</v>
      </c>
      <c r="C4015" s="1" t="s">
        <v>2248</v>
      </c>
      <c r="D4015" s="1" t="s">
        <v>2249</v>
      </c>
      <c r="E4015" s="3">
        <v>0</v>
      </c>
      <c r="F4015" s="1" t="s">
        <v>89</v>
      </c>
      <c r="G4015" s="3">
        <v>0</v>
      </c>
      <c r="H4015" s="1">
        <v>1.7</v>
      </c>
      <c r="I4015" s="1">
        <v>19.214753999999999</v>
      </c>
    </row>
    <row r="4016" spans="1:9" x14ac:dyDescent="0.25">
      <c r="A4016" s="1">
        <v>2310050054</v>
      </c>
      <c r="B4016" s="1" t="s">
        <v>2268</v>
      </c>
      <c r="C4016" s="1" t="s">
        <v>2248</v>
      </c>
      <c r="D4016" s="1" t="s">
        <v>2249</v>
      </c>
      <c r="E4016" s="3">
        <v>0</v>
      </c>
      <c r="F4016" s="1" t="s">
        <v>89</v>
      </c>
      <c r="G4016" s="3">
        <v>0</v>
      </c>
      <c r="H4016" s="1">
        <v>5.8</v>
      </c>
      <c r="I4016" s="1">
        <v>25.015000000000001</v>
      </c>
    </row>
    <row r="4017" spans="1:9" x14ac:dyDescent="0.25">
      <c r="A4017" s="1">
        <v>2310050082</v>
      </c>
      <c r="B4017" s="1" t="s">
        <v>2269</v>
      </c>
      <c r="C4017" s="1" t="s">
        <v>130</v>
      </c>
      <c r="D4017" s="1" t="s">
        <v>131</v>
      </c>
      <c r="E4017" s="1">
        <v>16</v>
      </c>
      <c r="F4017" s="1" t="s">
        <v>89</v>
      </c>
      <c r="G4017" s="1">
        <v>0</v>
      </c>
      <c r="H4017" s="3">
        <v>0</v>
      </c>
      <c r="I4017" s="1">
        <v>3.6018750000000002</v>
      </c>
    </row>
    <row r="4018" spans="1:9" x14ac:dyDescent="0.25">
      <c r="A4018" s="1">
        <v>2310050083</v>
      </c>
      <c r="B4018" s="1" t="s">
        <v>2270</v>
      </c>
      <c r="C4018" s="1" t="s">
        <v>130</v>
      </c>
      <c r="D4018" s="1" t="s">
        <v>131</v>
      </c>
      <c r="E4018" s="1">
        <v>29</v>
      </c>
      <c r="F4018" s="1" t="s">
        <v>89</v>
      </c>
      <c r="G4018" s="1">
        <v>0</v>
      </c>
      <c r="H4018" s="1">
        <v>0</v>
      </c>
      <c r="I4018" s="1">
        <v>3.6020690000000002</v>
      </c>
    </row>
    <row r="4019" spans="1:9" x14ac:dyDescent="0.25">
      <c r="A4019" s="1">
        <v>2310050125</v>
      </c>
      <c r="B4019" s="1" t="s">
        <v>2271</v>
      </c>
      <c r="C4019" s="1" t="s">
        <v>130</v>
      </c>
      <c r="D4019" s="1" t="s">
        <v>131</v>
      </c>
      <c r="E4019" s="3">
        <v>25</v>
      </c>
      <c r="F4019" s="1" t="s">
        <v>89</v>
      </c>
      <c r="G4019" s="3">
        <v>0</v>
      </c>
      <c r="H4019" s="1">
        <v>0</v>
      </c>
      <c r="I4019" s="1">
        <v>3.6032000000000002</v>
      </c>
    </row>
    <row r="4020" spans="1:9" x14ac:dyDescent="0.25">
      <c r="A4020" s="1">
        <v>2310050138</v>
      </c>
      <c r="B4020" s="1" t="s">
        <v>2272</v>
      </c>
      <c r="C4020" s="1" t="s">
        <v>2248</v>
      </c>
      <c r="D4020" s="1" t="s">
        <v>2249</v>
      </c>
      <c r="E4020" s="3">
        <v>154.99799999999999</v>
      </c>
      <c r="F4020" s="1" t="s">
        <v>89</v>
      </c>
      <c r="G4020" s="3">
        <v>0</v>
      </c>
      <c r="H4020" s="3">
        <v>1468.58</v>
      </c>
      <c r="I4020" s="1">
        <v>8.4315929999999994</v>
      </c>
    </row>
    <row r="4021" spans="1:9" x14ac:dyDescent="0.25">
      <c r="A4021" s="1">
        <v>2310070082</v>
      </c>
      <c r="B4021" s="1" t="s">
        <v>2273</v>
      </c>
      <c r="C4021" s="1" t="s">
        <v>2248</v>
      </c>
      <c r="D4021" s="1" t="s">
        <v>2249</v>
      </c>
      <c r="E4021" s="1">
        <v>27.530100000000001</v>
      </c>
      <c r="F4021" s="1" t="s">
        <v>89</v>
      </c>
      <c r="G4021" s="1">
        <v>0</v>
      </c>
      <c r="H4021" s="1">
        <v>35</v>
      </c>
      <c r="I4021" s="1">
        <v>3.9854560000000001</v>
      </c>
    </row>
    <row r="4022" spans="1:9" x14ac:dyDescent="0.25">
      <c r="A4022" s="1">
        <v>2310080018</v>
      </c>
      <c r="B4022" s="1" t="s">
        <v>2274</v>
      </c>
      <c r="C4022" s="1" t="s">
        <v>130</v>
      </c>
      <c r="D4022" s="1" t="s">
        <v>131</v>
      </c>
      <c r="E4022" s="1">
        <v>134.5</v>
      </c>
      <c r="F4022" s="1" t="s">
        <v>89</v>
      </c>
      <c r="G4022" s="1">
        <v>0</v>
      </c>
      <c r="H4022" s="1">
        <v>0</v>
      </c>
      <c r="I4022" s="1">
        <v>24.522528000000001</v>
      </c>
    </row>
    <row r="4023" spans="1:9" x14ac:dyDescent="0.25">
      <c r="A4023" s="1">
        <v>2310090074</v>
      </c>
      <c r="B4023" s="1" t="s">
        <v>2275</v>
      </c>
      <c r="C4023" s="1" t="s">
        <v>130</v>
      </c>
      <c r="D4023" s="1" t="s">
        <v>131</v>
      </c>
      <c r="E4023" s="3">
        <v>26486.1374</v>
      </c>
      <c r="F4023" s="1" t="s">
        <v>36</v>
      </c>
      <c r="G4023" s="1">
        <v>0</v>
      </c>
      <c r="H4023" s="1">
        <v>0</v>
      </c>
      <c r="I4023" s="1">
        <v>6.0572000000000001E-2</v>
      </c>
    </row>
    <row r="4024" spans="1:9" x14ac:dyDescent="0.25">
      <c r="A4024" s="1">
        <v>2310090126</v>
      </c>
      <c r="B4024" s="1" t="s">
        <v>2276</v>
      </c>
      <c r="C4024" s="1" t="s">
        <v>130</v>
      </c>
      <c r="D4024" s="1" t="s">
        <v>131</v>
      </c>
      <c r="E4024" s="3">
        <v>29002.020400000001</v>
      </c>
      <c r="F4024" s="1" t="s">
        <v>36</v>
      </c>
      <c r="G4024" s="1">
        <v>0</v>
      </c>
      <c r="H4024" s="1">
        <v>0</v>
      </c>
      <c r="I4024" s="1">
        <v>7.5638999999999998E-2</v>
      </c>
    </row>
    <row r="4025" spans="1:9" x14ac:dyDescent="0.25">
      <c r="A4025" s="1">
        <v>2310090226</v>
      </c>
      <c r="B4025" s="1" t="s">
        <v>2277</v>
      </c>
      <c r="C4025" s="1" t="s">
        <v>130</v>
      </c>
      <c r="D4025" s="1" t="s">
        <v>131</v>
      </c>
      <c r="E4025" s="3">
        <v>399971.30229999998</v>
      </c>
      <c r="F4025" s="1" t="s">
        <v>36</v>
      </c>
      <c r="G4025" s="1">
        <v>0</v>
      </c>
      <c r="H4025" s="1">
        <v>0</v>
      </c>
      <c r="I4025" s="1">
        <v>5.6198999999999999E-2</v>
      </c>
    </row>
    <row r="4026" spans="1:9" x14ac:dyDescent="0.25">
      <c r="A4026" s="1">
        <v>2310090238</v>
      </c>
      <c r="B4026" s="1" t="s">
        <v>2278</v>
      </c>
      <c r="C4026" s="1" t="s">
        <v>130</v>
      </c>
      <c r="D4026" s="1" t="s">
        <v>131</v>
      </c>
      <c r="E4026" s="3">
        <v>81930</v>
      </c>
      <c r="F4026" s="1" t="s">
        <v>36</v>
      </c>
      <c r="G4026" s="3">
        <v>0</v>
      </c>
      <c r="H4026" s="3">
        <v>0</v>
      </c>
      <c r="I4026" s="1">
        <v>0.100935</v>
      </c>
    </row>
    <row r="4027" spans="1:9" x14ac:dyDescent="0.25">
      <c r="A4027" s="1">
        <v>2310090251</v>
      </c>
      <c r="B4027" s="1" t="s">
        <v>2279</v>
      </c>
      <c r="C4027" s="1" t="s">
        <v>130</v>
      </c>
      <c r="D4027" s="1" t="s">
        <v>131</v>
      </c>
      <c r="E4027" s="3">
        <v>619909.27419999999</v>
      </c>
      <c r="F4027" s="1" t="s">
        <v>36</v>
      </c>
      <c r="G4027" s="1">
        <v>0</v>
      </c>
      <c r="H4027" s="1">
        <v>0</v>
      </c>
      <c r="I4027" s="1">
        <v>4.7613999999999997E-2</v>
      </c>
    </row>
    <row r="4028" spans="1:9" x14ac:dyDescent="0.25">
      <c r="A4028" s="1">
        <v>2310090252</v>
      </c>
      <c r="B4028" s="1" t="s">
        <v>2280</v>
      </c>
      <c r="C4028" s="1" t="s">
        <v>130</v>
      </c>
      <c r="D4028" s="1" t="s">
        <v>131</v>
      </c>
      <c r="E4028" s="3">
        <v>735596.2</v>
      </c>
      <c r="F4028" s="1" t="s">
        <v>36</v>
      </c>
      <c r="G4028" s="1">
        <v>0</v>
      </c>
      <c r="H4028" s="1">
        <v>0</v>
      </c>
      <c r="I4028" s="1">
        <v>0.109429</v>
      </c>
    </row>
    <row r="4029" spans="1:9" x14ac:dyDescent="0.25">
      <c r="A4029" s="1">
        <v>2310090253</v>
      </c>
      <c r="B4029" s="1" t="s">
        <v>2281</v>
      </c>
      <c r="C4029" s="1" t="s">
        <v>130</v>
      </c>
      <c r="D4029" s="1" t="s">
        <v>131</v>
      </c>
      <c r="E4029" s="3">
        <v>7312</v>
      </c>
      <c r="F4029" s="1" t="s">
        <v>36</v>
      </c>
      <c r="G4029" s="1">
        <v>0</v>
      </c>
      <c r="H4029" s="1">
        <v>0</v>
      </c>
      <c r="I4029" s="1">
        <v>7.9043000000000002E-2</v>
      </c>
    </row>
    <row r="4030" spans="1:9" x14ac:dyDescent="0.25">
      <c r="A4030" s="1">
        <v>2310090253</v>
      </c>
      <c r="B4030" s="1" t="s">
        <v>2281</v>
      </c>
      <c r="C4030" s="1" t="s">
        <v>142</v>
      </c>
      <c r="D4030" s="1" t="s">
        <v>143</v>
      </c>
      <c r="E4030" s="3">
        <v>6848</v>
      </c>
      <c r="F4030" s="1" t="s">
        <v>36</v>
      </c>
      <c r="G4030" s="1">
        <v>0</v>
      </c>
      <c r="H4030" s="1">
        <v>0</v>
      </c>
      <c r="I4030" s="1">
        <v>7.9044000000000003E-2</v>
      </c>
    </row>
    <row r="4031" spans="1:9" x14ac:dyDescent="0.25">
      <c r="A4031" s="1">
        <v>2310090351</v>
      </c>
      <c r="B4031" s="1" t="s">
        <v>2282</v>
      </c>
      <c r="C4031" s="1" t="s">
        <v>130</v>
      </c>
      <c r="D4031" s="1" t="s">
        <v>131</v>
      </c>
      <c r="E4031" s="3">
        <v>42099.49</v>
      </c>
      <c r="F4031" s="1" t="s">
        <v>36</v>
      </c>
      <c r="G4031" s="1">
        <v>0</v>
      </c>
      <c r="H4031" s="1">
        <v>0</v>
      </c>
      <c r="I4031" s="1">
        <v>8.3562999999999998E-2</v>
      </c>
    </row>
    <row r="4032" spans="1:9" x14ac:dyDescent="0.25">
      <c r="A4032" s="1">
        <v>2310090354</v>
      </c>
      <c r="B4032" s="1" t="s">
        <v>2283</v>
      </c>
      <c r="C4032" s="1" t="s">
        <v>130</v>
      </c>
      <c r="D4032" s="1" t="s">
        <v>131</v>
      </c>
      <c r="E4032" s="1">
        <v>897.95920000000001</v>
      </c>
      <c r="F4032" s="1" t="s">
        <v>36</v>
      </c>
      <c r="G4032" s="1">
        <v>0</v>
      </c>
      <c r="H4032" s="1">
        <v>0</v>
      </c>
      <c r="I4032" s="1">
        <v>8.0360000000000001E-2</v>
      </c>
    </row>
    <row r="4033" spans="1:9" x14ac:dyDescent="0.25">
      <c r="A4033" s="1">
        <v>2310090358</v>
      </c>
      <c r="B4033" s="1" t="s">
        <v>2284</v>
      </c>
      <c r="C4033" s="1" t="s">
        <v>130</v>
      </c>
      <c r="D4033" s="1" t="s">
        <v>131</v>
      </c>
      <c r="E4033" s="3">
        <v>3766.4897999999998</v>
      </c>
      <c r="F4033" s="1" t="s">
        <v>36</v>
      </c>
      <c r="G4033" s="1">
        <v>0</v>
      </c>
      <c r="H4033" s="1">
        <v>0</v>
      </c>
      <c r="I4033" s="1">
        <v>8.2926E-2</v>
      </c>
    </row>
    <row r="4034" spans="1:9" x14ac:dyDescent="0.25">
      <c r="A4034" s="1">
        <v>2310090363</v>
      </c>
      <c r="B4034" s="1" t="s">
        <v>2285</v>
      </c>
      <c r="C4034" s="1" t="s">
        <v>130</v>
      </c>
      <c r="D4034" s="1" t="s">
        <v>131</v>
      </c>
      <c r="E4034" s="3">
        <v>12380.9524</v>
      </c>
      <c r="F4034" s="1" t="s">
        <v>36</v>
      </c>
      <c r="G4034" s="1">
        <v>0</v>
      </c>
      <c r="H4034" s="1">
        <v>0</v>
      </c>
      <c r="I4034" s="1">
        <v>0.115429</v>
      </c>
    </row>
    <row r="4035" spans="1:9" x14ac:dyDescent="0.25">
      <c r="A4035" s="1">
        <v>2310090374</v>
      </c>
      <c r="B4035" s="1" t="s">
        <v>2286</v>
      </c>
      <c r="C4035" s="1" t="s">
        <v>130</v>
      </c>
      <c r="D4035" s="1" t="s">
        <v>131</v>
      </c>
      <c r="E4035" s="3">
        <v>2078</v>
      </c>
      <c r="F4035" s="1" t="s">
        <v>36</v>
      </c>
      <c r="G4035" s="1">
        <v>0</v>
      </c>
      <c r="H4035" s="1">
        <v>0</v>
      </c>
      <c r="I4035" s="1">
        <v>3.0596999999999999E-2</v>
      </c>
    </row>
    <row r="4036" spans="1:9" x14ac:dyDescent="0.25">
      <c r="A4036" s="1">
        <v>2310090393</v>
      </c>
      <c r="B4036" s="1" t="s">
        <v>2287</v>
      </c>
      <c r="C4036" s="1" t="s">
        <v>130</v>
      </c>
      <c r="D4036" s="1" t="s">
        <v>131</v>
      </c>
      <c r="E4036" s="3">
        <v>2771.8044</v>
      </c>
      <c r="F4036" s="1" t="s">
        <v>36</v>
      </c>
      <c r="G4036" s="1">
        <v>0</v>
      </c>
      <c r="H4036" s="1">
        <v>0</v>
      </c>
      <c r="I4036" s="1">
        <v>3.4826000000000003E-2</v>
      </c>
    </row>
    <row r="4037" spans="1:9" x14ac:dyDescent="0.25">
      <c r="A4037" s="1">
        <v>2310090394</v>
      </c>
      <c r="B4037" s="1" t="s">
        <v>2288</v>
      </c>
      <c r="C4037" s="1" t="s">
        <v>130</v>
      </c>
      <c r="D4037" s="1" t="s">
        <v>131</v>
      </c>
      <c r="E4037" s="3">
        <v>2951</v>
      </c>
      <c r="F4037" s="1" t="s">
        <v>36</v>
      </c>
      <c r="G4037" s="1">
        <v>0</v>
      </c>
      <c r="H4037" s="1">
        <v>0</v>
      </c>
      <c r="I4037" s="1">
        <v>3.1488000000000002E-2</v>
      </c>
    </row>
    <row r="4038" spans="1:9" x14ac:dyDescent="0.25">
      <c r="A4038" s="1">
        <v>2310090395</v>
      </c>
      <c r="B4038" s="1" t="s">
        <v>2289</v>
      </c>
      <c r="C4038" s="1" t="s">
        <v>130</v>
      </c>
      <c r="D4038" s="1" t="s">
        <v>131</v>
      </c>
      <c r="E4038" s="3">
        <v>2745.5180999999998</v>
      </c>
      <c r="F4038" s="1" t="s">
        <v>36</v>
      </c>
      <c r="G4038" s="1">
        <v>0</v>
      </c>
      <c r="H4038" s="1">
        <v>0</v>
      </c>
      <c r="I4038" s="1">
        <v>9.3436000000000005E-2</v>
      </c>
    </row>
    <row r="4039" spans="1:9" x14ac:dyDescent="0.25">
      <c r="A4039" s="1">
        <v>2310090396</v>
      </c>
      <c r="B4039" s="1" t="s">
        <v>2290</v>
      </c>
      <c r="C4039" s="1" t="s">
        <v>130</v>
      </c>
      <c r="D4039" s="1" t="s">
        <v>131</v>
      </c>
      <c r="E4039" s="1">
        <v>451</v>
      </c>
      <c r="F4039" s="1" t="s">
        <v>36</v>
      </c>
      <c r="G4039" s="1">
        <v>0</v>
      </c>
      <c r="H4039" s="1">
        <v>0</v>
      </c>
      <c r="I4039" s="1">
        <v>3.4522999999999998E-2</v>
      </c>
    </row>
    <row r="4040" spans="1:9" x14ac:dyDescent="0.25">
      <c r="A4040" s="1">
        <v>2310090397</v>
      </c>
      <c r="B4040" s="1" t="s">
        <v>2291</v>
      </c>
      <c r="C4040" s="1" t="s">
        <v>130</v>
      </c>
      <c r="D4040" s="1" t="s">
        <v>131</v>
      </c>
      <c r="E4040" s="3">
        <v>813.44579999999996</v>
      </c>
      <c r="F4040" s="1" t="s">
        <v>36</v>
      </c>
      <c r="G4040" s="1">
        <v>0</v>
      </c>
      <c r="H4040" s="1">
        <v>0</v>
      </c>
      <c r="I4040" s="1">
        <v>4.4685999999999997E-2</v>
      </c>
    </row>
    <row r="4041" spans="1:9" x14ac:dyDescent="0.25">
      <c r="A4041" s="1">
        <v>2310090398</v>
      </c>
      <c r="B4041" s="1" t="s">
        <v>2292</v>
      </c>
      <c r="C4041" s="1" t="s">
        <v>130</v>
      </c>
      <c r="D4041" s="1" t="s">
        <v>131</v>
      </c>
      <c r="E4041" s="3">
        <v>602.44579999999996</v>
      </c>
      <c r="F4041" s="1" t="s">
        <v>36</v>
      </c>
      <c r="G4041" s="1">
        <v>0</v>
      </c>
      <c r="H4041" s="1">
        <v>0</v>
      </c>
      <c r="I4041" s="1">
        <v>4.0982999999999999E-2</v>
      </c>
    </row>
    <row r="4042" spans="1:9" x14ac:dyDescent="0.25">
      <c r="A4042" s="1">
        <v>2310090399</v>
      </c>
      <c r="B4042" s="1" t="s">
        <v>2293</v>
      </c>
      <c r="C4042" s="1" t="s">
        <v>130</v>
      </c>
      <c r="D4042" s="1" t="s">
        <v>131</v>
      </c>
      <c r="E4042" s="1">
        <v>993</v>
      </c>
      <c r="F4042" s="1" t="s">
        <v>36</v>
      </c>
      <c r="G4042" s="1">
        <v>0</v>
      </c>
      <c r="H4042" s="1">
        <v>0</v>
      </c>
      <c r="I4042" s="1">
        <v>6.1046999999999997E-2</v>
      </c>
    </row>
    <row r="4043" spans="1:9" x14ac:dyDescent="0.25">
      <c r="A4043" s="1">
        <v>2310090400</v>
      </c>
      <c r="B4043" s="1" t="s">
        <v>2294</v>
      </c>
      <c r="C4043" s="1" t="s">
        <v>130</v>
      </c>
      <c r="D4043" s="1" t="s">
        <v>131</v>
      </c>
      <c r="E4043" s="3">
        <v>2801</v>
      </c>
      <c r="F4043" s="1" t="s">
        <v>36</v>
      </c>
      <c r="G4043" s="1">
        <v>0</v>
      </c>
      <c r="H4043" s="1">
        <v>0</v>
      </c>
      <c r="I4043" s="1">
        <v>3.4376999999999998E-2</v>
      </c>
    </row>
    <row r="4044" spans="1:9" x14ac:dyDescent="0.25">
      <c r="A4044" s="1">
        <v>2310090402</v>
      </c>
      <c r="B4044" s="1" t="s">
        <v>2295</v>
      </c>
      <c r="C4044" s="1" t="s">
        <v>130</v>
      </c>
      <c r="D4044" s="1" t="s">
        <v>131</v>
      </c>
      <c r="E4044" s="1">
        <v>301</v>
      </c>
      <c r="F4044" s="1" t="s">
        <v>36</v>
      </c>
      <c r="G4044" s="1">
        <v>0</v>
      </c>
      <c r="H4044" s="1">
        <v>0</v>
      </c>
      <c r="I4044" s="1">
        <v>3.4319000000000002E-2</v>
      </c>
    </row>
    <row r="4045" spans="1:9" x14ac:dyDescent="0.25">
      <c r="A4045" s="1">
        <v>2310090404</v>
      </c>
      <c r="B4045" s="1" t="s">
        <v>2296</v>
      </c>
      <c r="C4045" s="1" t="s">
        <v>130</v>
      </c>
      <c r="D4045" s="1" t="s">
        <v>131</v>
      </c>
      <c r="E4045" s="3">
        <v>2018.9157</v>
      </c>
      <c r="F4045" s="1" t="s">
        <v>36</v>
      </c>
      <c r="G4045" s="1">
        <v>0</v>
      </c>
      <c r="H4045" s="1">
        <v>0</v>
      </c>
      <c r="I4045" s="1">
        <v>7.349E-2</v>
      </c>
    </row>
    <row r="4046" spans="1:9" x14ac:dyDescent="0.25">
      <c r="A4046" s="1">
        <v>2310090405</v>
      </c>
      <c r="B4046" s="1" t="s">
        <v>2297</v>
      </c>
      <c r="C4046" s="1" t="s">
        <v>130</v>
      </c>
      <c r="D4046" s="1" t="s">
        <v>131</v>
      </c>
      <c r="E4046" s="1">
        <v>150.44579999999999</v>
      </c>
      <c r="F4046" s="1" t="s">
        <v>36</v>
      </c>
      <c r="G4046" s="1">
        <v>0</v>
      </c>
      <c r="H4046" s="1">
        <v>0</v>
      </c>
      <c r="I4046" s="1">
        <v>3.2437000000000001E-2</v>
      </c>
    </row>
    <row r="4047" spans="1:9" x14ac:dyDescent="0.25">
      <c r="A4047" s="1">
        <v>2310090439</v>
      </c>
      <c r="B4047" s="1" t="s">
        <v>35</v>
      </c>
      <c r="C4047" s="1" t="s">
        <v>130</v>
      </c>
      <c r="D4047" s="1" t="s">
        <v>131</v>
      </c>
      <c r="E4047" s="3">
        <v>15588.722900000001</v>
      </c>
      <c r="F4047" s="1" t="s">
        <v>36</v>
      </c>
      <c r="G4047" s="1">
        <v>0</v>
      </c>
      <c r="H4047" s="1">
        <v>0</v>
      </c>
      <c r="I4047" s="1">
        <v>5.5183000000000003E-2</v>
      </c>
    </row>
    <row r="4048" spans="1:9" x14ac:dyDescent="0.25">
      <c r="A4048" s="1">
        <v>2310090440</v>
      </c>
      <c r="B4048" s="1" t="s">
        <v>47</v>
      </c>
      <c r="C4048" s="1" t="s">
        <v>130</v>
      </c>
      <c r="D4048" s="1" t="s">
        <v>131</v>
      </c>
      <c r="E4048" s="3">
        <v>10963.722900000001</v>
      </c>
      <c r="F4048" s="1" t="s">
        <v>36</v>
      </c>
      <c r="G4048" s="1">
        <v>0</v>
      </c>
      <c r="H4048" s="1">
        <v>0</v>
      </c>
      <c r="I4048" s="1">
        <v>2.4605999999999999E-2</v>
      </c>
    </row>
    <row r="4049" spans="1:9" x14ac:dyDescent="0.25">
      <c r="A4049" s="1">
        <v>2310090441</v>
      </c>
      <c r="B4049" s="1" t="s">
        <v>43</v>
      </c>
      <c r="C4049" s="1" t="s">
        <v>130</v>
      </c>
      <c r="D4049" s="1" t="s">
        <v>131</v>
      </c>
      <c r="E4049" s="3">
        <v>47515.084300000002</v>
      </c>
      <c r="F4049" s="1" t="s">
        <v>36</v>
      </c>
      <c r="G4049" s="3">
        <v>11200</v>
      </c>
      <c r="H4049" s="1">
        <v>0</v>
      </c>
      <c r="I4049" s="1">
        <v>2.9652000000000001E-2</v>
      </c>
    </row>
    <row r="4050" spans="1:9" x14ac:dyDescent="0.25">
      <c r="A4050" s="1">
        <v>2310090441</v>
      </c>
      <c r="B4050" s="1" t="s">
        <v>43</v>
      </c>
      <c r="C4050" s="1" t="s">
        <v>142</v>
      </c>
      <c r="D4050" s="1" t="s">
        <v>143</v>
      </c>
      <c r="E4050" s="1">
        <v>0</v>
      </c>
      <c r="F4050" s="1" t="s">
        <v>36</v>
      </c>
      <c r="G4050" s="1">
        <v>0</v>
      </c>
      <c r="H4050" s="3">
        <v>11200</v>
      </c>
      <c r="I4050" s="1">
        <v>2.9652000000000001E-2</v>
      </c>
    </row>
    <row r="4051" spans="1:9" x14ac:dyDescent="0.25">
      <c r="A4051" s="1">
        <v>2310090442</v>
      </c>
      <c r="B4051" s="1" t="s">
        <v>51</v>
      </c>
      <c r="C4051" s="1" t="s">
        <v>130</v>
      </c>
      <c r="D4051" s="1" t="s">
        <v>131</v>
      </c>
      <c r="E4051" s="3">
        <v>4921.1687000000002</v>
      </c>
      <c r="F4051" s="1" t="s">
        <v>36</v>
      </c>
      <c r="G4051" s="1">
        <v>0</v>
      </c>
      <c r="H4051" s="3">
        <v>0</v>
      </c>
      <c r="I4051" s="1">
        <v>3.1078000000000001E-2</v>
      </c>
    </row>
    <row r="4052" spans="1:9" x14ac:dyDescent="0.25">
      <c r="A4052" s="1">
        <v>2310090443</v>
      </c>
      <c r="B4052" s="1" t="s">
        <v>55</v>
      </c>
      <c r="C4052" s="1" t="s">
        <v>130</v>
      </c>
      <c r="D4052" s="1" t="s">
        <v>131</v>
      </c>
      <c r="E4052" s="3">
        <v>40691.530100000004</v>
      </c>
      <c r="F4052" s="1" t="s">
        <v>36</v>
      </c>
      <c r="G4052" s="1">
        <v>0</v>
      </c>
      <c r="H4052" s="1">
        <v>0</v>
      </c>
      <c r="I4052" s="1">
        <v>3.2197999999999997E-2</v>
      </c>
    </row>
    <row r="4053" spans="1:9" x14ac:dyDescent="0.25">
      <c r="A4053" s="1">
        <v>2310090444</v>
      </c>
      <c r="B4053" s="1" t="s">
        <v>59</v>
      </c>
      <c r="C4053" s="1" t="s">
        <v>130</v>
      </c>
      <c r="D4053" s="1" t="s">
        <v>131</v>
      </c>
      <c r="E4053" s="3">
        <v>3373</v>
      </c>
      <c r="F4053" s="1" t="s">
        <v>36</v>
      </c>
      <c r="G4053" s="1">
        <v>0</v>
      </c>
      <c r="H4053" s="1">
        <v>0</v>
      </c>
      <c r="I4053" s="1">
        <v>3.2523000000000003E-2</v>
      </c>
    </row>
    <row r="4054" spans="1:9" x14ac:dyDescent="0.25">
      <c r="A4054" s="1">
        <v>2310090445</v>
      </c>
      <c r="B4054" s="1" t="s">
        <v>80</v>
      </c>
      <c r="C4054" s="1" t="s">
        <v>130</v>
      </c>
      <c r="D4054" s="1" t="s">
        <v>131</v>
      </c>
      <c r="E4054" s="3">
        <v>1588.3253</v>
      </c>
      <c r="F4054" s="1" t="s">
        <v>36</v>
      </c>
      <c r="G4054" s="1">
        <v>0</v>
      </c>
      <c r="H4054" s="1">
        <v>0</v>
      </c>
      <c r="I4054" s="1">
        <v>3.1757000000000001E-2</v>
      </c>
    </row>
    <row r="4055" spans="1:9" x14ac:dyDescent="0.25">
      <c r="A4055" s="1">
        <v>2310090446</v>
      </c>
      <c r="B4055" s="1" t="s">
        <v>67</v>
      </c>
      <c r="C4055" s="1" t="s">
        <v>130</v>
      </c>
      <c r="D4055" s="1" t="s">
        <v>131</v>
      </c>
      <c r="E4055" s="3">
        <v>11015.024100000001</v>
      </c>
      <c r="F4055" s="1" t="s">
        <v>36</v>
      </c>
      <c r="G4055" s="1">
        <v>0</v>
      </c>
      <c r="H4055" s="3">
        <v>0</v>
      </c>
      <c r="I4055" s="1">
        <v>3.4209999999999997E-2</v>
      </c>
    </row>
    <row r="4056" spans="1:9" x14ac:dyDescent="0.25">
      <c r="A4056" s="1">
        <v>2310090447</v>
      </c>
      <c r="B4056" s="1" t="s">
        <v>63</v>
      </c>
      <c r="C4056" s="1" t="s">
        <v>130</v>
      </c>
      <c r="D4056" s="1" t="s">
        <v>131</v>
      </c>
      <c r="E4056" s="3">
        <v>4725</v>
      </c>
      <c r="F4056" s="1" t="s">
        <v>36</v>
      </c>
      <c r="G4056" s="1">
        <v>0</v>
      </c>
      <c r="H4056" s="1">
        <v>0</v>
      </c>
      <c r="I4056" s="1">
        <v>3.7928000000000003E-2</v>
      </c>
    </row>
    <row r="4057" spans="1:9" x14ac:dyDescent="0.25">
      <c r="A4057" s="1">
        <v>2310090448</v>
      </c>
      <c r="B4057" s="1" t="s">
        <v>76</v>
      </c>
      <c r="C4057" s="1" t="s">
        <v>130</v>
      </c>
      <c r="D4057" s="1" t="s">
        <v>131</v>
      </c>
      <c r="E4057" s="3">
        <v>4096</v>
      </c>
      <c r="F4057" s="1" t="s">
        <v>36</v>
      </c>
      <c r="G4057" s="1">
        <v>0</v>
      </c>
      <c r="H4057" s="1">
        <v>0</v>
      </c>
      <c r="I4057" s="1">
        <v>2.9846000000000001E-2</v>
      </c>
    </row>
    <row r="4058" spans="1:9" x14ac:dyDescent="0.25">
      <c r="A4058" s="1">
        <v>2310090450</v>
      </c>
      <c r="B4058" s="1" t="s">
        <v>84</v>
      </c>
      <c r="C4058" s="1" t="s">
        <v>130</v>
      </c>
      <c r="D4058" s="1" t="s">
        <v>131</v>
      </c>
      <c r="E4058" s="3">
        <v>18049.433700000001</v>
      </c>
      <c r="F4058" s="1" t="s">
        <v>36</v>
      </c>
      <c r="G4058" s="1">
        <v>0</v>
      </c>
      <c r="H4058" s="1">
        <v>0</v>
      </c>
      <c r="I4058" s="1">
        <v>5.8645999999999997E-2</v>
      </c>
    </row>
    <row r="4059" spans="1:9" x14ac:dyDescent="0.25">
      <c r="A4059" s="1">
        <v>2310090457</v>
      </c>
      <c r="B4059" s="1" t="s">
        <v>2298</v>
      </c>
      <c r="C4059" s="1" t="s">
        <v>130</v>
      </c>
      <c r="D4059" s="1" t="s">
        <v>131</v>
      </c>
      <c r="E4059" s="3">
        <v>13856</v>
      </c>
      <c r="F4059" s="1" t="s">
        <v>36</v>
      </c>
      <c r="G4059" s="1">
        <v>0</v>
      </c>
      <c r="H4059" s="1">
        <v>0</v>
      </c>
      <c r="I4059" s="1">
        <v>3.7539999999999997E-2</v>
      </c>
    </row>
    <row r="4060" spans="1:9" x14ac:dyDescent="0.25">
      <c r="A4060" s="1">
        <v>2310090458</v>
      </c>
      <c r="B4060" s="1" t="s">
        <v>2299</v>
      </c>
      <c r="C4060" s="1" t="s">
        <v>130</v>
      </c>
      <c r="D4060" s="1" t="s">
        <v>131</v>
      </c>
      <c r="E4060" s="3">
        <v>39900</v>
      </c>
      <c r="F4060" s="1" t="s">
        <v>36</v>
      </c>
      <c r="G4060" s="3">
        <v>20500</v>
      </c>
      <c r="H4060" s="1">
        <v>0</v>
      </c>
      <c r="I4060" s="1">
        <v>4.0030000000000003E-2</v>
      </c>
    </row>
    <row r="4061" spans="1:9" x14ac:dyDescent="0.25">
      <c r="A4061" s="1">
        <v>2310090458</v>
      </c>
      <c r="B4061" s="1" t="s">
        <v>2299</v>
      </c>
      <c r="C4061" s="1" t="s">
        <v>142</v>
      </c>
      <c r="D4061" s="1" t="s">
        <v>143</v>
      </c>
      <c r="E4061" s="1">
        <v>0</v>
      </c>
      <c r="F4061" s="1" t="s">
        <v>36</v>
      </c>
      <c r="G4061" s="1">
        <v>0</v>
      </c>
      <c r="H4061" s="3">
        <v>20500</v>
      </c>
      <c r="I4061" s="1">
        <v>4.0030000000000003E-2</v>
      </c>
    </row>
    <row r="4062" spans="1:9" x14ac:dyDescent="0.25">
      <c r="A4062" s="1">
        <v>2310090460</v>
      </c>
      <c r="B4062" s="1" t="s">
        <v>2300</v>
      </c>
      <c r="C4062" s="1" t="s">
        <v>130</v>
      </c>
      <c r="D4062" s="1" t="s">
        <v>131</v>
      </c>
      <c r="E4062" s="1">
        <v>220.9032</v>
      </c>
      <c r="F4062" s="1" t="s">
        <v>36</v>
      </c>
      <c r="G4062" s="1">
        <v>0</v>
      </c>
      <c r="H4062" s="1">
        <v>0</v>
      </c>
      <c r="I4062" s="1">
        <v>4.0153000000000001E-2</v>
      </c>
    </row>
    <row r="4063" spans="1:9" x14ac:dyDescent="0.25">
      <c r="A4063" s="1">
        <v>2310090462</v>
      </c>
      <c r="B4063" s="1" t="s">
        <v>2301</v>
      </c>
      <c r="C4063" s="1" t="s">
        <v>130</v>
      </c>
      <c r="D4063" s="1" t="s">
        <v>131</v>
      </c>
      <c r="E4063" s="1">
        <v>0</v>
      </c>
      <c r="F4063" s="1" t="s">
        <v>36</v>
      </c>
      <c r="G4063" s="3">
        <v>1046.4838999999999</v>
      </c>
      <c r="H4063" s="1">
        <v>0</v>
      </c>
      <c r="I4063" s="1">
        <v>4.6128000000000002E-2</v>
      </c>
    </row>
    <row r="4064" spans="1:9" x14ac:dyDescent="0.25">
      <c r="A4064" s="1">
        <v>2310090462</v>
      </c>
      <c r="B4064" s="1" t="s">
        <v>2301</v>
      </c>
      <c r="C4064" s="1" t="s">
        <v>142</v>
      </c>
      <c r="D4064" s="1" t="s">
        <v>143</v>
      </c>
      <c r="E4064" s="1">
        <v>0</v>
      </c>
      <c r="F4064" s="1" t="s">
        <v>36</v>
      </c>
      <c r="G4064" s="1">
        <v>0</v>
      </c>
      <c r="H4064" s="3">
        <v>1046.4838999999999</v>
      </c>
      <c r="I4064" s="1">
        <v>4.6128000000000002E-2</v>
      </c>
    </row>
    <row r="4065" spans="1:9" x14ac:dyDescent="0.25">
      <c r="A4065" s="1">
        <v>2310090463</v>
      </c>
      <c r="B4065" s="1" t="s">
        <v>2302</v>
      </c>
      <c r="C4065" s="1" t="s">
        <v>130</v>
      </c>
      <c r="D4065" s="1" t="s">
        <v>131</v>
      </c>
      <c r="E4065" s="3">
        <v>35006</v>
      </c>
      <c r="F4065" s="1" t="s">
        <v>36</v>
      </c>
      <c r="G4065" s="3">
        <v>17500</v>
      </c>
      <c r="H4065" s="1">
        <v>0</v>
      </c>
      <c r="I4065" s="1">
        <v>3.9739999999999998E-2</v>
      </c>
    </row>
    <row r="4066" spans="1:9" x14ac:dyDescent="0.25">
      <c r="A4066" s="1">
        <v>2310090463</v>
      </c>
      <c r="B4066" s="1" t="s">
        <v>2302</v>
      </c>
      <c r="C4066" s="1" t="s">
        <v>142</v>
      </c>
      <c r="D4066" s="1" t="s">
        <v>143</v>
      </c>
      <c r="E4066" s="1">
        <v>0</v>
      </c>
      <c r="F4066" s="1" t="s">
        <v>36</v>
      </c>
      <c r="G4066" s="1">
        <v>0</v>
      </c>
      <c r="H4066" s="3">
        <v>17500</v>
      </c>
      <c r="I4066" s="1">
        <v>4.0459000000000002E-2</v>
      </c>
    </row>
    <row r="4067" spans="1:9" x14ac:dyDescent="0.25">
      <c r="A4067" s="1">
        <v>2310090464</v>
      </c>
      <c r="B4067" s="1" t="s">
        <v>2303</v>
      </c>
      <c r="C4067" s="1" t="s">
        <v>130</v>
      </c>
      <c r="D4067" s="1" t="s">
        <v>131</v>
      </c>
      <c r="E4067" s="3">
        <v>14279.0645</v>
      </c>
      <c r="F4067" s="1" t="s">
        <v>36</v>
      </c>
      <c r="G4067" s="1">
        <v>0</v>
      </c>
      <c r="H4067" s="1">
        <v>0</v>
      </c>
      <c r="I4067" s="1">
        <v>4.4733000000000002E-2</v>
      </c>
    </row>
    <row r="4068" spans="1:9" x14ac:dyDescent="0.25">
      <c r="A4068" s="1">
        <v>2310090465</v>
      </c>
      <c r="B4068" s="1" t="s">
        <v>2304</v>
      </c>
      <c r="C4068" s="1" t="s">
        <v>130</v>
      </c>
      <c r="D4068" s="1" t="s">
        <v>131</v>
      </c>
      <c r="E4068" s="3">
        <v>30100</v>
      </c>
      <c r="F4068" s="1" t="s">
        <v>36</v>
      </c>
      <c r="G4068" s="3">
        <v>16500</v>
      </c>
      <c r="H4068" s="1">
        <v>0</v>
      </c>
      <c r="I4068" s="1">
        <v>4.5412000000000001E-2</v>
      </c>
    </row>
    <row r="4069" spans="1:9" x14ac:dyDescent="0.25">
      <c r="A4069" s="1">
        <v>2310090465</v>
      </c>
      <c r="B4069" s="1" t="s">
        <v>2304</v>
      </c>
      <c r="C4069" s="1" t="s">
        <v>142</v>
      </c>
      <c r="D4069" s="1" t="s">
        <v>143</v>
      </c>
      <c r="E4069" s="3">
        <v>0</v>
      </c>
      <c r="F4069" s="1" t="s">
        <v>36</v>
      </c>
      <c r="G4069" s="1">
        <v>0</v>
      </c>
      <c r="H4069" s="3">
        <v>16500</v>
      </c>
      <c r="I4069" s="1">
        <v>4.8059999999999999E-2</v>
      </c>
    </row>
    <row r="4070" spans="1:9" x14ac:dyDescent="0.25">
      <c r="A4070" s="1">
        <v>2310090466</v>
      </c>
      <c r="B4070" s="1" t="s">
        <v>2305</v>
      </c>
      <c r="C4070" s="1" t="s">
        <v>130</v>
      </c>
      <c r="D4070" s="1" t="s">
        <v>131</v>
      </c>
      <c r="E4070" s="3">
        <v>14700</v>
      </c>
      <c r="F4070" s="1" t="s">
        <v>36</v>
      </c>
      <c r="G4070" s="3">
        <v>0</v>
      </c>
      <c r="H4070" s="1">
        <v>0</v>
      </c>
      <c r="I4070" s="1">
        <v>3.7617999999999999E-2</v>
      </c>
    </row>
    <row r="4071" spans="1:9" x14ac:dyDescent="0.25">
      <c r="A4071" s="1">
        <v>2310090468</v>
      </c>
      <c r="B4071" s="1" t="s">
        <v>2306</v>
      </c>
      <c r="C4071" s="1" t="s">
        <v>130</v>
      </c>
      <c r="D4071" s="1" t="s">
        <v>131</v>
      </c>
      <c r="E4071" s="3">
        <v>4309.3226000000004</v>
      </c>
      <c r="F4071" s="1" t="s">
        <v>36</v>
      </c>
      <c r="G4071" s="1">
        <v>0</v>
      </c>
      <c r="H4071" s="1">
        <v>0</v>
      </c>
      <c r="I4071" s="1">
        <v>4.3624000000000003E-2</v>
      </c>
    </row>
    <row r="4072" spans="1:9" x14ac:dyDescent="0.25">
      <c r="A4072" s="1">
        <v>2310090469</v>
      </c>
      <c r="B4072" s="1" t="s">
        <v>2307</v>
      </c>
      <c r="C4072" s="1" t="s">
        <v>130</v>
      </c>
      <c r="D4072" s="1" t="s">
        <v>131</v>
      </c>
      <c r="E4072" s="3">
        <v>31979.258099999999</v>
      </c>
      <c r="F4072" s="1" t="s">
        <v>36</v>
      </c>
      <c r="G4072" s="1">
        <v>0</v>
      </c>
      <c r="H4072" s="1">
        <v>0</v>
      </c>
      <c r="I4072" s="1">
        <v>4.2980999999999998E-2</v>
      </c>
    </row>
    <row r="4073" spans="1:9" x14ac:dyDescent="0.25">
      <c r="A4073" s="1">
        <v>2310090470</v>
      </c>
      <c r="B4073" s="1" t="s">
        <v>2308</v>
      </c>
      <c r="C4073" s="1" t="s">
        <v>130</v>
      </c>
      <c r="D4073" s="1" t="s">
        <v>131</v>
      </c>
      <c r="E4073" s="3">
        <v>59213.081599999998</v>
      </c>
      <c r="F4073" s="1" t="s">
        <v>36</v>
      </c>
      <c r="G4073" s="1">
        <v>0</v>
      </c>
      <c r="H4073" s="1">
        <v>2</v>
      </c>
      <c r="I4073" s="1">
        <v>7.3460999999999999E-2</v>
      </c>
    </row>
    <row r="4074" spans="1:9" x14ac:dyDescent="0.25">
      <c r="A4074" s="1">
        <v>2310090470</v>
      </c>
      <c r="B4074" s="1" t="s">
        <v>2308</v>
      </c>
      <c r="C4074" s="1" t="s">
        <v>142</v>
      </c>
      <c r="D4074" s="1" t="s">
        <v>143</v>
      </c>
      <c r="E4074" s="1">
        <v>0</v>
      </c>
      <c r="F4074" s="1" t="s">
        <v>36</v>
      </c>
      <c r="G4074" s="1">
        <v>2</v>
      </c>
      <c r="H4074" s="1">
        <v>0</v>
      </c>
      <c r="I4074" s="1">
        <v>7.3594000000000007E-2</v>
      </c>
    </row>
    <row r="4075" spans="1:9" x14ac:dyDescent="0.25">
      <c r="A4075" s="1">
        <v>2310090471</v>
      </c>
      <c r="B4075" s="1" t="s">
        <v>2309</v>
      </c>
      <c r="C4075" s="1" t="s">
        <v>130</v>
      </c>
      <c r="D4075" s="1" t="s">
        <v>131</v>
      </c>
      <c r="E4075" s="3">
        <v>1081.1837</v>
      </c>
      <c r="F4075" s="1" t="s">
        <v>36</v>
      </c>
      <c r="G4075" s="1">
        <v>0</v>
      </c>
      <c r="H4075" s="1">
        <v>0</v>
      </c>
      <c r="I4075" s="1">
        <v>8.1152000000000002E-2</v>
      </c>
    </row>
    <row r="4076" spans="1:9" x14ac:dyDescent="0.25">
      <c r="A4076" s="1">
        <v>2310090472</v>
      </c>
      <c r="B4076" s="1" t="s">
        <v>2310</v>
      </c>
      <c r="C4076" s="1" t="s">
        <v>130</v>
      </c>
      <c r="D4076" s="1" t="s">
        <v>131</v>
      </c>
      <c r="E4076" s="3">
        <v>100157</v>
      </c>
      <c r="F4076" s="1" t="s">
        <v>36</v>
      </c>
      <c r="G4076" s="1">
        <v>0</v>
      </c>
      <c r="H4076" s="1">
        <v>0</v>
      </c>
      <c r="I4076" s="1">
        <v>7.9804E-2</v>
      </c>
    </row>
    <row r="4077" spans="1:9" x14ac:dyDescent="0.25">
      <c r="A4077" s="1">
        <v>2310090473</v>
      </c>
      <c r="B4077" s="1" t="s">
        <v>2311</v>
      </c>
      <c r="C4077" s="1" t="s">
        <v>130</v>
      </c>
      <c r="D4077" s="1" t="s">
        <v>131</v>
      </c>
      <c r="E4077" s="3">
        <v>65524</v>
      </c>
      <c r="F4077" s="1" t="s">
        <v>36</v>
      </c>
      <c r="G4077" s="1">
        <v>0</v>
      </c>
      <c r="H4077" s="1">
        <v>0</v>
      </c>
      <c r="I4077" s="1">
        <v>7.9384999999999997E-2</v>
      </c>
    </row>
    <row r="4078" spans="1:9" x14ac:dyDescent="0.25">
      <c r="A4078" s="1">
        <v>2310090486</v>
      </c>
      <c r="B4078" s="1" t="s">
        <v>2312</v>
      </c>
      <c r="C4078" s="1" t="s">
        <v>130</v>
      </c>
      <c r="D4078" s="1" t="s">
        <v>131</v>
      </c>
      <c r="E4078" s="3">
        <v>12120</v>
      </c>
      <c r="F4078" s="1" t="s">
        <v>36</v>
      </c>
      <c r="G4078" s="1">
        <v>0</v>
      </c>
      <c r="H4078" s="3">
        <v>0</v>
      </c>
      <c r="I4078" s="1">
        <v>0.14891499999999999</v>
      </c>
    </row>
    <row r="4079" spans="1:9" x14ac:dyDescent="0.25">
      <c r="A4079" s="1">
        <v>2310090491</v>
      </c>
      <c r="B4079" s="1" t="s">
        <v>2313</v>
      </c>
      <c r="C4079" s="1" t="s">
        <v>130</v>
      </c>
      <c r="D4079" s="1" t="s">
        <v>131</v>
      </c>
      <c r="E4079" s="3">
        <v>19328</v>
      </c>
      <c r="F4079" s="1" t="s">
        <v>36</v>
      </c>
      <c r="G4079" s="1">
        <v>0</v>
      </c>
      <c r="H4079" s="1">
        <v>0</v>
      </c>
      <c r="I4079" s="1">
        <v>4.7865999999999999E-2</v>
      </c>
    </row>
    <row r="4080" spans="1:9" x14ac:dyDescent="0.25">
      <c r="A4080" s="1">
        <v>2310090492</v>
      </c>
      <c r="B4080" s="1" t="s">
        <v>2314</v>
      </c>
      <c r="C4080" s="1" t="s">
        <v>130</v>
      </c>
      <c r="D4080" s="1" t="s">
        <v>131</v>
      </c>
      <c r="E4080" s="3">
        <v>22088</v>
      </c>
      <c r="F4080" s="1" t="s">
        <v>36</v>
      </c>
      <c r="G4080" s="3">
        <v>23000</v>
      </c>
      <c r="H4080" s="1">
        <v>0</v>
      </c>
      <c r="I4080" s="1">
        <v>5.0191E-2</v>
      </c>
    </row>
    <row r="4081" spans="1:9" x14ac:dyDescent="0.25">
      <c r="A4081" s="1">
        <v>2310090492</v>
      </c>
      <c r="B4081" s="1" t="s">
        <v>2314</v>
      </c>
      <c r="C4081" s="1" t="s">
        <v>142</v>
      </c>
      <c r="D4081" s="1" t="s">
        <v>143</v>
      </c>
      <c r="E4081" s="1">
        <v>0</v>
      </c>
      <c r="F4081" s="1" t="s">
        <v>36</v>
      </c>
      <c r="G4081" s="1">
        <v>0</v>
      </c>
      <c r="H4081" s="3">
        <v>23000</v>
      </c>
      <c r="I4081" s="1">
        <v>5.0117000000000002E-2</v>
      </c>
    </row>
    <row r="4082" spans="1:9" x14ac:dyDescent="0.25">
      <c r="A4082" s="1">
        <v>2310090493</v>
      </c>
      <c r="B4082" s="1" t="s">
        <v>2315</v>
      </c>
      <c r="C4082" s="1" t="s">
        <v>130</v>
      </c>
      <c r="D4082" s="1" t="s">
        <v>131</v>
      </c>
      <c r="E4082" s="3">
        <v>20944.428599999999</v>
      </c>
      <c r="F4082" s="1" t="s">
        <v>36</v>
      </c>
      <c r="G4082" s="1">
        <v>0</v>
      </c>
      <c r="H4082" s="1">
        <v>0</v>
      </c>
      <c r="I4082" s="1">
        <v>5.1312000000000003E-2</v>
      </c>
    </row>
    <row r="4083" spans="1:9" x14ac:dyDescent="0.25">
      <c r="A4083" s="1">
        <v>2310090494</v>
      </c>
      <c r="B4083" s="1" t="s">
        <v>2316</v>
      </c>
      <c r="C4083" s="1" t="s">
        <v>130</v>
      </c>
      <c r="D4083" s="1" t="s">
        <v>131</v>
      </c>
      <c r="E4083" s="3">
        <v>2407</v>
      </c>
      <c r="F4083" s="1" t="s">
        <v>36</v>
      </c>
      <c r="G4083" s="1">
        <v>0</v>
      </c>
      <c r="H4083" s="1">
        <v>0</v>
      </c>
      <c r="I4083" s="1">
        <v>5.2385000000000001E-2</v>
      </c>
    </row>
    <row r="4084" spans="1:9" x14ac:dyDescent="0.25">
      <c r="A4084" s="1">
        <v>2310090495</v>
      </c>
      <c r="B4084" s="1" t="s">
        <v>2317</v>
      </c>
      <c r="C4084" s="1" t="s">
        <v>130</v>
      </c>
      <c r="D4084" s="1" t="s">
        <v>131</v>
      </c>
      <c r="E4084" s="3">
        <v>10010</v>
      </c>
      <c r="F4084" s="1" t="s">
        <v>36</v>
      </c>
      <c r="G4084" s="1">
        <v>0</v>
      </c>
      <c r="H4084" s="3">
        <v>21084</v>
      </c>
      <c r="I4084" s="1">
        <v>5.3187999999999999E-2</v>
      </c>
    </row>
    <row r="4085" spans="1:9" x14ac:dyDescent="0.25">
      <c r="A4085" s="1">
        <v>2310090495</v>
      </c>
      <c r="B4085" s="1" t="s">
        <v>2317</v>
      </c>
      <c r="C4085" s="1" t="s">
        <v>142</v>
      </c>
      <c r="D4085" s="1" t="s">
        <v>143</v>
      </c>
      <c r="E4085" s="3">
        <v>21084</v>
      </c>
      <c r="F4085" s="1" t="s">
        <v>36</v>
      </c>
      <c r="G4085" s="3">
        <v>21084</v>
      </c>
      <c r="H4085" s="1">
        <v>0</v>
      </c>
      <c r="I4085" s="1">
        <v>4.7997999999999999E-2</v>
      </c>
    </row>
    <row r="4086" spans="1:9" x14ac:dyDescent="0.25">
      <c r="A4086" s="1">
        <v>2310090496</v>
      </c>
      <c r="B4086" s="1" t="s">
        <v>2318</v>
      </c>
      <c r="C4086" s="1" t="s">
        <v>130</v>
      </c>
      <c r="D4086" s="1" t="s">
        <v>131</v>
      </c>
      <c r="E4086" s="3">
        <v>40200</v>
      </c>
      <c r="F4086" s="1" t="s">
        <v>36</v>
      </c>
      <c r="G4086" s="3">
        <v>41000</v>
      </c>
      <c r="H4086" s="1">
        <v>0</v>
      </c>
      <c r="I4086" s="1">
        <v>5.5682000000000002E-2</v>
      </c>
    </row>
    <row r="4087" spans="1:9" x14ac:dyDescent="0.25">
      <c r="A4087" s="1">
        <v>2310090496</v>
      </c>
      <c r="B4087" s="1" t="s">
        <v>2318</v>
      </c>
      <c r="C4087" s="1" t="s">
        <v>142</v>
      </c>
      <c r="D4087" s="1" t="s">
        <v>143</v>
      </c>
      <c r="E4087" s="3">
        <v>0</v>
      </c>
      <c r="F4087" s="1" t="s">
        <v>36</v>
      </c>
      <c r="G4087" s="1">
        <v>0</v>
      </c>
      <c r="H4087" s="3">
        <v>41000</v>
      </c>
      <c r="I4087" s="1">
        <v>5.4434999999999997E-2</v>
      </c>
    </row>
    <row r="4088" spans="1:9" x14ac:dyDescent="0.25">
      <c r="A4088" s="1">
        <v>2310090498</v>
      </c>
      <c r="B4088" s="1" t="s">
        <v>2319</v>
      </c>
      <c r="C4088" s="1" t="s">
        <v>130</v>
      </c>
      <c r="D4088" s="1" t="s">
        <v>131</v>
      </c>
      <c r="E4088" s="3">
        <v>11557</v>
      </c>
      <c r="F4088" s="1" t="s">
        <v>36</v>
      </c>
      <c r="G4088" s="1">
        <v>0</v>
      </c>
      <c r="H4088" s="1">
        <v>0</v>
      </c>
      <c r="I4088" s="1">
        <v>5.8524E-2</v>
      </c>
    </row>
    <row r="4089" spans="1:9" x14ac:dyDescent="0.25">
      <c r="A4089" s="1">
        <v>2310090498</v>
      </c>
      <c r="B4089" s="1" t="s">
        <v>2319</v>
      </c>
      <c r="C4089" s="1" t="s">
        <v>142</v>
      </c>
      <c r="D4089" s="1" t="s">
        <v>143</v>
      </c>
      <c r="E4089" s="3">
        <v>0.99880000000000002</v>
      </c>
      <c r="F4089" s="1" t="s">
        <v>36</v>
      </c>
      <c r="G4089" s="1">
        <v>0</v>
      </c>
      <c r="H4089" s="1">
        <v>0</v>
      </c>
      <c r="I4089" s="1">
        <v>6.0072E-2</v>
      </c>
    </row>
    <row r="4090" spans="1:9" x14ac:dyDescent="0.25">
      <c r="A4090" s="1">
        <v>2310090499</v>
      </c>
      <c r="B4090" s="1" t="s">
        <v>2320</v>
      </c>
      <c r="C4090" s="1" t="s">
        <v>130</v>
      </c>
      <c r="D4090" s="1" t="s">
        <v>131</v>
      </c>
      <c r="E4090" s="1">
        <v>61</v>
      </c>
      <c r="F4090" s="1" t="s">
        <v>36</v>
      </c>
      <c r="G4090" s="1">
        <v>0</v>
      </c>
      <c r="H4090" s="1">
        <v>0</v>
      </c>
      <c r="I4090" s="1">
        <v>5.7376999999999997E-2</v>
      </c>
    </row>
    <row r="4091" spans="1:9" x14ac:dyDescent="0.25">
      <c r="A4091" s="1">
        <v>2310090500</v>
      </c>
      <c r="B4091" s="1" t="s">
        <v>2321</v>
      </c>
      <c r="C4091" s="1" t="s">
        <v>130</v>
      </c>
      <c r="D4091" s="1" t="s">
        <v>131</v>
      </c>
      <c r="E4091" s="3">
        <v>25809</v>
      </c>
      <c r="F4091" s="1" t="s">
        <v>36</v>
      </c>
      <c r="G4091" s="1">
        <v>0</v>
      </c>
      <c r="H4091" s="1">
        <v>0</v>
      </c>
      <c r="I4091" s="1">
        <v>4.9263000000000001E-2</v>
      </c>
    </row>
    <row r="4092" spans="1:9" x14ac:dyDescent="0.25">
      <c r="A4092" s="1">
        <v>2310090501</v>
      </c>
      <c r="B4092" s="1" t="s">
        <v>2322</v>
      </c>
      <c r="C4092" s="1" t="s">
        <v>130</v>
      </c>
      <c r="D4092" s="1" t="s">
        <v>131</v>
      </c>
      <c r="E4092" s="3">
        <v>11720.3878</v>
      </c>
      <c r="F4092" s="1" t="s">
        <v>36</v>
      </c>
      <c r="G4092" s="1">
        <v>0</v>
      </c>
      <c r="H4092" s="1">
        <v>0</v>
      </c>
      <c r="I4092" s="1">
        <v>5.1794E-2</v>
      </c>
    </row>
    <row r="4093" spans="1:9" x14ac:dyDescent="0.25">
      <c r="A4093" s="1">
        <v>2310090501</v>
      </c>
      <c r="B4093" s="1" t="s">
        <v>2322</v>
      </c>
      <c r="C4093" s="1" t="s">
        <v>142</v>
      </c>
      <c r="D4093" s="1" t="s">
        <v>143</v>
      </c>
      <c r="E4093" s="1">
        <v>2.2000000000000001E-3</v>
      </c>
      <c r="F4093" s="1" t="s">
        <v>36</v>
      </c>
      <c r="G4093" s="1">
        <v>0</v>
      </c>
      <c r="H4093" s="1">
        <v>0</v>
      </c>
      <c r="I4093" s="1">
        <v>0</v>
      </c>
    </row>
    <row r="4094" spans="1:9" x14ac:dyDescent="0.25">
      <c r="A4094" s="1">
        <v>2310090502</v>
      </c>
      <c r="B4094" s="1" t="s">
        <v>2323</v>
      </c>
      <c r="C4094" s="1" t="s">
        <v>130</v>
      </c>
      <c r="D4094" s="1" t="s">
        <v>131</v>
      </c>
      <c r="E4094" s="3">
        <v>4648</v>
      </c>
      <c r="F4094" s="1" t="s">
        <v>36</v>
      </c>
      <c r="G4094" s="1">
        <v>0</v>
      </c>
      <c r="H4094" s="1">
        <v>0</v>
      </c>
      <c r="I4094" s="1">
        <v>5.4851999999999998E-2</v>
      </c>
    </row>
    <row r="4095" spans="1:9" x14ac:dyDescent="0.25">
      <c r="A4095" s="1">
        <v>2310090503</v>
      </c>
      <c r="B4095" s="1" t="s">
        <v>2324</v>
      </c>
      <c r="C4095" s="1" t="s">
        <v>130</v>
      </c>
      <c r="D4095" s="1" t="s">
        <v>131</v>
      </c>
      <c r="E4095" s="3">
        <v>2428.5713999999998</v>
      </c>
      <c r="F4095" s="1" t="s">
        <v>36</v>
      </c>
      <c r="G4095" s="1">
        <v>0</v>
      </c>
      <c r="H4095" s="1">
        <v>0</v>
      </c>
      <c r="I4095" s="1">
        <v>0.130221</v>
      </c>
    </row>
    <row r="4096" spans="1:9" x14ac:dyDescent="0.25">
      <c r="A4096" s="1">
        <v>2310090507</v>
      </c>
      <c r="B4096" s="1" t="s">
        <v>72</v>
      </c>
      <c r="C4096" s="1" t="s">
        <v>130</v>
      </c>
      <c r="D4096" s="1" t="s">
        <v>131</v>
      </c>
      <c r="E4096" s="3">
        <v>3283</v>
      </c>
      <c r="F4096" s="1" t="s">
        <v>36</v>
      </c>
      <c r="G4096" s="1">
        <v>0</v>
      </c>
      <c r="H4096" s="1">
        <v>0</v>
      </c>
      <c r="I4096" s="1">
        <v>3.4840000000000003E-2</v>
      </c>
    </row>
    <row r="4097" spans="1:9" x14ac:dyDescent="0.25">
      <c r="A4097" s="1">
        <v>2310090508</v>
      </c>
      <c r="B4097" s="1" t="s">
        <v>2325</v>
      </c>
      <c r="C4097" s="1" t="s">
        <v>130</v>
      </c>
      <c r="D4097" s="1" t="s">
        <v>131</v>
      </c>
      <c r="E4097" s="3">
        <v>1688.3264999999999</v>
      </c>
      <c r="F4097" s="1" t="s">
        <v>36</v>
      </c>
      <c r="G4097" s="1">
        <v>0</v>
      </c>
      <c r="H4097" s="1">
        <v>0</v>
      </c>
      <c r="I4097" s="1">
        <v>9.1369000000000006E-2</v>
      </c>
    </row>
    <row r="4098" spans="1:9" x14ac:dyDescent="0.25">
      <c r="A4098" s="1">
        <v>2310090509</v>
      </c>
      <c r="B4098" s="1" t="s">
        <v>2326</v>
      </c>
      <c r="C4098" s="1" t="s">
        <v>130</v>
      </c>
      <c r="D4098" s="1" t="s">
        <v>131</v>
      </c>
      <c r="E4098" s="3">
        <v>9770.6735000000008</v>
      </c>
      <c r="F4098" s="1" t="s">
        <v>36</v>
      </c>
      <c r="G4098" s="1">
        <v>0</v>
      </c>
      <c r="H4098" s="1">
        <v>0</v>
      </c>
      <c r="I4098" s="1">
        <v>8.2265000000000005E-2</v>
      </c>
    </row>
    <row r="4099" spans="1:9" x14ac:dyDescent="0.25">
      <c r="A4099" s="1">
        <v>2310090510</v>
      </c>
      <c r="B4099" s="1" t="s">
        <v>2327</v>
      </c>
      <c r="C4099" s="1" t="s">
        <v>130</v>
      </c>
      <c r="D4099" s="1" t="s">
        <v>131</v>
      </c>
      <c r="E4099" s="3">
        <v>1838.2245</v>
      </c>
      <c r="F4099" s="1" t="s">
        <v>36</v>
      </c>
      <c r="G4099" s="1">
        <v>0</v>
      </c>
      <c r="H4099" s="1">
        <v>0</v>
      </c>
      <c r="I4099" s="1">
        <v>9.0310000000000001E-2</v>
      </c>
    </row>
    <row r="4100" spans="1:9" x14ac:dyDescent="0.25">
      <c r="A4100" s="1">
        <v>2310090511</v>
      </c>
      <c r="B4100" s="1" t="s">
        <v>2328</v>
      </c>
      <c r="C4100" s="1" t="s">
        <v>130</v>
      </c>
      <c r="D4100" s="1" t="s">
        <v>131</v>
      </c>
      <c r="E4100" s="3">
        <v>2209.9877999999999</v>
      </c>
      <c r="F4100" s="1" t="s">
        <v>36</v>
      </c>
      <c r="G4100" s="1">
        <v>0</v>
      </c>
      <c r="H4100" s="1">
        <v>0</v>
      </c>
      <c r="I4100" s="1">
        <v>8.3385000000000001E-2</v>
      </c>
    </row>
    <row r="4101" spans="1:9" x14ac:dyDescent="0.25">
      <c r="A4101" s="1">
        <v>2310090512</v>
      </c>
      <c r="B4101" s="1" t="s">
        <v>2329</v>
      </c>
      <c r="C4101" s="1" t="s">
        <v>130</v>
      </c>
      <c r="D4101" s="1" t="s">
        <v>131</v>
      </c>
      <c r="E4101" s="3">
        <v>1000.0041</v>
      </c>
      <c r="F4101" s="1" t="s">
        <v>36</v>
      </c>
      <c r="G4101" s="1">
        <v>0</v>
      </c>
      <c r="H4101" s="1">
        <v>0</v>
      </c>
      <c r="I4101" s="1">
        <v>7.0620000000000002E-2</v>
      </c>
    </row>
    <row r="4102" spans="1:9" x14ac:dyDescent="0.25">
      <c r="A4102" s="1">
        <v>2310090514</v>
      </c>
      <c r="B4102" s="1" t="s">
        <v>2330</v>
      </c>
      <c r="C4102" s="1" t="s">
        <v>130</v>
      </c>
      <c r="D4102" s="1" t="s">
        <v>131</v>
      </c>
      <c r="E4102" s="3">
        <v>21057</v>
      </c>
      <c r="F4102" s="1" t="s">
        <v>36</v>
      </c>
      <c r="G4102" s="1">
        <v>0</v>
      </c>
      <c r="H4102" s="1">
        <v>0</v>
      </c>
      <c r="I4102" s="1">
        <v>0.11082599999999999</v>
      </c>
    </row>
    <row r="4103" spans="1:9" x14ac:dyDescent="0.25">
      <c r="A4103" s="1">
        <v>2310090520</v>
      </c>
      <c r="B4103" s="1" t="s">
        <v>2331</v>
      </c>
      <c r="C4103" s="1" t="s">
        <v>130</v>
      </c>
      <c r="D4103" s="1" t="s">
        <v>131</v>
      </c>
      <c r="E4103" s="3">
        <v>4035</v>
      </c>
      <c r="F4103" s="1" t="s">
        <v>36</v>
      </c>
      <c r="G4103" s="1">
        <v>0</v>
      </c>
      <c r="H4103" s="1">
        <v>0</v>
      </c>
      <c r="I4103" s="1">
        <v>0.27510000000000001</v>
      </c>
    </row>
    <row r="4104" spans="1:9" x14ac:dyDescent="0.25">
      <c r="A4104" s="1">
        <v>2310090524</v>
      </c>
      <c r="B4104" s="1" t="s">
        <v>2332</v>
      </c>
      <c r="C4104" s="1" t="s">
        <v>130</v>
      </c>
      <c r="D4104" s="1" t="s">
        <v>131</v>
      </c>
      <c r="E4104" s="3">
        <v>27300</v>
      </c>
      <c r="F4104" s="1" t="s">
        <v>36</v>
      </c>
      <c r="G4104" s="1">
        <v>0</v>
      </c>
      <c r="H4104" s="3">
        <v>21000</v>
      </c>
      <c r="I4104" s="1">
        <v>3.4390999999999998E-2</v>
      </c>
    </row>
    <row r="4105" spans="1:9" x14ac:dyDescent="0.25">
      <c r="A4105" s="1">
        <v>2310090524</v>
      </c>
      <c r="B4105" s="1" t="s">
        <v>2332</v>
      </c>
      <c r="C4105" s="1" t="s">
        <v>2333</v>
      </c>
      <c r="D4105" s="1" t="s">
        <v>2334</v>
      </c>
      <c r="E4105" s="3">
        <v>21000</v>
      </c>
      <c r="F4105" s="1" t="s">
        <v>36</v>
      </c>
      <c r="G4105" s="3">
        <v>21000</v>
      </c>
      <c r="H4105" s="1">
        <v>0</v>
      </c>
      <c r="I4105" s="1">
        <v>3.4390999999999998E-2</v>
      </c>
    </row>
    <row r="4106" spans="1:9" x14ac:dyDescent="0.25">
      <c r="A4106" s="1">
        <v>2310090524</v>
      </c>
      <c r="B4106" s="1" t="s">
        <v>2332</v>
      </c>
      <c r="C4106" s="1" t="s">
        <v>142</v>
      </c>
      <c r="D4106" s="1" t="s">
        <v>143</v>
      </c>
      <c r="E4106" s="3">
        <v>122385</v>
      </c>
      <c r="F4106" s="1" t="s">
        <v>36</v>
      </c>
      <c r="G4106" s="1">
        <v>0</v>
      </c>
      <c r="H4106" s="1">
        <v>0</v>
      </c>
      <c r="I4106" s="1">
        <v>3.4959999999999998E-2</v>
      </c>
    </row>
    <row r="4107" spans="1:9" x14ac:dyDescent="0.25">
      <c r="A4107" s="1">
        <v>2310090525</v>
      </c>
      <c r="B4107" s="1" t="s">
        <v>2335</v>
      </c>
      <c r="C4107" s="1" t="s">
        <v>130</v>
      </c>
      <c r="D4107" s="1" t="s">
        <v>131</v>
      </c>
      <c r="E4107" s="3">
        <v>30966</v>
      </c>
      <c r="F4107" s="1" t="s">
        <v>36</v>
      </c>
      <c r="G4107" s="1">
        <v>0</v>
      </c>
      <c r="H4107" s="1">
        <v>285</v>
      </c>
      <c r="I4107" s="1">
        <v>8.1282999999999994E-2</v>
      </c>
    </row>
    <row r="4108" spans="1:9" x14ac:dyDescent="0.25">
      <c r="A4108" s="1">
        <v>2310090525</v>
      </c>
      <c r="B4108" s="1" t="s">
        <v>2335</v>
      </c>
      <c r="C4108" s="1" t="s">
        <v>142</v>
      </c>
      <c r="D4108" s="1" t="s">
        <v>143</v>
      </c>
      <c r="E4108" s="3">
        <v>10500</v>
      </c>
      <c r="F4108" s="1" t="s">
        <v>36</v>
      </c>
      <c r="G4108" s="1">
        <v>285</v>
      </c>
      <c r="H4108" s="1">
        <v>0</v>
      </c>
      <c r="I4108" s="1">
        <v>8.1282999999999994E-2</v>
      </c>
    </row>
    <row r="4109" spans="1:9" x14ac:dyDescent="0.25">
      <c r="A4109" s="1">
        <v>2310090526</v>
      </c>
      <c r="B4109" s="1" t="s">
        <v>2336</v>
      </c>
      <c r="C4109" s="1" t="s">
        <v>130</v>
      </c>
      <c r="D4109" s="1" t="s">
        <v>131</v>
      </c>
      <c r="E4109" s="3">
        <v>28395</v>
      </c>
      <c r="F4109" s="1" t="s">
        <v>36</v>
      </c>
      <c r="G4109" s="3">
        <v>4200</v>
      </c>
      <c r="H4109" s="1">
        <v>0</v>
      </c>
      <c r="I4109" s="1">
        <v>7.8397999999999995E-2</v>
      </c>
    </row>
    <row r="4110" spans="1:9" x14ac:dyDescent="0.25">
      <c r="A4110" s="1">
        <v>2310090526</v>
      </c>
      <c r="B4110" s="1" t="s">
        <v>2336</v>
      </c>
      <c r="C4110" s="1" t="s">
        <v>142</v>
      </c>
      <c r="D4110" s="1" t="s">
        <v>143</v>
      </c>
      <c r="E4110" s="3">
        <v>10500</v>
      </c>
      <c r="F4110" s="1" t="s">
        <v>36</v>
      </c>
      <c r="G4110" s="1">
        <v>0</v>
      </c>
      <c r="H4110" s="3">
        <v>4200</v>
      </c>
      <c r="I4110" s="1">
        <v>7.8397999999999995E-2</v>
      </c>
    </row>
    <row r="4111" spans="1:9" x14ac:dyDescent="0.25">
      <c r="A4111" s="1">
        <v>2310090527</v>
      </c>
      <c r="B4111" s="1" t="s">
        <v>2337</v>
      </c>
      <c r="C4111" s="1" t="s">
        <v>130</v>
      </c>
      <c r="D4111" s="1" t="s">
        <v>131</v>
      </c>
      <c r="E4111" s="3">
        <v>8986</v>
      </c>
      <c r="F4111" s="1" t="s">
        <v>36</v>
      </c>
      <c r="G4111" s="1">
        <v>0</v>
      </c>
      <c r="H4111" s="1">
        <v>0</v>
      </c>
      <c r="I4111" s="1">
        <v>8.2812999999999998E-2</v>
      </c>
    </row>
    <row r="4112" spans="1:9" x14ac:dyDescent="0.25">
      <c r="A4112" s="1">
        <v>2310090527</v>
      </c>
      <c r="B4112" s="1" t="s">
        <v>2337</v>
      </c>
      <c r="C4112" s="1" t="s">
        <v>142</v>
      </c>
      <c r="D4112" s="1" t="s">
        <v>143</v>
      </c>
      <c r="E4112" s="3">
        <v>10500</v>
      </c>
      <c r="F4112" s="1" t="s">
        <v>36</v>
      </c>
      <c r="G4112" s="1">
        <v>0</v>
      </c>
      <c r="H4112" s="1">
        <v>0</v>
      </c>
      <c r="I4112" s="1">
        <v>8.2813999999999999E-2</v>
      </c>
    </row>
    <row r="4113" spans="1:9" x14ac:dyDescent="0.25">
      <c r="A4113" s="1">
        <v>2310090528</v>
      </c>
      <c r="B4113" s="1" t="s">
        <v>2338</v>
      </c>
      <c r="C4113" s="1" t="s">
        <v>130</v>
      </c>
      <c r="D4113" s="1" t="s">
        <v>131</v>
      </c>
      <c r="E4113" s="3">
        <v>29466</v>
      </c>
      <c r="F4113" s="1" t="s">
        <v>36</v>
      </c>
      <c r="G4113" s="1">
        <v>0</v>
      </c>
      <c r="H4113" s="1">
        <v>0</v>
      </c>
      <c r="I4113" s="1">
        <v>8.7500999999999995E-2</v>
      </c>
    </row>
    <row r="4114" spans="1:9" x14ac:dyDescent="0.25">
      <c r="A4114" s="1">
        <v>2310090528</v>
      </c>
      <c r="B4114" s="1" t="s">
        <v>2338</v>
      </c>
      <c r="C4114" s="1" t="s">
        <v>142</v>
      </c>
      <c r="D4114" s="1" t="s">
        <v>143</v>
      </c>
      <c r="E4114" s="3">
        <v>10500</v>
      </c>
      <c r="F4114" s="1" t="s">
        <v>36</v>
      </c>
      <c r="G4114" s="1">
        <v>0</v>
      </c>
      <c r="H4114" s="1">
        <v>0</v>
      </c>
      <c r="I4114" s="1">
        <v>8.7500999999999995E-2</v>
      </c>
    </row>
    <row r="4115" spans="1:9" x14ac:dyDescent="0.25">
      <c r="A4115" s="1">
        <v>2310090529</v>
      </c>
      <c r="B4115" s="1" t="s">
        <v>2339</v>
      </c>
      <c r="C4115" s="1" t="s">
        <v>130</v>
      </c>
      <c r="D4115" s="1" t="s">
        <v>131</v>
      </c>
      <c r="E4115" s="3">
        <v>1957</v>
      </c>
      <c r="F4115" s="1" t="s">
        <v>36</v>
      </c>
      <c r="G4115" s="1">
        <v>0</v>
      </c>
      <c r="H4115" s="1">
        <v>0</v>
      </c>
      <c r="I4115" s="1">
        <v>5.7648999999999999E-2</v>
      </c>
    </row>
    <row r="4116" spans="1:9" x14ac:dyDescent="0.25">
      <c r="A4116" s="1">
        <v>2310090530</v>
      </c>
      <c r="B4116" s="1" t="s">
        <v>2340</v>
      </c>
      <c r="C4116" s="1" t="s">
        <v>130</v>
      </c>
      <c r="D4116" s="1" t="s">
        <v>131</v>
      </c>
      <c r="E4116" s="3">
        <v>2018</v>
      </c>
      <c r="F4116" s="1" t="s">
        <v>36</v>
      </c>
      <c r="G4116" s="1">
        <v>0</v>
      </c>
      <c r="H4116" s="1">
        <v>0</v>
      </c>
      <c r="I4116" s="1">
        <v>5.7180000000000002E-2</v>
      </c>
    </row>
    <row r="4117" spans="1:9" x14ac:dyDescent="0.25">
      <c r="A4117" s="1">
        <v>2310090531</v>
      </c>
      <c r="B4117" s="1" t="s">
        <v>2341</v>
      </c>
      <c r="C4117" s="1" t="s">
        <v>130</v>
      </c>
      <c r="D4117" s="1" t="s">
        <v>131</v>
      </c>
      <c r="E4117" s="1">
        <v>843</v>
      </c>
      <c r="F4117" s="1" t="s">
        <v>36</v>
      </c>
      <c r="G4117" s="1">
        <v>0</v>
      </c>
      <c r="H4117" s="1">
        <v>0</v>
      </c>
      <c r="I4117" s="1">
        <v>5.8362999999999998E-2</v>
      </c>
    </row>
    <row r="4118" spans="1:9" x14ac:dyDescent="0.25">
      <c r="A4118" s="1">
        <v>2310090532</v>
      </c>
      <c r="B4118" s="1" t="s">
        <v>2342</v>
      </c>
      <c r="C4118" s="1" t="s">
        <v>130</v>
      </c>
      <c r="D4118" s="1" t="s">
        <v>131</v>
      </c>
      <c r="E4118" s="3">
        <v>1596</v>
      </c>
      <c r="F4118" s="1" t="s">
        <v>36</v>
      </c>
      <c r="G4118" s="1">
        <v>0</v>
      </c>
      <c r="H4118" s="1">
        <v>0</v>
      </c>
      <c r="I4118" s="1">
        <v>7.0250999999999994E-2</v>
      </c>
    </row>
    <row r="4119" spans="1:9" x14ac:dyDescent="0.25">
      <c r="A4119" s="1">
        <v>2310090533</v>
      </c>
      <c r="B4119" s="1" t="s">
        <v>2343</v>
      </c>
      <c r="C4119" s="1" t="s">
        <v>130</v>
      </c>
      <c r="D4119" s="1" t="s">
        <v>131</v>
      </c>
      <c r="E4119" s="3">
        <v>1054</v>
      </c>
      <c r="F4119" s="1" t="s">
        <v>36</v>
      </c>
      <c r="G4119" s="1">
        <v>0</v>
      </c>
      <c r="H4119" s="1">
        <v>0</v>
      </c>
      <c r="I4119" s="1">
        <v>4.3709999999999999E-2</v>
      </c>
    </row>
    <row r="4120" spans="1:9" x14ac:dyDescent="0.25">
      <c r="A4120" s="1">
        <v>2310090534</v>
      </c>
      <c r="B4120" s="1" t="s">
        <v>2344</v>
      </c>
      <c r="C4120" s="1" t="s">
        <v>130</v>
      </c>
      <c r="D4120" s="1" t="s">
        <v>131</v>
      </c>
      <c r="E4120" s="3">
        <v>2530</v>
      </c>
      <c r="F4120" s="1" t="s">
        <v>36</v>
      </c>
      <c r="G4120" s="3">
        <v>0</v>
      </c>
      <c r="H4120" s="3">
        <v>0</v>
      </c>
      <c r="I4120" s="1">
        <v>3.4372E-2</v>
      </c>
    </row>
    <row r="4121" spans="1:9" x14ac:dyDescent="0.25">
      <c r="A4121" s="1">
        <v>2310090535</v>
      </c>
      <c r="B4121" s="1" t="s">
        <v>2345</v>
      </c>
      <c r="C4121" s="1" t="s">
        <v>130</v>
      </c>
      <c r="D4121" s="1" t="s">
        <v>131</v>
      </c>
      <c r="E4121" s="1">
        <v>843</v>
      </c>
      <c r="F4121" s="1" t="s">
        <v>36</v>
      </c>
      <c r="G4121" s="1">
        <v>0</v>
      </c>
      <c r="H4121" s="1">
        <v>0</v>
      </c>
      <c r="I4121" s="1">
        <v>3.3961999999999999E-2</v>
      </c>
    </row>
    <row r="4122" spans="1:9" x14ac:dyDescent="0.25">
      <c r="A4122" s="1">
        <v>2310090536</v>
      </c>
      <c r="B4122" s="1" t="s">
        <v>2346</v>
      </c>
      <c r="C4122" s="1" t="s">
        <v>130</v>
      </c>
      <c r="D4122" s="1" t="s">
        <v>131</v>
      </c>
      <c r="E4122" s="3">
        <v>1355</v>
      </c>
      <c r="F4122" s="1" t="s">
        <v>36</v>
      </c>
      <c r="G4122" s="1">
        <v>0</v>
      </c>
      <c r="H4122" s="1">
        <v>0</v>
      </c>
      <c r="I4122" s="1">
        <v>3.2856000000000003E-2</v>
      </c>
    </row>
    <row r="4123" spans="1:9" x14ac:dyDescent="0.25">
      <c r="A4123" s="1">
        <v>2310090537</v>
      </c>
      <c r="B4123" s="1" t="s">
        <v>2347</v>
      </c>
      <c r="C4123" s="1" t="s">
        <v>130</v>
      </c>
      <c r="D4123" s="1" t="s">
        <v>131</v>
      </c>
      <c r="E4123" s="3">
        <v>1626</v>
      </c>
      <c r="F4123" s="1" t="s">
        <v>36</v>
      </c>
      <c r="G4123" s="1">
        <v>0</v>
      </c>
      <c r="H4123" s="1">
        <v>0</v>
      </c>
      <c r="I4123" s="1">
        <v>3.5031E-2</v>
      </c>
    </row>
    <row r="4124" spans="1:9" x14ac:dyDescent="0.25">
      <c r="A4124" s="1">
        <v>2310090538</v>
      </c>
      <c r="B4124" s="1" t="s">
        <v>2348</v>
      </c>
      <c r="C4124" s="1" t="s">
        <v>130</v>
      </c>
      <c r="D4124" s="1" t="s">
        <v>131</v>
      </c>
      <c r="E4124" s="3">
        <v>2107</v>
      </c>
      <c r="F4124" s="1" t="s">
        <v>36</v>
      </c>
      <c r="G4124" s="1">
        <v>0</v>
      </c>
      <c r="H4124" s="3">
        <v>0</v>
      </c>
      <c r="I4124" s="1">
        <v>3.7608000000000003E-2</v>
      </c>
    </row>
    <row r="4125" spans="1:9" x14ac:dyDescent="0.25">
      <c r="A4125" s="1">
        <v>2310090539</v>
      </c>
      <c r="B4125" s="1" t="s">
        <v>2349</v>
      </c>
      <c r="C4125" s="1" t="s">
        <v>130</v>
      </c>
      <c r="D4125" s="1" t="s">
        <v>131</v>
      </c>
      <c r="E4125" s="3">
        <v>1385</v>
      </c>
      <c r="F4125" s="1" t="s">
        <v>36</v>
      </c>
      <c r="G4125" s="3">
        <v>0</v>
      </c>
      <c r="H4125" s="1">
        <v>0</v>
      </c>
      <c r="I4125" s="1">
        <v>3.2736000000000001E-2</v>
      </c>
    </row>
    <row r="4126" spans="1:9" x14ac:dyDescent="0.25">
      <c r="A4126" s="1">
        <v>2310090540</v>
      </c>
      <c r="B4126" s="1" t="s">
        <v>2350</v>
      </c>
      <c r="C4126" s="1" t="s">
        <v>130</v>
      </c>
      <c r="D4126" s="1" t="s">
        <v>131</v>
      </c>
      <c r="E4126" s="3">
        <v>1061</v>
      </c>
      <c r="F4126" s="1" t="s">
        <v>36</v>
      </c>
      <c r="G4126" s="1">
        <v>0</v>
      </c>
      <c r="H4126" s="1">
        <v>0</v>
      </c>
      <c r="I4126" s="1">
        <v>3.6155E-2</v>
      </c>
    </row>
    <row r="4127" spans="1:9" x14ac:dyDescent="0.25">
      <c r="A4127" s="1">
        <v>2310140005</v>
      </c>
      <c r="B4127" s="1" t="s">
        <v>2351</v>
      </c>
      <c r="C4127" s="1" t="s">
        <v>130</v>
      </c>
      <c r="D4127" s="1" t="s">
        <v>131</v>
      </c>
      <c r="E4127" s="3">
        <v>19.7</v>
      </c>
      <c r="F4127" s="1" t="s">
        <v>89</v>
      </c>
      <c r="G4127" s="1">
        <v>0</v>
      </c>
      <c r="H4127" s="1">
        <v>0</v>
      </c>
      <c r="I4127" s="1">
        <v>6</v>
      </c>
    </row>
    <row r="4128" spans="1:9" x14ac:dyDescent="0.25">
      <c r="A4128" s="1">
        <v>2310140014</v>
      </c>
      <c r="B4128" s="1" t="s">
        <v>2352</v>
      </c>
      <c r="C4128" s="1" t="s">
        <v>130</v>
      </c>
      <c r="D4128" s="1" t="s">
        <v>131</v>
      </c>
      <c r="E4128" s="3">
        <v>1811.3</v>
      </c>
      <c r="F4128" s="1" t="s">
        <v>89</v>
      </c>
      <c r="G4128" s="3">
        <v>0</v>
      </c>
      <c r="H4128" s="1">
        <v>0</v>
      </c>
      <c r="I4128" s="1">
        <v>27.10286</v>
      </c>
    </row>
    <row r="4129" spans="1:9" x14ac:dyDescent="0.25">
      <c r="A4129" s="1">
        <v>2310140015</v>
      </c>
      <c r="B4129" s="1" t="s">
        <v>2353</v>
      </c>
      <c r="C4129" s="1" t="s">
        <v>130</v>
      </c>
      <c r="D4129" s="1" t="s">
        <v>131</v>
      </c>
      <c r="E4129" s="3">
        <v>24</v>
      </c>
      <c r="F4129" s="1" t="s">
        <v>89</v>
      </c>
      <c r="G4129" s="1">
        <v>0</v>
      </c>
      <c r="H4129" s="1">
        <v>0</v>
      </c>
      <c r="I4129" s="1">
        <v>5.5</v>
      </c>
    </row>
    <row r="4130" spans="1:9" x14ac:dyDescent="0.25">
      <c r="A4130" s="1">
        <v>2310140203</v>
      </c>
      <c r="B4130" s="1" t="s">
        <v>2354</v>
      </c>
      <c r="C4130" s="1" t="s">
        <v>130</v>
      </c>
      <c r="D4130" s="1" t="s">
        <v>131</v>
      </c>
      <c r="E4130" s="3">
        <v>804.9</v>
      </c>
      <c r="F4130" s="1" t="s">
        <v>89</v>
      </c>
      <c r="G4130" s="1">
        <v>0</v>
      </c>
      <c r="H4130" s="1">
        <v>0</v>
      </c>
      <c r="I4130" s="1">
        <v>18.202757999999999</v>
      </c>
    </row>
    <row r="4131" spans="1:9" x14ac:dyDescent="0.25">
      <c r="A4131" s="1">
        <v>2310140204</v>
      </c>
      <c r="B4131" s="1" t="s">
        <v>2355</v>
      </c>
      <c r="C4131" s="1" t="s">
        <v>130</v>
      </c>
      <c r="D4131" s="1" t="s">
        <v>131</v>
      </c>
      <c r="E4131" s="3">
        <v>1118.7</v>
      </c>
      <c r="F4131" s="1" t="s">
        <v>89</v>
      </c>
      <c r="G4131" s="1">
        <v>0</v>
      </c>
      <c r="H4131" s="1">
        <v>0</v>
      </c>
      <c r="I4131" s="1">
        <v>25.515241</v>
      </c>
    </row>
    <row r="4132" spans="1:9" x14ac:dyDescent="0.25">
      <c r="A4132" s="1">
        <v>2310140206</v>
      </c>
      <c r="B4132" s="1" t="s">
        <v>2356</v>
      </c>
      <c r="C4132" s="1" t="s">
        <v>130</v>
      </c>
      <c r="D4132" s="1" t="s">
        <v>131</v>
      </c>
      <c r="E4132" s="3">
        <v>687.9</v>
      </c>
      <c r="F4132" s="1" t="s">
        <v>89</v>
      </c>
      <c r="G4132" s="1">
        <v>0</v>
      </c>
      <c r="H4132" s="1">
        <v>0</v>
      </c>
      <c r="I4132" s="1">
        <v>14.307632</v>
      </c>
    </row>
    <row r="4133" spans="1:9" x14ac:dyDescent="0.25">
      <c r="A4133" s="1">
        <v>2310140209</v>
      </c>
      <c r="B4133" s="1" t="s">
        <v>2357</v>
      </c>
      <c r="C4133" s="1" t="s">
        <v>130</v>
      </c>
      <c r="D4133" s="1" t="s">
        <v>131</v>
      </c>
      <c r="E4133" s="3">
        <v>32.700000000000003</v>
      </c>
      <c r="F4133" s="1" t="s">
        <v>89</v>
      </c>
      <c r="G4133" s="1">
        <v>0</v>
      </c>
      <c r="H4133" s="1">
        <v>0</v>
      </c>
      <c r="I4133" s="1">
        <v>8</v>
      </c>
    </row>
    <row r="4134" spans="1:9" x14ac:dyDescent="0.25">
      <c r="A4134" s="1">
        <v>2310140211</v>
      </c>
      <c r="B4134" s="1" t="s">
        <v>2358</v>
      </c>
      <c r="C4134" s="1" t="s">
        <v>130</v>
      </c>
      <c r="D4134" s="1" t="s">
        <v>131</v>
      </c>
      <c r="E4134" s="3">
        <v>738</v>
      </c>
      <c r="F4134" s="1" t="s">
        <v>89</v>
      </c>
      <c r="G4134" s="1">
        <v>0</v>
      </c>
      <c r="H4134" s="1">
        <v>0</v>
      </c>
      <c r="I4134" s="1">
        <v>18.637737000000001</v>
      </c>
    </row>
    <row r="4135" spans="1:9" x14ac:dyDescent="0.25">
      <c r="A4135" s="1">
        <v>2310160002</v>
      </c>
      <c r="B4135" s="1" t="s">
        <v>2359</v>
      </c>
      <c r="C4135" s="1" t="s">
        <v>130</v>
      </c>
      <c r="D4135" s="1" t="s">
        <v>131</v>
      </c>
      <c r="E4135" s="3">
        <v>15847</v>
      </c>
      <c r="F4135" s="1" t="s">
        <v>36</v>
      </c>
      <c r="G4135" s="3">
        <v>0</v>
      </c>
      <c r="H4135" s="1">
        <v>0</v>
      </c>
      <c r="I4135" s="1">
        <v>1.9179999999999999E-2</v>
      </c>
    </row>
    <row r="4136" spans="1:9" x14ac:dyDescent="0.25">
      <c r="A4136" s="1">
        <v>2310160005</v>
      </c>
      <c r="B4136" s="1" t="s">
        <v>2360</v>
      </c>
      <c r="C4136" s="1" t="s">
        <v>130</v>
      </c>
      <c r="D4136" s="1" t="s">
        <v>131</v>
      </c>
      <c r="E4136" s="3">
        <v>327090</v>
      </c>
      <c r="F4136" s="1" t="s">
        <v>36</v>
      </c>
      <c r="G4136" s="3">
        <v>21000</v>
      </c>
      <c r="H4136" s="3">
        <v>0</v>
      </c>
      <c r="I4136" s="1">
        <v>3.9544000000000003E-2</v>
      </c>
    </row>
    <row r="4137" spans="1:9" x14ac:dyDescent="0.25">
      <c r="A4137" s="1">
        <v>2310160005</v>
      </c>
      <c r="B4137" s="1" t="s">
        <v>2360</v>
      </c>
      <c r="C4137" s="1" t="s">
        <v>142</v>
      </c>
      <c r="D4137" s="1" t="s">
        <v>143</v>
      </c>
      <c r="E4137" s="3">
        <v>69773</v>
      </c>
      <c r="F4137" s="1" t="s">
        <v>36</v>
      </c>
      <c r="G4137" s="3">
        <v>0</v>
      </c>
      <c r="H4137" s="3">
        <v>21000</v>
      </c>
      <c r="I4137" s="1">
        <v>3.9530000000000003E-2</v>
      </c>
    </row>
    <row r="4138" spans="1:9" x14ac:dyDescent="0.25">
      <c r="A4138" s="1">
        <v>2310160007</v>
      </c>
      <c r="B4138" s="1" t="s">
        <v>2361</v>
      </c>
      <c r="C4138" s="1" t="s">
        <v>130</v>
      </c>
      <c r="D4138" s="1" t="s">
        <v>131</v>
      </c>
      <c r="E4138" s="3">
        <v>578100</v>
      </c>
      <c r="F4138" s="1" t="s">
        <v>36</v>
      </c>
      <c r="G4138" s="1">
        <v>0</v>
      </c>
      <c r="H4138" s="1">
        <v>0</v>
      </c>
      <c r="I4138" s="1">
        <v>1.5228999999999999E-2</v>
      </c>
    </row>
    <row r="4139" spans="1:9" x14ac:dyDescent="0.25">
      <c r="A4139" s="1">
        <v>2310160007</v>
      </c>
      <c r="B4139" s="1" t="s">
        <v>2361</v>
      </c>
      <c r="C4139" s="1" t="s">
        <v>142</v>
      </c>
      <c r="D4139" s="1" t="s">
        <v>143</v>
      </c>
      <c r="E4139" s="3">
        <v>90280</v>
      </c>
      <c r="F4139" s="1" t="s">
        <v>36</v>
      </c>
      <c r="G4139" s="1">
        <v>0</v>
      </c>
      <c r="H4139" s="1">
        <v>0</v>
      </c>
      <c r="I4139" s="1">
        <v>1.5228999999999999E-2</v>
      </c>
    </row>
    <row r="4140" spans="1:9" x14ac:dyDescent="0.25">
      <c r="A4140" s="1">
        <v>2310160062</v>
      </c>
      <c r="B4140" s="1" t="s">
        <v>2362</v>
      </c>
      <c r="C4140" s="1" t="s">
        <v>130</v>
      </c>
      <c r="D4140" s="1" t="s">
        <v>131</v>
      </c>
      <c r="E4140" s="3">
        <v>69205.140400000004</v>
      </c>
      <c r="F4140" s="1" t="s">
        <v>36</v>
      </c>
      <c r="G4140" s="1">
        <v>0</v>
      </c>
      <c r="H4140" s="1">
        <v>0</v>
      </c>
      <c r="I4140" s="1">
        <v>1.5296000000000001E-2</v>
      </c>
    </row>
    <row r="4141" spans="1:9" x14ac:dyDescent="0.25">
      <c r="A4141" s="1">
        <v>2310160063</v>
      </c>
      <c r="B4141" s="1" t="s">
        <v>2363</v>
      </c>
      <c r="C4141" s="1" t="s">
        <v>130</v>
      </c>
      <c r="D4141" s="1" t="s">
        <v>131</v>
      </c>
      <c r="E4141" s="3">
        <v>183283.78950000001</v>
      </c>
      <c r="F4141" s="1" t="s">
        <v>36</v>
      </c>
      <c r="G4141" s="3">
        <v>0</v>
      </c>
      <c r="H4141" s="1">
        <v>0</v>
      </c>
      <c r="I4141" s="1">
        <v>1.9144000000000001E-2</v>
      </c>
    </row>
    <row r="4142" spans="1:9" x14ac:dyDescent="0.25">
      <c r="A4142" s="1">
        <v>2310160064</v>
      </c>
      <c r="B4142" s="1" t="s">
        <v>2364</v>
      </c>
      <c r="C4142" s="1" t="s">
        <v>130</v>
      </c>
      <c r="D4142" s="1" t="s">
        <v>131</v>
      </c>
      <c r="E4142" s="3">
        <v>142082.30989999999</v>
      </c>
      <c r="F4142" s="1" t="s">
        <v>36</v>
      </c>
      <c r="G4142" s="1">
        <v>0</v>
      </c>
      <c r="H4142" s="1">
        <v>0</v>
      </c>
      <c r="I4142" s="1">
        <v>1.7135000000000001E-2</v>
      </c>
    </row>
    <row r="4143" spans="1:9" x14ac:dyDescent="0.25">
      <c r="A4143" s="1">
        <v>2310160065</v>
      </c>
      <c r="B4143" s="1" t="s">
        <v>2365</v>
      </c>
      <c r="C4143" s="1" t="s">
        <v>130</v>
      </c>
      <c r="D4143" s="1" t="s">
        <v>131</v>
      </c>
      <c r="E4143" s="3">
        <v>10291</v>
      </c>
      <c r="F4143" s="1" t="s">
        <v>36</v>
      </c>
      <c r="G4143" s="1">
        <v>0</v>
      </c>
      <c r="H4143" s="1">
        <v>0</v>
      </c>
      <c r="I4143" s="1">
        <v>2.9113E-2</v>
      </c>
    </row>
    <row r="4144" spans="1:9" x14ac:dyDescent="0.25">
      <c r="A4144" s="1">
        <v>2310160069</v>
      </c>
      <c r="B4144" s="1" t="s">
        <v>2366</v>
      </c>
      <c r="C4144" s="1" t="s">
        <v>130</v>
      </c>
      <c r="D4144" s="1" t="s">
        <v>131</v>
      </c>
      <c r="E4144" s="3">
        <v>9156</v>
      </c>
      <c r="F4144" s="1" t="s">
        <v>36</v>
      </c>
      <c r="G4144" s="1">
        <v>0</v>
      </c>
      <c r="H4144" s="1">
        <v>0</v>
      </c>
      <c r="I4144" s="1">
        <v>2.813E-3</v>
      </c>
    </row>
    <row r="4145" spans="1:9" x14ac:dyDescent="0.25">
      <c r="A4145" s="1">
        <v>2310160090</v>
      </c>
      <c r="B4145" s="1" t="s">
        <v>2367</v>
      </c>
      <c r="C4145" s="1" t="s">
        <v>130</v>
      </c>
      <c r="D4145" s="1" t="s">
        <v>131</v>
      </c>
      <c r="E4145" s="3">
        <v>29155</v>
      </c>
      <c r="F4145" s="1" t="s">
        <v>36</v>
      </c>
      <c r="G4145" s="1">
        <v>0</v>
      </c>
      <c r="H4145" s="1">
        <v>0</v>
      </c>
      <c r="I4145" s="1">
        <v>5.6251000000000002E-2</v>
      </c>
    </row>
    <row r="4146" spans="1:9" x14ac:dyDescent="0.25">
      <c r="A4146" s="1">
        <v>2310160103</v>
      </c>
      <c r="B4146" s="1" t="s">
        <v>2368</v>
      </c>
      <c r="C4146" s="1" t="s">
        <v>130</v>
      </c>
      <c r="D4146" s="1" t="s">
        <v>131</v>
      </c>
      <c r="E4146" s="3">
        <v>2897</v>
      </c>
      <c r="F4146" s="1" t="s">
        <v>36</v>
      </c>
      <c r="G4146" s="1">
        <v>0</v>
      </c>
      <c r="H4146" s="1">
        <v>0</v>
      </c>
      <c r="I4146" s="1">
        <v>1.2710000000000001E-2</v>
      </c>
    </row>
    <row r="4147" spans="1:9" x14ac:dyDescent="0.25">
      <c r="A4147" s="1">
        <v>2310160104</v>
      </c>
      <c r="B4147" s="1" t="s">
        <v>2369</v>
      </c>
      <c r="C4147" s="1" t="s">
        <v>130</v>
      </c>
      <c r="D4147" s="1" t="s">
        <v>131</v>
      </c>
      <c r="E4147" s="3">
        <v>2441.0909000000001</v>
      </c>
      <c r="F4147" s="1" t="s">
        <v>36</v>
      </c>
      <c r="G4147" s="1">
        <v>0</v>
      </c>
      <c r="H4147" s="1">
        <v>0</v>
      </c>
      <c r="I4147" s="1">
        <v>1.1818E-2</v>
      </c>
    </row>
    <row r="4148" spans="1:9" x14ac:dyDescent="0.25">
      <c r="A4148" s="1">
        <v>2310160110</v>
      </c>
      <c r="B4148" s="1" t="s">
        <v>2370</v>
      </c>
      <c r="C4148" s="1" t="s">
        <v>130</v>
      </c>
      <c r="D4148" s="1" t="s">
        <v>131</v>
      </c>
      <c r="E4148" s="3">
        <v>2666</v>
      </c>
      <c r="F4148" s="1" t="s">
        <v>36</v>
      </c>
      <c r="G4148" s="1">
        <v>0</v>
      </c>
      <c r="H4148" s="1">
        <v>0</v>
      </c>
      <c r="I4148" s="1">
        <v>1.6159E-2</v>
      </c>
    </row>
    <row r="4149" spans="1:9" x14ac:dyDescent="0.25">
      <c r="A4149" s="1">
        <v>2310160111</v>
      </c>
      <c r="B4149" s="1" t="s">
        <v>2371</v>
      </c>
      <c r="C4149" s="1" t="s">
        <v>142</v>
      </c>
      <c r="D4149" s="1" t="s">
        <v>143</v>
      </c>
      <c r="E4149" s="1">
        <v>2.0000000000000001E-4</v>
      </c>
      <c r="F4149" s="1" t="s">
        <v>36</v>
      </c>
      <c r="G4149" s="1">
        <v>0</v>
      </c>
      <c r="H4149" s="1">
        <v>0</v>
      </c>
      <c r="I4149" s="1">
        <v>0</v>
      </c>
    </row>
    <row r="4150" spans="1:9" x14ac:dyDescent="0.25">
      <c r="A4150" s="1">
        <v>2310160166</v>
      </c>
      <c r="B4150" s="1" t="s">
        <v>2372</v>
      </c>
      <c r="C4150" s="1" t="s">
        <v>130</v>
      </c>
      <c r="D4150" s="1" t="s">
        <v>131</v>
      </c>
      <c r="E4150" s="3">
        <v>1238</v>
      </c>
      <c r="F4150" s="1" t="s">
        <v>36</v>
      </c>
      <c r="G4150" s="1">
        <v>0</v>
      </c>
      <c r="H4150" s="1">
        <v>0</v>
      </c>
      <c r="I4150" s="1">
        <v>5.9766E-2</v>
      </c>
    </row>
    <row r="4151" spans="1:9" x14ac:dyDescent="0.25">
      <c r="A4151" s="1">
        <v>2310160182</v>
      </c>
      <c r="B4151" s="1" t="s">
        <v>2373</v>
      </c>
      <c r="C4151" s="1" t="s">
        <v>130</v>
      </c>
      <c r="D4151" s="1" t="s">
        <v>131</v>
      </c>
      <c r="E4151" s="3">
        <v>17500</v>
      </c>
      <c r="F4151" s="1" t="s">
        <v>36</v>
      </c>
      <c r="G4151" s="1">
        <v>0</v>
      </c>
      <c r="H4151" s="1">
        <v>0</v>
      </c>
      <c r="I4151" s="1">
        <v>1.7668E-2</v>
      </c>
    </row>
    <row r="4152" spans="1:9" x14ac:dyDescent="0.25">
      <c r="A4152" s="1">
        <v>2310160214</v>
      </c>
      <c r="B4152" s="1" t="s">
        <v>2374</v>
      </c>
      <c r="C4152" s="1" t="s">
        <v>130</v>
      </c>
      <c r="D4152" s="1" t="s">
        <v>131</v>
      </c>
      <c r="E4152" s="3">
        <v>3925</v>
      </c>
      <c r="F4152" s="1" t="s">
        <v>36</v>
      </c>
      <c r="G4152" s="1">
        <v>0</v>
      </c>
      <c r="H4152" s="1">
        <v>0</v>
      </c>
      <c r="I4152" s="1">
        <v>1.1126E-2</v>
      </c>
    </row>
    <row r="4153" spans="1:9" x14ac:dyDescent="0.25">
      <c r="A4153" s="1">
        <v>2310160219</v>
      </c>
      <c r="B4153" s="1" t="s">
        <v>2375</v>
      </c>
      <c r="C4153" s="1" t="s">
        <v>130</v>
      </c>
      <c r="D4153" s="1" t="s">
        <v>131</v>
      </c>
      <c r="E4153" s="3">
        <v>2897.0018</v>
      </c>
      <c r="F4153" s="1" t="s">
        <v>36</v>
      </c>
      <c r="G4153" s="1">
        <v>0</v>
      </c>
      <c r="H4153" s="1">
        <v>0</v>
      </c>
      <c r="I4153" s="1">
        <v>1.0621E-2</v>
      </c>
    </row>
    <row r="4154" spans="1:9" x14ac:dyDescent="0.25">
      <c r="A4154" s="1">
        <v>2310160220</v>
      </c>
      <c r="B4154" s="1" t="s">
        <v>2376</v>
      </c>
      <c r="C4154" s="1" t="s">
        <v>130</v>
      </c>
      <c r="D4154" s="1" t="s">
        <v>131</v>
      </c>
      <c r="E4154" s="3">
        <v>373.73</v>
      </c>
      <c r="F4154" s="1" t="s">
        <v>36</v>
      </c>
      <c r="G4154" s="1">
        <v>0</v>
      </c>
      <c r="H4154" s="1">
        <v>0</v>
      </c>
      <c r="I4154" s="1">
        <v>1.0141000000000001E-2</v>
      </c>
    </row>
    <row r="4155" spans="1:9" x14ac:dyDescent="0.25">
      <c r="A4155" s="1">
        <v>2310160225</v>
      </c>
      <c r="B4155" s="1" t="s">
        <v>2377</v>
      </c>
      <c r="C4155" s="1" t="s">
        <v>130</v>
      </c>
      <c r="D4155" s="1" t="s">
        <v>131</v>
      </c>
      <c r="E4155" s="3">
        <v>2444</v>
      </c>
      <c r="F4155" s="1" t="s">
        <v>36</v>
      </c>
      <c r="G4155" s="1">
        <v>0</v>
      </c>
      <c r="H4155" s="1">
        <v>0</v>
      </c>
      <c r="I4155" s="1">
        <v>1.0728E-2</v>
      </c>
    </row>
    <row r="4156" spans="1:9" x14ac:dyDescent="0.25">
      <c r="A4156" s="1">
        <v>2310160230</v>
      </c>
      <c r="B4156" s="1" t="s">
        <v>2378</v>
      </c>
      <c r="C4156" s="1" t="s">
        <v>130</v>
      </c>
      <c r="D4156" s="1" t="s">
        <v>131</v>
      </c>
      <c r="E4156" s="3">
        <v>2000.0036</v>
      </c>
      <c r="F4156" s="1" t="s">
        <v>36</v>
      </c>
      <c r="G4156" s="1">
        <v>0</v>
      </c>
      <c r="H4156" s="1">
        <v>0</v>
      </c>
      <c r="I4156" s="1">
        <v>9.7000000000000003E-3</v>
      </c>
    </row>
    <row r="4157" spans="1:9" x14ac:dyDescent="0.25">
      <c r="A4157" s="1">
        <v>2310160231</v>
      </c>
      <c r="B4157" s="1" t="s">
        <v>2379</v>
      </c>
      <c r="C4157" s="1" t="s">
        <v>130</v>
      </c>
      <c r="D4157" s="1" t="s">
        <v>131</v>
      </c>
      <c r="E4157" s="1">
        <v>300</v>
      </c>
      <c r="F4157" s="1" t="s">
        <v>36</v>
      </c>
      <c r="G4157" s="1">
        <v>0</v>
      </c>
      <c r="H4157" s="1">
        <v>0</v>
      </c>
      <c r="I4157" s="1">
        <v>1.0233000000000001E-2</v>
      </c>
    </row>
    <row r="4158" spans="1:9" x14ac:dyDescent="0.25">
      <c r="A4158" s="1">
        <v>2310160238</v>
      </c>
      <c r="B4158" s="1" t="s">
        <v>2380</v>
      </c>
      <c r="C4158" s="1" t="s">
        <v>130</v>
      </c>
      <c r="D4158" s="1" t="s">
        <v>131</v>
      </c>
      <c r="E4158" s="3">
        <v>93974.0766</v>
      </c>
      <c r="F4158" s="1" t="s">
        <v>36</v>
      </c>
      <c r="G4158" s="3">
        <v>0</v>
      </c>
      <c r="H4158" s="1">
        <v>0</v>
      </c>
      <c r="I4158" s="1">
        <v>2.3052E-2</v>
      </c>
    </row>
    <row r="4159" spans="1:9" x14ac:dyDescent="0.25">
      <c r="A4159" s="1">
        <v>2310160239</v>
      </c>
      <c r="B4159" s="1" t="s">
        <v>2381</v>
      </c>
      <c r="C4159" s="1" t="s">
        <v>130</v>
      </c>
      <c r="D4159" s="1" t="s">
        <v>131</v>
      </c>
      <c r="E4159" s="3">
        <v>50982</v>
      </c>
      <c r="F4159" s="1" t="s">
        <v>36</v>
      </c>
      <c r="G4159" s="3">
        <v>24000</v>
      </c>
      <c r="H4159" s="1">
        <v>0</v>
      </c>
      <c r="I4159" s="1">
        <v>2.836E-2</v>
      </c>
    </row>
    <row r="4160" spans="1:9" x14ac:dyDescent="0.25">
      <c r="A4160" s="1">
        <v>2310160239</v>
      </c>
      <c r="B4160" s="1" t="s">
        <v>2381</v>
      </c>
      <c r="C4160" s="1" t="s">
        <v>142</v>
      </c>
      <c r="D4160" s="1" t="s">
        <v>143</v>
      </c>
      <c r="E4160" s="1">
        <v>0</v>
      </c>
      <c r="F4160" s="1" t="s">
        <v>36</v>
      </c>
      <c r="G4160" s="1">
        <v>0</v>
      </c>
      <c r="H4160" s="3">
        <v>24000</v>
      </c>
      <c r="I4160" s="1">
        <v>2.2206E-2</v>
      </c>
    </row>
    <row r="4161" spans="1:9" x14ac:dyDescent="0.25">
      <c r="A4161" s="1">
        <v>2310160240</v>
      </c>
      <c r="B4161" s="1" t="s">
        <v>2382</v>
      </c>
      <c r="C4161" s="1" t="s">
        <v>130</v>
      </c>
      <c r="D4161" s="1" t="s">
        <v>131</v>
      </c>
      <c r="E4161" s="3">
        <v>95835.339699999997</v>
      </c>
      <c r="F4161" s="1" t="s">
        <v>36</v>
      </c>
      <c r="G4161" s="1">
        <v>0</v>
      </c>
      <c r="H4161" s="1">
        <v>0</v>
      </c>
      <c r="I4161" s="1">
        <v>2.5503999999999999E-2</v>
      </c>
    </row>
    <row r="4162" spans="1:9" x14ac:dyDescent="0.25">
      <c r="A4162" s="1">
        <v>2310160241</v>
      </c>
      <c r="B4162" s="1" t="s">
        <v>2383</v>
      </c>
      <c r="C4162" s="1" t="s">
        <v>130</v>
      </c>
      <c r="D4162" s="1" t="s">
        <v>131</v>
      </c>
      <c r="E4162" s="3">
        <v>67875.808600000004</v>
      </c>
      <c r="F4162" s="1" t="s">
        <v>36</v>
      </c>
      <c r="G4162" s="1">
        <v>0</v>
      </c>
      <c r="H4162" s="1">
        <v>0</v>
      </c>
      <c r="I4162" s="1">
        <v>2.4420000000000001E-2</v>
      </c>
    </row>
    <row r="4163" spans="1:9" x14ac:dyDescent="0.25">
      <c r="A4163" s="1">
        <v>2310160242</v>
      </c>
      <c r="B4163" s="1" t="s">
        <v>2384</v>
      </c>
      <c r="C4163" s="1" t="s">
        <v>130</v>
      </c>
      <c r="D4163" s="1" t="s">
        <v>131</v>
      </c>
      <c r="E4163" s="3">
        <v>23565.823</v>
      </c>
      <c r="F4163" s="1" t="s">
        <v>36</v>
      </c>
      <c r="G4163" s="1">
        <v>0</v>
      </c>
      <c r="H4163" s="1">
        <v>0</v>
      </c>
      <c r="I4163" s="1">
        <v>2.5495E-2</v>
      </c>
    </row>
    <row r="4164" spans="1:9" x14ac:dyDescent="0.25">
      <c r="A4164" s="1">
        <v>2310160243</v>
      </c>
      <c r="B4164" s="1" t="s">
        <v>2385</v>
      </c>
      <c r="C4164" s="1" t="s">
        <v>130</v>
      </c>
      <c r="D4164" s="1" t="s">
        <v>131</v>
      </c>
      <c r="E4164" s="3">
        <v>47441</v>
      </c>
      <c r="F4164" s="1" t="s">
        <v>36</v>
      </c>
      <c r="G4164" s="3">
        <v>42000</v>
      </c>
      <c r="H4164" s="1">
        <v>0</v>
      </c>
      <c r="I4164" s="1">
        <v>2.6789E-2</v>
      </c>
    </row>
    <row r="4165" spans="1:9" x14ac:dyDescent="0.25">
      <c r="A4165" s="1">
        <v>2310160243</v>
      </c>
      <c r="B4165" s="1" t="s">
        <v>2385</v>
      </c>
      <c r="C4165" s="1" t="s">
        <v>142</v>
      </c>
      <c r="D4165" s="1" t="s">
        <v>143</v>
      </c>
      <c r="E4165" s="1">
        <v>0</v>
      </c>
      <c r="F4165" s="1" t="s">
        <v>36</v>
      </c>
      <c r="G4165" s="1">
        <v>0</v>
      </c>
      <c r="H4165" s="3">
        <v>42000</v>
      </c>
      <c r="I4165" s="1">
        <v>2.6837E-2</v>
      </c>
    </row>
    <row r="4166" spans="1:9" x14ac:dyDescent="0.25">
      <c r="A4166" s="1">
        <v>2310160244</v>
      </c>
      <c r="B4166" s="1" t="s">
        <v>2386</v>
      </c>
      <c r="C4166" s="1" t="s">
        <v>130</v>
      </c>
      <c r="D4166" s="1" t="s">
        <v>131</v>
      </c>
      <c r="E4166" s="3">
        <v>28724</v>
      </c>
      <c r="F4166" s="1" t="s">
        <v>36</v>
      </c>
      <c r="G4166" s="3">
        <v>0</v>
      </c>
      <c r="H4166" s="1">
        <v>0</v>
      </c>
      <c r="I4166" s="1">
        <v>2.4087999999999998E-2</v>
      </c>
    </row>
    <row r="4167" spans="1:9" x14ac:dyDescent="0.25">
      <c r="A4167" s="1">
        <v>2310160245</v>
      </c>
      <c r="B4167" s="1" t="s">
        <v>2387</v>
      </c>
      <c r="C4167" s="1" t="s">
        <v>130</v>
      </c>
      <c r="D4167" s="1" t="s">
        <v>131</v>
      </c>
      <c r="E4167" s="3">
        <v>17000</v>
      </c>
      <c r="F4167" s="1" t="s">
        <v>36</v>
      </c>
      <c r="G4167" s="1">
        <v>0</v>
      </c>
      <c r="H4167" s="3">
        <v>0</v>
      </c>
      <c r="I4167" s="1">
        <v>3.3096E-2</v>
      </c>
    </row>
    <row r="4168" spans="1:9" x14ac:dyDescent="0.25">
      <c r="A4168" s="1">
        <v>2310160246</v>
      </c>
      <c r="B4168" s="1" t="s">
        <v>2388</v>
      </c>
      <c r="C4168" s="1" t="s">
        <v>130</v>
      </c>
      <c r="D4168" s="1" t="s">
        <v>131</v>
      </c>
      <c r="E4168" s="3">
        <v>23803</v>
      </c>
      <c r="F4168" s="1" t="s">
        <v>36</v>
      </c>
      <c r="G4168" s="3">
        <v>0</v>
      </c>
      <c r="H4168" s="1">
        <v>0</v>
      </c>
      <c r="I4168" s="1">
        <v>2.5586000000000001E-2</v>
      </c>
    </row>
    <row r="4169" spans="1:9" x14ac:dyDescent="0.25">
      <c r="A4169" s="1">
        <v>2310160247</v>
      </c>
      <c r="B4169" s="1" t="s">
        <v>2389</v>
      </c>
      <c r="C4169" s="1" t="s">
        <v>130</v>
      </c>
      <c r="D4169" s="1" t="s">
        <v>131</v>
      </c>
      <c r="E4169" s="3">
        <v>40250</v>
      </c>
      <c r="F4169" s="1" t="s">
        <v>36</v>
      </c>
      <c r="G4169" s="1">
        <v>0</v>
      </c>
      <c r="H4169" s="3">
        <v>0</v>
      </c>
      <c r="I4169" s="1">
        <v>2.5097999999999999E-2</v>
      </c>
    </row>
    <row r="4170" spans="1:9" x14ac:dyDescent="0.25">
      <c r="A4170" s="1">
        <v>2310160248</v>
      </c>
      <c r="B4170" s="1" t="s">
        <v>2390</v>
      </c>
      <c r="C4170" s="1" t="s">
        <v>130</v>
      </c>
      <c r="D4170" s="1" t="s">
        <v>131</v>
      </c>
      <c r="E4170" s="3">
        <v>118394</v>
      </c>
      <c r="F4170" s="1" t="s">
        <v>36</v>
      </c>
      <c r="G4170" s="3">
        <v>0</v>
      </c>
      <c r="H4170" s="1">
        <v>0</v>
      </c>
      <c r="I4170" s="1">
        <v>1.0225E-2</v>
      </c>
    </row>
    <row r="4171" spans="1:9" x14ac:dyDescent="0.25">
      <c r="A4171" s="1">
        <v>2310160249</v>
      </c>
      <c r="B4171" s="1" t="s">
        <v>2391</v>
      </c>
      <c r="C4171" s="1" t="s">
        <v>130</v>
      </c>
      <c r="D4171" s="1" t="s">
        <v>131</v>
      </c>
      <c r="E4171" s="3">
        <v>53041.615400000002</v>
      </c>
      <c r="F4171" s="1" t="s">
        <v>36</v>
      </c>
      <c r="G4171" s="3">
        <v>24000</v>
      </c>
      <c r="H4171" s="3">
        <v>0</v>
      </c>
      <c r="I4171" s="1">
        <v>1.1369000000000001E-2</v>
      </c>
    </row>
    <row r="4172" spans="1:9" x14ac:dyDescent="0.25">
      <c r="A4172" s="1">
        <v>2310160249</v>
      </c>
      <c r="B4172" s="1" t="s">
        <v>2391</v>
      </c>
      <c r="C4172" s="1" t="s">
        <v>142</v>
      </c>
      <c r="D4172" s="1" t="s">
        <v>143</v>
      </c>
      <c r="E4172" s="1">
        <v>0</v>
      </c>
      <c r="F4172" s="1" t="s">
        <v>36</v>
      </c>
      <c r="G4172" s="3">
        <v>0</v>
      </c>
      <c r="H4172" s="3">
        <v>24000</v>
      </c>
      <c r="I4172" s="1">
        <v>1.1369000000000001E-2</v>
      </c>
    </row>
    <row r="4173" spans="1:9" x14ac:dyDescent="0.25">
      <c r="A4173" s="1">
        <v>2310160250</v>
      </c>
      <c r="B4173" s="1" t="s">
        <v>2392</v>
      </c>
      <c r="C4173" s="1" t="s">
        <v>130</v>
      </c>
      <c r="D4173" s="1" t="s">
        <v>131</v>
      </c>
      <c r="E4173" s="3">
        <v>93297.0769</v>
      </c>
      <c r="F4173" s="1" t="s">
        <v>36</v>
      </c>
      <c r="G4173" s="1">
        <v>0</v>
      </c>
      <c r="H4173" s="3">
        <v>0</v>
      </c>
      <c r="I4173" s="1">
        <v>1.2363000000000001E-2</v>
      </c>
    </row>
    <row r="4174" spans="1:9" x14ac:dyDescent="0.25">
      <c r="A4174" s="1">
        <v>2310160251</v>
      </c>
      <c r="B4174" s="1" t="s">
        <v>2393</v>
      </c>
      <c r="C4174" s="1" t="s">
        <v>130</v>
      </c>
      <c r="D4174" s="1" t="s">
        <v>131</v>
      </c>
      <c r="E4174" s="3">
        <v>64548.615400000002</v>
      </c>
      <c r="F4174" s="1" t="s">
        <v>36</v>
      </c>
      <c r="G4174" s="3">
        <v>0</v>
      </c>
      <c r="H4174" s="1">
        <v>0</v>
      </c>
      <c r="I4174" s="1">
        <v>1.1675E-2</v>
      </c>
    </row>
    <row r="4175" spans="1:9" x14ac:dyDescent="0.25">
      <c r="A4175" s="1">
        <v>2310160252</v>
      </c>
      <c r="B4175" s="1" t="s">
        <v>2394</v>
      </c>
      <c r="C4175" s="1" t="s">
        <v>130</v>
      </c>
      <c r="D4175" s="1" t="s">
        <v>131</v>
      </c>
      <c r="E4175" s="3">
        <v>29214.0769</v>
      </c>
      <c r="F4175" s="1" t="s">
        <v>36</v>
      </c>
      <c r="G4175" s="1">
        <v>0</v>
      </c>
      <c r="H4175" s="3">
        <v>0</v>
      </c>
      <c r="I4175" s="1">
        <v>1.3089999999999999E-2</v>
      </c>
    </row>
    <row r="4176" spans="1:9" x14ac:dyDescent="0.25">
      <c r="A4176" s="1">
        <v>2310160253</v>
      </c>
      <c r="B4176" s="1" t="s">
        <v>2395</v>
      </c>
      <c r="C4176" s="1" t="s">
        <v>130</v>
      </c>
      <c r="D4176" s="1" t="s">
        <v>131</v>
      </c>
      <c r="E4176" s="3">
        <v>47311.538500000002</v>
      </c>
      <c r="F4176" s="1" t="s">
        <v>36</v>
      </c>
      <c r="G4176" s="3">
        <v>42000</v>
      </c>
      <c r="H4176" s="1">
        <v>0</v>
      </c>
      <c r="I4176" s="1">
        <v>1.2435999999999999E-2</v>
      </c>
    </row>
    <row r="4177" spans="1:9" x14ac:dyDescent="0.25">
      <c r="A4177" s="1">
        <v>2310160253</v>
      </c>
      <c r="B4177" s="1" t="s">
        <v>2395</v>
      </c>
      <c r="C4177" s="1" t="s">
        <v>142</v>
      </c>
      <c r="D4177" s="1" t="s">
        <v>143</v>
      </c>
      <c r="E4177" s="1">
        <v>0</v>
      </c>
      <c r="F4177" s="1" t="s">
        <v>36</v>
      </c>
      <c r="G4177" s="1">
        <v>0</v>
      </c>
      <c r="H4177" s="3">
        <v>42000</v>
      </c>
      <c r="I4177" s="1">
        <v>1.2435E-2</v>
      </c>
    </row>
    <row r="4178" spans="1:9" x14ac:dyDescent="0.25">
      <c r="A4178" s="1">
        <v>2310160254</v>
      </c>
      <c r="B4178" s="1" t="s">
        <v>2396</v>
      </c>
      <c r="C4178" s="1" t="s">
        <v>130</v>
      </c>
      <c r="D4178" s="1" t="s">
        <v>131</v>
      </c>
      <c r="E4178" s="3">
        <v>29824.538499999999</v>
      </c>
      <c r="F4178" s="1" t="s">
        <v>36</v>
      </c>
      <c r="G4178" s="3">
        <v>0</v>
      </c>
      <c r="H4178" s="1">
        <v>0</v>
      </c>
      <c r="I4178" s="1">
        <v>1.3266999999999999E-2</v>
      </c>
    </row>
    <row r="4179" spans="1:9" x14ac:dyDescent="0.25">
      <c r="A4179" s="1">
        <v>2310160255</v>
      </c>
      <c r="B4179" s="1" t="s">
        <v>2397</v>
      </c>
      <c r="C4179" s="1" t="s">
        <v>130</v>
      </c>
      <c r="D4179" s="1" t="s">
        <v>131</v>
      </c>
      <c r="E4179" s="3">
        <v>21629</v>
      </c>
      <c r="F4179" s="1" t="s">
        <v>36</v>
      </c>
      <c r="G4179" s="1">
        <v>0</v>
      </c>
      <c r="H4179" s="3">
        <v>0</v>
      </c>
      <c r="I4179" s="1">
        <v>9.8569999999999994E-3</v>
      </c>
    </row>
    <row r="4180" spans="1:9" x14ac:dyDescent="0.25">
      <c r="A4180" s="1">
        <v>2310160256</v>
      </c>
      <c r="B4180" s="1" t="s">
        <v>2398</v>
      </c>
      <c r="C4180" s="1" t="s">
        <v>130</v>
      </c>
      <c r="D4180" s="1" t="s">
        <v>131</v>
      </c>
      <c r="E4180" s="3">
        <v>18887</v>
      </c>
      <c r="F4180" s="1" t="s">
        <v>36</v>
      </c>
      <c r="G4180" s="3">
        <v>0</v>
      </c>
      <c r="H4180" s="1">
        <v>0</v>
      </c>
      <c r="I4180" s="1">
        <v>1.349E-2</v>
      </c>
    </row>
    <row r="4181" spans="1:9" x14ac:dyDescent="0.25">
      <c r="A4181" s="1">
        <v>2310160256</v>
      </c>
      <c r="B4181" s="1" t="s">
        <v>2398</v>
      </c>
      <c r="C4181" s="1" t="s">
        <v>142</v>
      </c>
      <c r="D4181" s="1" t="s">
        <v>143</v>
      </c>
      <c r="E4181" s="3">
        <v>4226</v>
      </c>
      <c r="F4181" s="1" t="s">
        <v>36</v>
      </c>
      <c r="G4181" s="1">
        <v>0</v>
      </c>
      <c r="H4181" s="3">
        <v>0</v>
      </c>
      <c r="I4181" s="1">
        <v>1.3478E-2</v>
      </c>
    </row>
    <row r="4182" spans="1:9" x14ac:dyDescent="0.25">
      <c r="A4182" s="1">
        <v>2310160257</v>
      </c>
      <c r="B4182" s="1" t="s">
        <v>2399</v>
      </c>
      <c r="C4182" s="1" t="s">
        <v>130</v>
      </c>
      <c r="D4182" s="1" t="s">
        <v>131</v>
      </c>
      <c r="E4182" s="3">
        <v>40022</v>
      </c>
      <c r="F4182" s="1" t="s">
        <v>36</v>
      </c>
      <c r="G4182" s="3">
        <v>0</v>
      </c>
      <c r="H4182" s="1">
        <v>0</v>
      </c>
      <c r="I4182" s="1">
        <v>1.1148999999999999E-2</v>
      </c>
    </row>
    <row r="4183" spans="1:9" x14ac:dyDescent="0.25">
      <c r="A4183" s="1">
        <v>2310160264</v>
      </c>
      <c r="B4183" s="1" t="s">
        <v>2400</v>
      </c>
      <c r="C4183" s="1" t="s">
        <v>130</v>
      </c>
      <c r="D4183" s="1" t="s">
        <v>131</v>
      </c>
      <c r="E4183" s="3">
        <v>6355</v>
      </c>
      <c r="F4183" s="1" t="s">
        <v>36</v>
      </c>
      <c r="G4183" s="1">
        <v>0</v>
      </c>
      <c r="H4183" s="3">
        <v>0</v>
      </c>
      <c r="I4183" s="1">
        <v>1.1788E-2</v>
      </c>
    </row>
    <row r="4184" spans="1:9" x14ac:dyDescent="0.25">
      <c r="A4184" s="1">
        <v>2310160265</v>
      </c>
      <c r="B4184" s="1" t="s">
        <v>2401</v>
      </c>
      <c r="C4184" s="1" t="s">
        <v>130</v>
      </c>
      <c r="D4184" s="1" t="s">
        <v>131</v>
      </c>
      <c r="E4184" s="3">
        <v>20350</v>
      </c>
      <c r="F4184" s="1" t="s">
        <v>36</v>
      </c>
      <c r="G4184" s="3">
        <v>0</v>
      </c>
      <c r="H4184" s="1">
        <v>0</v>
      </c>
      <c r="I4184" s="1">
        <v>1.1646999999999999E-2</v>
      </c>
    </row>
    <row r="4185" spans="1:9" x14ac:dyDescent="0.25">
      <c r="A4185" s="1">
        <v>2310160266</v>
      </c>
      <c r="B4185" s="1" t="s">
        <v>2402</v>
      </c>
      <c r="C4185" s="1" t="s">
        <v>130</v>
      </c>
      <c r="D4185" s="1" t="s">
        <v>131</v>
      </c>
      <c r="E4185" s="3">
        <v>15288</v>
      </c>
      <c r="F4185" s="1" t="s">
        <v>36</v>
      </c>
      <c r="G4185" s="1">
        <v>0</v>
      </c>
      <c r="H4185" s="3">
        <v>0</v>
      </c>
      <c r="I4185" s="1">
        <v>3.3702000000000003E-2</v>
      </c>
    </row>
    <row r="4186" spans="1:9" x14ac:dyDescent="0.25">
      <c r="A4186" s="1">
        <v>2310160267</v>
      </c>
      <c r="B4186" s="1" t="s">
        <v>2403</v>
      </c>
      <c r="C4186" s="1" t="s">
        <v>130</v>
      </c>
      <c r="D4186" s="1" t="s">
        <v>131</v>
      </c>
      <c r="E4186" s="3">
        <v>2619</v>
      </c>
      <c r="F4186" s="1" t="s">
        <v>36</v>
      </c>
      <c r="G4186" s="3">
        <v>0</v>
      </c>
      <c r="H4186" s="1">
        <v>0</v>
      </c>
      <c r="I4186" s="1">
        <v>2.8843000000000001E-2</v>
      </c>
    </row>
    <row r="4187" spans="1:9" x14ac:dyDescent="0.25">
      <c r="A4187" s="1">
        <v>2310160269</v>
      </c>
      <c r="B4187" s="1" t="s">
        <v>2404</v>
      </c>
      <c r="C4187" s="1" t="s">
        <v>130</v>
      </c>
      <c r="D4187" s="1" t="s">
        <v>131</v>
      </c>
      <c r="E4187" s="3">
        <v>2500</v>
      </c>
      <c r="F4187" s="1" t="s">
        <v>36</v>
      </c>
      <c r="G4187" s="1">
        <v>0</v>
      </c>
      <c r="H4187" s="3">
        <v>0</v>
      </c>
      <c r="I4187" s="1">
        <v>1.0944000000000001E-2</v>
      </c>
    </row>
    <row r="4188" spans="1:9" x14ac:dyDescent="0.25">
      <c r="A4188" s="1">
        <v>2310160270</v>
      </c>
      <c r="B4188" s="1" t="s">
        <v>2405</v>
      </c>
      <c r="C4188" s="1" t="s">
        <v>130</v>
      </c>
      <c r="D4188" s="1" t="s">
        <v>131</v>
      </c>
      <c r="E4188" s="3">
        <v>270230</v>
      </c>
      <c r="F4188" s="1" t="s">
        <v>36</v>
      </c>
      <c r="G4188" s="3">
        <v>0</v>
      </c>
      <c r="H4188" s="1">
        <v>0</v>
      </c>
      <c r="I4188" s="1">
        <v>2.4677999999999999E-2</v>
      </c>
    </row>
    <row r="4189" spans="1:9" x14ac:dyDescent="0.25">
      <c r="A4189" s="1">
        <v>2310160282</v>
      </c>
      <c r="B4189" s="1" t="s">
        <v>2406</v>
      </c>
      <c r="C4189" s="1" t="s">
        <v>130</v>
      </c>
      <c r="D4189" s="1" t="s">
        <v>131</v>
      </c>
      <c r="E4189" s="3">
        <v>5187</v>
      </c>
      <c r="F4189" s="1" t="s">
        <v>36</v>
      </c>
      <c r="G4189" s="1">
        <v>0</v>
      </c>
      <c r="H4189" s="3">
        <v>3220</v>
      </c>
      <c r="I4189" s="1">
        <v>6.9065000000000001E-2</v>
      </c>
    </row>
    <row r="4190" spans="1:9" x14ac:dyDescent="0.25">
      <c r="A4190" s="1">
        <v>2310160282</v>
      </c>
      <c r="B4190" s="1" t="s">
        <v>2406</v>
      </c>
      <c r="C4190" s="1" t="s">
        <v>142</v>
      </c>
      <c r="D4190" s="1" t="s">
        <v>143</v>
      </c>
      <c r="E4190" s="3">
        <v>3265</v>
      </c>
      <c r="F4190" s="1" t="s">
        <v>36</v>
      </c>
      <c r="G4190" s="3">
        <v>3220</v>
      </c>
      <c r="H4190" s="1">
        <v>0</v>
      </c>
      <c r="I4190" s="1">
        <v>6.9066000000000002E-2</v>
      </c>
    </row>
    <row r="4191" spans="1:9" x14ac:dyDescent="0.25">
      <c r="A4191" s="1">
        <v>2310160353</v>
      </c>
      <c r="B4191" s="1" t="s">
        <v>2407</v>
      </c>
      <c r="C4191" s="1" t="s">
        <v>130</v>
      </c>
      <c r="D4191" s="1" t="s">
        <v>131</v>
      </c>
      <c r="E4191" s="3">
        <v>15000</v>
      </c>
      <c r="F4191" s="1" t="s">
        <v>36</v>
      </c>
      <c r="G4191" s="1">
        <v>0</v>
      </c>
      <c r="H4191" s="3">
        <v>0</v>
      </c>
      <c r="I4191" s="1">
        <v>1.3925999999999999E-2</v>
      </c>
    </row>
    <row r="4192" spans="1:9" x14ac:dyDescent="0.25">
      <c r="A4192" s="1">
        <v>2310160353</v>
      </c>
      <c r="B4192" s="1" t="s">
        <v>2407</v>
      </c>
      <c r="C4192" s="1" t="s">
        <v>126</v>
      </c>
      <c r="D4192" s="1" t="s">
        <v>127</v>
      </c>
      <c r="E4192" s="3">
        <v>92726.461500000005</v>
      </c>
      <c r="F4192" s="1" t="s">
        <v>36</v>
      </c>
      <c r="G4192" s="3">
        <v>0</v>
      </c>
      <c r="H4192" s="1">
        <v>0</v>
      </c>
      <c r="I4192" s="1">
        <v>1.1991E-2</v>
      </c>
    </row>
    <row r="4193" spans="1:9" x14ac:dyDescent="0.25">
      <c r="A4193" s="1">
        <v>2310160354</v>
      </c>
      <c r="B4193" s="1" t="s">
        <v>2408</v>
      </c>
      <c r="C4193" s="1" t="s">
        <v>130</v>
      </c>
      <c r="D4193" s="1" t="s">
        <v>131</v>
      </c>
      <c r="E4193" s="3">
        <v>4478.6153999999997</v>
      </c>
      <c r="F4193" s="1" t="s">
        <v>36</v>
      </c>
      <c r="G4193" s="1">
        <v>0</v>
      </c>
      <c r="H4193" s="3">
        <v>0</v>
      </c>
      <c r="I4193" s="1">
        <v>1.2331999999999999E-2</v>
      </c>
    </row>
    <row r="4194" spans="1:9" x14ac:dyDescent="0.25">
      <c r="A4194" s="1">
        <v>2310160355</v>
      </c>
      <c r="B4194" s="1" t="s">
        <v>2409</v>
      </c>
      <c r="C4194" s="1" t="s">
        <v>130</v>
      </c>
      <c r="D4194" s="1" t="s">
        <v>131</v>
      </c>
      <c r="E4194" s="3">
        <v>49017.741600000001</v>
      </c>
      <c r="F4194" s="1" t="s">
        <v>36</v>
      </c>
      <c r="G4194" s="3">
        <v>0</v>
      </c>
      <c r="H4194" s="1">
        <v>0</v>
      </c>
      <c r="I4194" s="1">
        <v>2.2232999999999999E-2</v>
      </c>
    </row>
    <row r="4195" spans="1:9" x14ac:dyDescent="0.25">
      <c r="A4195" s="1">
        <v>2310160356</v>
      </c>
      <c r="B4195" s="1" t="s">
        <v>2410</v>
      </c>
      <c r="C4195" s="1" t="s">
        <v>130</v>
      </c>
      <c r="D4195" s="1" t="s">
        <v>131</v>
      </c>
      <c r="E4195" s="3">
        <v>4889.2488000000003</v>
      </c>
      <c r="F4195" s="1" t="s">
        <v>36</v>
      </c>
      <c r="G4195" s="1">
        <v>0</v>
      </c>
      <c r="H4195" s="3">
        <v>0</v>
      </c>
      <c r="I4195" s="1">
        <v>2.2374000000000002E-2</v>
      </c>
    </row>
    <row r="4196" spans="1:9" x14ac:dyDescent="0.25">
      <c r="A4196" s="1">
        <v>2310160357</v>
      </c>
      <c r="B4196" s="1" t="s">
        <v>2411</v>
      </c>
      <c r="C4196" s="1" t="s">
        <v>130</v>
      </c>
      <c r="D4196" s="1" t="s">
        <v>131</v>
      </c>
      <c r="E4196" s="3">
        <v>14204.2042</v>
      </c>
      <c r="F4196" s="1" t="s">
        <v>36</v>
      </c>
      <c r="G4196" s="3">
        <v>0</v>
      </c>
      <c r="H4196" s="1">
        <v>0</v>
      </c>
      <c r="I4196" s="1">
        <v>7.0129999999999998E-2</v>
      </c>
    </row>
    <row r="4197" spans="1:9" x14ac:dyDescent="0.25">
      <c r="A4197" s="1">
        <v>2310160359</v>
      </c>
      <c r="B4197" s="1" t="s">
        <v>2412</v>
      </c>
      <c r="C4197" s="1" t="s">
        <v>130</v>
      </c>
      <c r="D4197" s="1" t="s">
        <v>131</v>
      </c>
      <c r="E4197" s="3">
        <v>10735.735699999999</v>
      </c>
      <c r="F4197" s="1" t="s">
        <v>36</v>
      </c>
      <c r="G4197" s="1">
        <v>0</v>
      </c>
      <c r="H4197" s="3">
        <v>0</v>
      </c>
      <c r="I4197" s="1">
        <v>0.104993</v>
      </c>
    </row>
    <row r="4198" spans="1:9" x14ac:dyDescent="0.25">
      <c r="A4198" s="1">
        <v>2310160361</v>
      </c>
      <c r="B4198" s="1" t="s">
        <v>2413</v>
      </c>
      <c r="C4198" s="1" t="s">
        <v>130</v>
      </c>
      <c r="D4198" s="1" t="s">
        <v>131</v>
      </c>
      <c r="E4198" s="3">
        <v>10095.2381</v>
      </c>
      <c r="F4198" s="1" t="s">
        <v>36</v>
      </c>
      <c r="G4198" s="3">
        <v>0</v>
      </c>
      <c r="H4198" s="1">
        <v>0</v>
      </c>
      <c r="I4198" s="1">
        <v>3.1826E-2</v>
      </c>
    </row>
    <row r="4199" spans="1:9" x14ac:dyDescent="0.25">
      <c r="A4199" s="1">
        <v>2310160372</v>
      </c>
      <c r="B4199" s="1" t="s">
        <v>2414</v>
      </c>
      <c r="C4199" s="1" t="s">
        <v>130</v>
      </c>
      <c r="D4199" s="1" t="s">
        <v>131</v>
      </c>
      <c r="E4199" s="3">
        <v>73565.813999999998</v>
      </c>
      <c r="F4199" s="1" t="s">
        <v>36</v>
      </c>
      <c r="G4199" s="1">
        <v>0</v>
      </c>
      <c r="H4199" s="3">
        <v>0</v>
      </c>
      <c r="I4199" s="1">
        <v>1.4926E-2</v>
      </c>
    </row>
    <row r="4200" spans="1:9" x14ac:dyDescent="0.25">
      <c r="A4200" s="1">
        <v>2310160373</v>
      </c>
      <c r="B4200" s="1" t="s">
        <v>2415</v>
      </c>
      <c r="C4200" s="1" t="s">
        <v>130</v>
      </c>
      <c r="D4200" s="1" t="s">
        <v>131</v>
      </c>
      <c r="E4200" s="3">
        <v>38308.953500000003</v>
      </c>
      <c r="F4200" s="1" t="s">
        <v>36</v>
      </c>
      <c r="G4200" s="1">
        <v>0</v>
      </c>
      <c r="H4200" s="1">
        <v>0</v>
      </c>
      <c r="I4200" s="1">
        <v>1.2995E-2</v>
      </c>
    </row>
    <row r="4201" spans="1:9" x14ac:dyDescent="0.25">
      <c r="A4201" s="1">
        <v>2310160374</v>
      </c>
      <c r="B4201" s="1" t="s">
        <v>2416</v>
      </c>
      <c r="C4201" s="1" t="s">
        <v>130</v>
      </c>
      <c r="D4201" s="1" t="s">
        <v>131</v>
      </c>
      <c r="E4201" s="3">
        <v>52916.767399999997</v>
      </c>
      <c r="F4201" s="1" t="s">
        <v>36</v>
      </c>
      <c r="G4201" s="1">
        <v>0</v>
      </c>
      <c r="H4201" s="1">
        <v>0</v>
      </c>
      <c r="I4201" s="1">
        <v>1.5668000000000001E-2</v>
      </c>
    </row>
    <row r="4202" spans="1:9" x14ac:dyDescent="0.25">
      <c r="A4202" s="1">
        <v>2310160375</v>
      </c>
      <c r="B4202" s="1" t="s">
        <v>2417</v>
      </c>
      <c r="C4202" s="1" t="s">
        <v>130</v>
      </c>
      <c r="D4202" s="1" t="s">
        <v>131</v>
      </c>
      <c r="E4202" s="3">
        <v>24019.767400000001</v>
      </c>
      <c r="F4202" s="1" t="s">
        <v>36</v>
      </c>
      <c r="G4202" s="1">
        <v>0</v>
      </c>
      <c r="H4202" s="1">
        <v>0</v>
      </c>
      <c r="I4202" s="1">
        <v>1.2462000000000001E-2</v>
      </c>
    </row>
    <row r="4203" spans="1:9" x14ac:dyDescent="0.25">
      <c r="A4203" s="1">
        <v>2310160380</v>
      </c>
      <c r="B4203" s="1" t="s">
        <v>2418</v>
      </c>
      <c r="C4203" s="1" t="s">
        <v>130</v>
      </c>
      <c r="D4203" s="1" t="s">
        <v>131</v>
      </c>
      <c r="E4203" s="3">
        <v>70650</v>
      </c>
      <c r="F4203" s="1" t="s">
        <v>36</v>
      </c>
      <c r="G4203" s="1">
        <v>0</v>
      </c>
      <c r="H4203" s="3">
        <v>0</v>
      </c>
      <c r="I4203" s="1">
        <v>4.0200000000000001E-3</v>
      </c>
    </row>
    <row r="4204" spans="1:9" x14ac:dyDescent="0.25">
      <c r="A4204" s="1">
        <v>2310160381</v>
      </c>
      <c r="B4204" s="1" t="s">
        <v>2419</v>
      </c>
      <c r="C4204" s="1" t="s">
        <v>130</v>
      </c>
      <c r="D4204" s="1" t="s">
        <v>131</v>
      </c>
      <c r="E4204" s="3">
        <v>182217.6923</v>
      </c>
      <c r="F4204" s="1" t="s">
        <v>36</v>
      </c>
      <c r="G4204" s="1">
        <v>0</v>
      </c>
      <c r="H4204" s="1">
        <v>0</v>
      </c>
      <c r="I4204" s="1">
        <v>7.2439999999999996E-3</v>
      </c>
    </row>
    <row r="4205" spans="1:9" x14ac:dyDescent="0.25">
      <c r="A4205" s="1">
        <v>2310160382</v>
      </c>
      <c r="B4205" s="1" t="s">
        <v>2420</v>
      </c>
      <c r="C4205" s="1" t="s">
        <v>130</v>
      </c>
      <c r="D4205" s="1" t="s">
        <v>131</v>
      </c>
      <c r="E4205" s="3">
        <v>136283.38459999999</v>
      </c>
      <c r="F4205" s="1" t="s">
        <v>36</v>
      </c>
      <c r="G4205" s="1">
        <v>0</v>
      </c>
      <c r="H4205" s="1">
        <v>0</v>
      </c>
      <c r="I4205" s="1">
        <v>3.6029999999999999E-3</v>
      </c>
    </row>
    <row r="4206" spans="1:9" x14ac:dyDescent="0.25">
      <c r="A4206" s="1">
        <v>2310160383</v>
      </c>
      <c r="B4206" s="1" t="s">
        <v>2421</v>
      </c>
      <c r="C4206" s="1" t="s">
        <v>130</v>
      </c>
      <c r="D4206" s="1" t="s">
        <v>131</v>
      </c>
      <c r="E4206" s="3">
        <v>48461.538500000002</v>
      </c>
      <c r="F4206" s="1" t="s">
        <v>36</v>
      </c>
      <c r="G4206" s="1">
        <v>0</v>
      </c>
      <c r="H4206" s="1">
        <v>0</v>
      </c>
      <c r="I4206" s="1">
        <v>9.3860000000000002E-3</v>
      </c>
    </row>
    <row r="4207" spans="1:9" x14ac:dyDescent="0.25">
      <c r="A4207" s="1">
        <v>2310160384</v>
      </c>
      <c r="B4207" s="1" t="s">
        <v>2422</v>
      </c>
      <c r="C4207" s="1" t="s">
        <v>130</v>
      </c>
      <c r="D4207" s="1" t="s">
        <v>131</v>
      </c>
      <c r="E4207" s="3">
        <v>31538.461500000001</v>
      </c>
      <c r="F4207" s="1" t="s">
        <v>36</v>
      </c>
      <c r="G4207" s="1">
        <v>0</v>
      </c>
      <c r="H4207" s="1">
        <v>0</v>
      </c>
      <c r="I4207" s="1">
        <v>1.0318000000000001E-2</v>
      </c>
    </row>
    <row r="4208" spans="1:9" x14ac:dyDescent="0.25">
      <c r="A4208" s="1">
        <v>2310160385</v>
      </c>
      <c r="B4208" s="1" t="s">
        <v>2423</v>
      </c>
      <c r="C4208" s="1" t="s">
        <v>130</v>
      </c>
      <c r="D4208" s="1" t="s">
        <v>131</v>
      </c>
      <c r="E4208" s="3">
        <v>43846.1538</v>
      </c>
      <c r="F4208" s="1" t="s">
        <v>36</v>
      </c>
      <c r="G4208" s="1">
        <v>0</v>
      </c>
      <c r="H4208" s="1">
        <v>0</v>
      </c>
      <c r="I4208" s="1">
        <v>4.47E-3</v>
      </c>
    </row>
    <row r="4209" spans="1:9" x14ac:dyDescent="0.25">
      <c r="A4209" s="1">
        <v>2310160386</v>
      </c>
      <c r="B4209" s="1" t="s">
        <v>2424</v>
      </c>
      <c r="C4209" s="1" t="s">
        <v>130</v>
      </c>
      <c r="D4209" s="1" t="s">
        <v>131</v>
      </c>
      <c r="E4209" s="3">
        <v>32307.692299999999</v>
      </c>
      <c r="F4209" s="1" t="s">
        <v>36</v>
      </c>
      <c r="G4209" s="1">
        <v>0</v>
      </c>
      <c r="H4209" s="1">
        <v>0</v>
      </c>
      <c r="I4209" s="1">
        <v>7.4530000000000004E-3</v>
      </c>
    </row>
    <row r="4210" spans="1:9" x14ac:dyDescent="0.25">
      <c r="A4210" s="1">
        <v>2310160387</v>
      </c>
      <c r="B4210" s="1" t="s">
        <v>2425</v>
      </c>
      <c r="C4210" s="1" t="s">
        <v>130</v>
      </c>
      <c r="D4210" s="1" t="s">
        <v>131</v>
      </c>
      <c r="E4210" s="3">
        <v>46923.0769</v>
      </c>
      <c r="F4210" s="1" t="s">
        <v>36</v>
      </c>
      <c r="G4210" s="1">
        <v>0</v>
      </c>
      <c r="H4210" s="1">
        <v>0</v>
      </c>
      <c r="I4210" s="1">
        <v>4.7289999999999997E-3</v>
      </c>
    </row>
    <row r="4211" spans="1:9" x14ac:dyDescent="0.25">
      <c r="A4211" s="1">
        <v>2310160388</v>
      </c>
      <c r="B4211" s="1" t="s">
        <v>2426</v>
      </c>
      <c r="C4211" s="1" t="s">
        <v>130</v>
      </c>
      <c r="D4211" s="1" t="s">
        <v>131</v>
      </c>
      <c r="E4211" s="3">
        <v>47692.307699999998</v>
      </c>
      <c r="F4211" s="1" t="s">
        <v>36</v>
      </c>
      <c r="G4211" s="1">
        <v>0</v>
      </c>
      <c r="H4211" s="1">
        <v>0</v>
      </c>
      <c r="I4211" s="1">
        <v>7.7419999999999998E-3</v>
      </c>
    </row>
    <row r="4212" spans="1:9" x14ac:dyDescent="0.25">
      <c r="A4212" s="1">
        <v>2310160389</v>
      </c>
      <c r="B4212" s="1" t="s">
        <v>2427</v>
      </c>
      <c r="C4212" s="1" t="s">
        <v>130</v>
      </c>
      <c r="D4212" s="1" t="s">
        <v>131</v>
      </c>
      <c r="E4212" s="3">
        <v>63846.1538</v>
      </c>
      <c r="F4212" s="1" t="s">
        <v>36</v>
      </c>
      <c r="G4212" s="1">
        <v>0</v>
      </c>
      <c r="H4212" s="1">
        <v>0</v>
      </c>
      <c r="I4212" s="1">
        <v>9.9819999999999996E-3</v>
      </c>
    </row>
    <row r="4213" spans="1:9" x14ac:dyDescent="0.25">
      <c r="A4213" s="1">
        <v>2310160390</v>
      </c>
      <c r="B4213" s="1" t="s">
        <v>2428</v>
      </c>
      <c r="C4213" s="1" t="s">
        <v>130</v>
      </c>
      <c r="D4213" s="1" t="s">
        <v>131</v>
      </c>
      <c r="E4213" s="3">
        <v>35864.197500000002</v>
      </c>
      <c r="F4213" s="1" t="s">
        <v>36</v>
      </c>
      <c r="G4213" s="1">
        <v>0</v>
      </c>
      <c r="H4213" s="1">
        <v>0</v>
      </c>
      <c r="I4213" s="1">
        <v>1.9161000000000001E-2</v>
      </c>
    </row>
    <row r="4214" spans="1:9" x14ac:dyDescent="0.25">
      <c r="A4214" s="1">
        <v>2310160391</v>
      </c>
      <c r="B4214" s="1" t="s">
        <v>2429</v>
      </c>
      <c r="C4214" s="1" t="s">
        <v>130</v>
      </c>
      <c r="D4214" s="1" t="s">
        <v>131</v>
      </c>
      <c r="E4214" s="3">
        <v>34012.345699999998</v>
      </c>
      <c r="F4214" s="1" t="s">
        <v>36</v>
      </c>
      <c r="G4214" s="1">
        <v>0</v>
      </c>
      <c r="H4214" s="1">
        <v>0</v>
      </c>
      <c r="I4214" s="1">
        <v>2.3289000000000001E-2</v>
      </c>
    </row>
    <row r="4215" spans="1:9" x14ac:dyDescent="0.25">
      <c r="A4215" s="1">
        <v>2310160392</v>
      </c>
      <c r="B4215" s="1" t="s">
        <v>2430</v>
      </c>
      <c r="C4215" s="1" t="s">
        <v>130</v>
      </c>
      <c r="D4215" s="1" t="s">
        <v>131</v>
      </c>
      <c r="E4215" s="3">
        <v>34753.0864</v>
      </c>
      <c r="F4215" s="1" t="s">
        <v>36</v>
      </c>
      <c r="G4215" s="1">
        <v>0</v>
      </c>
      <c r="H4215" s="1">
        <v>0</v>
      </c>
      <c r="I4215" s="1">
        <v>2.2477E-2</v>
      </c>
    </row>
    <row r="4216" spans="1:9" x14ac:dyDescent="0.25">
      <c r="A4216" s="1">
        <v>2310160393</v>
      </c>
      <c r="B4216" s="1" t="s">
        <v>2431</v>
      </c>
      <c r="C4216" s="1" t="s">
        <v>130</v>
      </c>
      <c r="D4216" s="1" t="s">
        <v>131</v>
      </c>
      <c r="E4216" s="3">
        <v>35061.7284</v>
      </c>
      <c r="F4216" s="1" t="s">
        <v>36</v>
      </c>
      <c r="G4216" s="1">
        <v>0</v>
      </c>
      <c r="H4216" s="1">
        <v>0</v>
      </c>
      <c r="I4216" s="1">
        <v>2.3661000000000001E-2</v>
      </c>
    </row>
    <row r="4217" spans="1:9" x14ac:dyDescent="0.25">
      <c r="A4217" s="1">
        <v>2310160394</v>
      </c>
      <c r="B4217" s="1" t="s">
        <v>2432</v>
      </c>
      <c r="C4217" s="1" t="s">
        <v>130</v>
      </c>
      <c r="D4217" s="1" t="s">
        <v>131</v>
      </c>
      <c r="E4217" s="3">
        <v>35246.9136</v>
      </c>
      <c r="F4217" s="1" t="s">
        <v>36</v>
      </c>
      <c r="G4217" s="1">
        <v>0</v>
      </c>
      <c r="H4217" s="1">
        <v>0</v>
      </c>
      <c r="I4217" s="1">
        <v>2.2353000000000001E-2</v>
      </c>
    </row>
    <row r="4218" spans="1:9" x14ac:dyDescent="0.25">
      <c r="A4218" s="1">
        <v>2310160396</v>
      </c>
      <c r="B4218" s="1" t="s">
        <v>2433</v>
      </c>
      <c r="C4218" s="1" t="s">
        <v>130</v>
      </c>
      <c r="D4218" s="1" t="s">
        <v>131</v>
      </c>
      <c r="E4218" s="3">
        <v>35925.925900000002</v>
      </c>
      <c r="F4218" s="1" t="s">
        <v>36</v>
      </c>
      <c r="G4218" s="3">
        <v>0</v>
      </c>
      <c r="H4218" s="1">
        <v>0</v>
      </c>
      <c r="I4218" s="1">
        <v>2.1531000000000002E-2</v>
      </c>
    </row>
    <row r="4219" spans="1:9" x14ac:dyDescent="0.25">
      <c r="A4219" s="1">
        <v>2310160413</v>
      </c>
      <c r="B4219" s="1" t="s">
        <v>2434</v>
      </c>
      <c r="C4219" s="1" t="s">
        <v>130</v>
      </c>
      <c r="D4219" s="1" t="s">
        <v>131</v>
      </c>
      <c r="E4219" s="3">
        <v>9692.3076999999994</v>
      </c>
      <c r="F4219" s="1" t="s">
        <v>36</v>
      </c>
      <c r="G4219" s="1">
        <v>0</v>
      </c>
      <c r="H4219" s="3">
        <v>0</v>
      </c>
      <c r="I4219" s="1">
        <v>2.6346000000000001E-2</v>
      </c>
    </row>
    <row r="4220" spans="1:9" x14ac:dyDescent="0.25">
      <c r="A4220" s="1">
        <v>2310160417</v>
      </c>
      <c r="B4220" s="1" t="s">
        <v>2435</v>
      </c>
      <c r="C4220" s="1" t="s">
        <v>130</v>
      </c>
      <c r="D4220" s="1" t="s">
        <v>131</v>
      </c>
      <c r="E4220" s="3">
        <v>35029.239800000003</v>
      </c>
      <c r="F4220" s="1" t="s">
        <v>36</v>
      </c>
      <c r="G4220" s="1">
        <v>0</v>
      </c>
      <c r="H4220" s="1">
        <v>0</v>
      </c>
      <c r="I4220" s="1">
        <v>2.5545000000000002E-2</v>
      </c>
    </row>
    <row r="4221" spans="1:9" x14ac:dyDescent="0.25">
      <c r="A4221" s="1">
        <v>2310160423</v>
      </c>
      <c r="B4221" s="1" t="s">
        <v>2436</v>
      </c>
      <c r="C4221" s="1" t="s">
        <v>130</v>
      </c>
      <c r="D4221" s="1" t="s">
        <v>131</v>
      </c>
      <c r="E4221" s="3">
        <v>11111.1111</v>
      </c>
      <c r="F4221" s="1" t="s">
        <v>36</v>
      </c>
      <c r="G4221" s="1">
        <v>0</v>
      </c>
      <c r="H4221" s="1">
        <v>0</v>
      </c>
      <c r="I4221" s="1">
        <v>2.5985000000000001E-2</v>
      </c>
    </row>
    <row r="4222" spans="1:9" x14ac:dyDescent="0.25">
      <c r="A4222" s="1">
        <v>2310160424</v>
      </c>
      <c r="B4222" s="1" t="s">
        <v>2437</v>
      </c>
      <c r="C4222" s="1" t="s">
        <v>130</v>
      </c>
      <c r="D4222" s="1" t="s">
        <v>131</v>
      </c>
      <c r="E4222" s="3">
        <v>1869</v>
      </c>
      <c r="F4222" s="1" t="s">
        <v>36</v>
      </c>
      <c r="G4222" s="1">
        <v>0</v>
      </c>
      <c r="H4222" s="1">
        <v>0</v>
      </c>
      <c r="I4222" s="1">
        <v>9.1599999999999997E-3</v>
      </c>
    </row>
    <row r="4223" spans="1:9" x14ac:dyDescent="0.25">
      <c r="A4223" s="1">
        <v>2310160426</v>
      </c>
      <c r="B4223" s="1" t="s">
        <v>2438</v>
      </c>
      <c r="C4223" s="1" t="s">
        <v>130</v>
      </c>
      <c r="D4223" s="1" t="s">
        <v>131</v>
      </c>
      <c r="E4223" s="3">
        <v>1682</v>
      </c>
      <c r="F4223" s="1" t="s">
        <v>36</v>
      </c>
      <c r="G4223" s="1">
        <v>0</v>
      </c>
      <c r="H4223" s="1">
        <v>0</v>
      </c>
      <c r="I4223" s="1">
        <v>8.2819999999999994E-3</v>
      </c>
    </row>
    <row r="4224" spans="1:9" x14ac:dyDescent="0.25">
      <c r="A4224" s="1">
        <v>2310160427</v>
      </c>
      <c r="B4224" s="1" t="s">
        <v>2439</v>
      </c>
      <c r="C4224" s="1" t="s">
        <v>130</v>
      </c>
      <c r="D4224" s="1" t="s">
        <v>131</v>
      </c>
      <c r="E4224" s="3">
        <v>2803.0036</v>
      </c>
      <c r="F4224" s="1" t="s">
        <v>36</v>
      </c>
      <c r="G4224" s="1">
        <v>0</v>
      </c>
      <c r="H4224" s="1">
        <v>0</v>
      </c>
      <c r="I4224" s="1">
        <v>1.0980999999999999E-2</v>
      </c>
    </row>
    <row r="4225" spans="1:9" x14ac:dyDescent="0.25">
      <c r="A4225" s="1">
        <v>2310160429</v>
      </c>
      <c r="B4225" s="1" t="s">
        <v>2440</v>
      </c>
      <c r="C4225" s="1" t="s">
        <v>130</v>
      </c>
      <c r="D4225" s="1" t="s">
        <v>131</v>
      </c>
      <c r="E4225" s="3">
        <v>1109.6364000000001</v>
      </c>
      <c r="F4225" s="1" t="s">
        <v>36</v>
      </c>
      <c r="G4225" s="3">
        <v>0</v>
      </c>
      <c r="H4225" s="1">
        <v>0</v>
      </c>
      <c r="I4225" s="1">
        <v>1.2886999999999999E-2</v>
      </c>
    </row>
    <row r="4226" spans="1:9" x14ac:dyDescent="0.25">
      <c r="A4226" s="1">
        <v>2310160431</v>
      </c>
      <c r="B4226" s="1" t="s">
        <v>2441</v>
      </c>
      <c r="C4226" s="1" t="s">
        <v>130</v>
      </c>
      <c r="D4226" s="1" t="s">
        <v>131</v>
      </c>
      <c r="E4226" s="1">
        <v>373.0027</v>
      </c>
      <c r="F4226" s="1" t="s">
        <v>36</v>
      </c>
      <c r="G4226" s="1">
        <v>0</v>
      </c>
      <c r="H4226" s="1">
        <v>0</v>
      </c>
      <c r="I4226" s="1">
        <v>1.1206000000000001E-2</v>
      </c>
    </row>
    <row r="4227" spans="1:9" x14ac:dyDescent="0.25">
      <c r="A4227" s="1">
        <v>2310160432</v>
      </c>
      <c r="B4227" s="1" t="s">
        <v>2442</v>
      </c>
      <c r="C4227" s="1" t="s">
        <v>130</v>
      </c>
      <c r="D4227" s="1" t="s">
        <v>131</v>
      </c>
      <c r="E4227" s="3">
        <v>3578.82</v>
      </c>
      <c r="F4227" s="1" t="s">
        <v>36</v>
      </c>
      <c r="G4227" s="1">
        <v>0</v>
      </c>
      <c r="H4227" s="1">
        <v>0</v>
      </c>
      <c r="I4227" s="1">
        <v>9.4439999999999993E-3</v>
      </c>
    </row>
    <row r="4228" spans="1:9" x14ac:dyDescent="0.25">
      <c r="A4228" s="1">
        <v>2310160433</v>
      </c>
      <c r="B4228" s="1" t="s">
        <v>2443</v>
      </c>
      <c r="C4228" s="1" t="s">
        <v>130</v>
      </c>
      <c r="D4228" s="1" t="s">
        <v>131</v>
      </c>
      <c r="E4228" s="3">
        <v>1000</v>
      </c>
      <c r="F4228" s="1" t="s">
        <v>36</v>
      </c>
      <c r="G4228" s="1">
        <v>0</v>
      </c>
      <c r="H4228" s="1">
        <v>0</v>
      </c>
      <c r="I4228" s="1">
        <v>1.031E-2</v>
      </c>
    </row>
    <row r="4229" spans="1:9" x14ac:dyDescent="0.25">
      <c r="A4229" s="1">
        <v>2310160434</v>
      </c>
      <c r="B4229" s="1" t="s">
        <v>2444</v>
      </c>
      <c r="C4229" s="1" t="s">
        <v>130</v>
      </c>
      <c r="D4229" s="1" t="s">
        <v>131</v>
      </c>
      <c r="E4229" s="1">
        <v>666</v>
      </c>
      <c r="F4229" s="1" t="s">
        <v>36</v>
      </c>
      <c r="G4229" s="1">
        <v>0</v>
      </c>
      <c r="H4229" s="1">
        <v>0</v>
      </c>
      <c r="I4229" s="1">
        <v>1.0120000000000001E-2</v>
      </c>
    </row>
    <row r="4230" spans="1:9" x14ac:dyDescent="0.25">
      <c r="A4230" s="1">
        <v>2310160436</v>
      </c>
      <c r="B4230" s="1" t="s">
        <v>2445</v>
      </c>
      <c r="C4230" s="1" t="s">
        <v>130</v>
      </c>
      <c r="D4230" s="1" t="s">
        <v>131</v>
      </c>
      <c r="E4230" s="3">
        <v>2444</v>
      </c>
      <c r="F4230" s="1" t="s">
        <v>36</v>
      </c>
      <c r="G4230" s="1">
        <v>0</v>
      </c>
      <c r="H4230" s="1">
        <v>0</v>
      </c>
      <c r="I4230" s="1">
        <v>1.0229E-2</v>
      </c>
    </row>
    <row r="4231" spans="1:9" x14ac:dyDescent="0.25">
      <c r="A4231" s="1">
        <v>2310160438</v>
      </c>
      <c r="B4231" s="1" t="s">
        <v>2446</v>
      </c>
      <c r="C4231" s="1" t="s">
        <v>130</v>
      </c>
      <c r="D4231" s="1" t="s">
        <v>131</v>
      </c>
      <c r="E4231" s="1">
        <v>330.0018</v>
      </c>
      <c r="F4231" s="1" t="s">
        <v>36</v>
      </c>
      <c r="G4231" s="1">
        <v>0</v>
      </c>
      <c r="H4231" s="1">
        <v>0</v>
      </c>
      <c r="I4231" s="1">
        <v>9.6970000000000008E-3</v>
      </c>
    </row>
    <row r="4232" spans="1:9" x14ac:dyDescent="0.25">
      <c r="A4232" s="1">
        <v>2310160441</v>
      </c>
      <c r="B4232" s="1" t="s">
        <v>2447</v>
      </c>
      <c r="C4232" s="1" t="s">
        <v>130</v>
      </c>
      <c r="D4232" s="1" t="s">
        <v>131</v>
      </c>
      <c r="E4232" s="1">
        <v>370</v>
      </c>
      <c r="F4232" s="1" t="s">
        <v>36</v>
      </c>
      <c r="G4232" s="1">
        <v>0</v>
      </c>
      <c r="H4232" s="1">
        <v>0</v>
      </c>
      <c r="I4232" s="1">
        <v>8.1620000000000009E-3</v>
      </c>
    </row>
    <row r="4233" spans="1:9" x14ac:dyDescent="0.25">
      <c r="A4233" s="1">
        <v>2310160442</v>
      </c>
      <c r="B4233" s="1" t="s">
        <v>2448</v>
      </c>
      <c r="C4233" s="1" t="s">
        <v>130</v>
      </c>
      <c r="D4233" s="1" t="s">
        <v>131</v>
      </c>
      <c r="E4233" s="1">
        <v>70.001800000000003</v>
      </c>
      <c r="F4233" s="1" t="s">
        <v>36</v>
      </c>
      <c r="G4233" s="1">
        <v>0</v>
      </c>
      <c r="H4233" s="1">
        <v>0</v>
      </c>
      <c r="I4233" s="1">
        <v>1.1285E-2</v>
      </c>
    </row>
    <row r="4234" spans="1:9" x14ac:dyDescent="0.25">
      <c r="A4234" s="1">
        <v>2310160454</v>
      </c>
      <c r="B4234" s="1" t="s">
        <v>2449</v>
      </c>
      <c r="C4234" s="1" t="s">
        <v>130</v>
      </c>
      <c r="D4234" s="1" t="s">
        <v>131</v>
      </c>
      <c r="E4234" s="3">
        <v>1333</v>
      </c>
      <c r="F4234" s="1" t="s">
        <v>36</v>
      </c>
      <c r="G4234" s="1">
        <v>0</v>
      </c>
      <c r="H4234" s="1">
        <v>0</v>
      </c>
      <c r="I4234" s="1">
        <v>1.1724999999999999E-2</v>
      </c>
    </row>
    <row r="4235" spans="1:9" x14ac:dyDescent="0.25">
      <c r="A4235" s="1">
        <v>2310160457</v>
      </c>
      <c r="B4235" s="1" t="s">
        <v>2450</v>
      </c>
      <c r="C4235" s="1" t="s">
        <v>130</v>
      </c>
      <c r="D4235" s="1" t="s">
        <v>131</v>
      </c>
      <c r="E4235" s="3">
        <v>39760</v>
      </c>
      <c r="F4235" s="1" t="s">
        <v>36</v>
      </c>
      <c r="G4235" s="1">
        <v>0</v>
      </c>
      <c r="H4235" s="1">
        <v>0</v>
      </c>
      <c r="I4235" s="1">
        <v>4.7653000000000001E-2</v>
      </c>
    </row>
    <row r="4236" spans="1:9" x14ac:dyDescent="0.25">
      <c r="A4236" s="1">
        <v>2310160458</v>
      </c>
      <c r="B4236" s="1" t="s">
        <v>2451</v>
      </c>
      <c r="C4236" s="1" t="s">
        <v>130</v>
      </c>
      <c r="D4236" s="1" t="s">
        <v>131</v>
      </c>
      <c r="E4236" s="3">
        <v>3783.7838000000002</v>
      </c>
      <c r="F4236" s="1" t="s">
        <v>36</v>
      </c>
      <c r="G4236" s="3">
        <v>0</v>
      </c>
      <c r="H4236" s="1">
        <v>0</v>
      </c>
      <c r="I4236" s="1">
        <v>7.2559999999999999E-2</v>
      </c>
    </row>
    <row r="4237" spans="1:9" x14ac:dyDescent="0.25">
      <c r="A4237" s="1">
        <v>2310160462</v>
      </c>
      <c r="B4237" s="1" t="s">
        <v>2452</v>
      </c>
      <c r="C4237" s="1" t="s">
        <v>130</v>
      </c>
      <c r="D4237" s="1" t="s">
        <v>131</v>
      </c>
      <c r="E4237" s="3">
        <v>3714.2856999999999</v>
      </c>
      <c r="F4237" s="1" t="s">
        <v>36</v>
      </c>
      <c r="G4237" s="1">
        <v>0</v>
      </c>
      <c r="H4237" s="1">
        <v>0</v>
      </c>
      <c r="I4237" s="1">
        <v>6.0297000000000003E-2</v>
      </c>
    </row>
    <row r="4238" spans="1:9" x14ac:dyDescent="0.25">
      <c r="A4238" s="1">
        <v>2310160463</v>
      </c>
      <c r="B4238" s="1" t="s">
        <v>2453</v>
      </c>
      <c r="C4238" s="1" t="s">
        <v>130</v>
      </c>
      <c r="D4238" s="1" t="s">
        <v>131</v>
      </c>
      <c r="E4238" s="3">
        <v>9142.8570999999993</v>
      </c>
      <c r="F4238" s="1" t="s">
        <v>36</v>
      </c>
      <c r="G4238" s="1">
        <v>0</v>
      </c>
      <c r="H4238" s="1">
        <v>0</v>
      </c>
      <c r="I4238" s="1">
        <v>6.2292E-2</v>
      </c>
    </row>
    <row r="4239" spans="1:9" x14ac:dyDescent="0.25">
      <c r="A4239" s="1">
        <v>2310160467</v>
      </c>
      <c r="B4239" s="1" t="s">
        <v>2454</v>
      </c>
      <c r="C4239" s="1" t="s">
        <v>130</v>
      </c>
      <c r="D4239" s="1" t="s">
        <v>131</v>
      </c>
      <c r="E4239" s="3">
        <v>38599.415200000003</v>
      </c>
      <c r="F4239" s="1" t="s">
        <v>36</v>
      </c>
      <c r="G4239" s="1">
        <v>0</v>
      </c>
      <c r="H4239" s="1">
        <v>0</v>
      </c>
      <c r="I4239" s="1">
        <v>2.5388000000000001E-2</v>
      </c>
    </row>
    <row r="4240" spans="1:9" x14ac:dyDescent="0.25">
      <c r="A4240" s="1">
        <v>2310160468</v>
      </c>
      <c r="B4240" s="1" t="s">
        <v>37</v>
      </c>
      <c r="C4240" s="1" t="s">
        <v>130</v>
      </c>
      <c r="D4240" s="1" t="s">
        <v>131</v>
      </c>
      <c r="E4240" s="3">
        <v>14852.8182</v>
      </c>
      <c r="F4240" s="1" t="s">
        <v>36</v>
      </c>
      <c r="G4240" s="1">
        <v>0</v>
      </c>
      <c r="H4240" s="1">
        <v>0</v>
      </c>
      <c r="I4240" s="1">
        <v>8.9440000000000006E-3</v>
      </c>
    </row>
    <row r="4241" spans="1:9" x14ac:dyDescent="0.25">
      <c r="A4241" s="1">
        <v>2310160469</v>
      </c>
      <c r="B4241" s="1" t="s">
        <v>48</v>
      </c>
      <c r="C4241" s="1" t="s">
        <v>130</v>
      </c>
      <c r="D4241" s="1" t="s">
        <v>131</v>
      </c>
      <c r="E4241" s="3">
        <v>20485</v>
      </c>
      <c r="F4241" s="1" t="s">
        <v>36</v>
      </c>
      <c r="G4241" s="1">
        <v>0</v>
      </c>
      <c r="H4241" s="1">
        <v>0</v>
      </c>
      <c r="I4241" s="1">
        <v>9.2999999999999992E-3</v>
      </c>
    </row>
    <row r="4242" spans="1:9" x14ac:dyDescent="0.25">
      <c r="A4242" s="1">
        <v>2310160470</v>
      </c>
      <c r="B4242" s="1" t="s">
        <v>44</v>
      </c>
      <c r="C4242" s="1" t="s">
        <v>130</v>
      </c>
      <c r="D4242" s="1" t="s">
        <v>131</v>
      </c>
      <c r="E4242" s="3">
        <v>61846</v>
      </c>
      <c r="F4242" s="1" t="s">
        <v>36</v>
      </c>
      <c r="G4242" s="3">
        <v>11200</v>
      </c>
      <c r="H4242" s="1">
        <v>0</v>
      </c>
      <c r="I4242" s="1">
        <v>8.7810000000000006E-3</v>
      </c>
    </row>
    <row r="4243" spans="1:9" x14ac:dyDescent="0.25">
      <c r="A4243" s="1">
        <v>2310160470</v>
      </c>
      <c r="B4243" s="1" t="s">
        <v>44</v>
      </c>
      <c r="C4243" s="1" t="s">
        <v>142</v>
      </c>
      <c r="D4243" s="1" t="s">
        <v>143</v>
      </c>
      <c r="E4243" s="1">
        <v>0</v>
      </c>
      <c r="F4243" s="1" t="s">
        <v>36</v>
      </c>
      <c r="G4243" s="1">
        <v>0</v>
      </c>
      <c r="H4243" s="3">
        <v>11200</v>
      </c>
      <c r="I4243" s="1">
        <v>8.7799999999999996E-3</v>
      </c>
    </row>
    <row r="4244" spans="1:9" x14ac:dyDescent="0.25">
      <c r="A4244" s="1">
        <v>2310160471</v>
      </c>
      <c r="B4244" s="1" t="s">
        <v>52</v>
      </c>
      <c r="C4244" s="1" t="s">
        <v>130</v>
      </c>
      <c r="D4244" s="1" t="s">
        <v>131</v>
      </c>
      <c r="E4244" s="3">
        <v>6728</v>
      </c>
      <c r="F4244" s="1" t="s">
        <v>36</v>
      </c>
      <c r="G4244" s="3">
        <v>2800</v>
      </c>
      <c r="H4244" s="1">
        <v>0</v>
      </c>
      <c r="I4244" s="1">
        <v>8.7799999999999996E-3</v>
      </c>
    </row>
    <row r="4245" spans="1:9" x14ac:dyDescent="0.25">
      <c r="A4245" s="1">
        <v>2310160471</v>
      </c>
      <c r="B4245" s="1" t="s">
        <v>52</v>
      </c>
      <c r="C4245" s="1" t="s">
        <v>142</v>
      </c>
      <c r="D4245" s="1" t="s">
        <v>143</v>
      </c>
      <c r="E4245" s="1">
        <v>0</v>
      </c>
      <c r="F4245" s="1" t="s">
        <v>36</v>
      </c>
      <c r="G4245" s="1">
        <v>0</v>
      </c>
      <c r="H4245" s="3">
        <v>2800</v>
      </c>
      <c r="I4245" s="1">
        <v>8.7790000000000003E-3</v>
      </c>
    </row>
    <row r="4246" spans="1:9" x14ac:dyDescent="0.25">
      <c r="A4246" s="1">
        <v>2310160472</v>
      </c>
      <c r="B4246" s="1" t="s">
        <v>56</v>
      </c>
      <c r="C4246" s="1" t="s">
        <v>130</v>
      </c>
      <c r="D4246" s="1" t="s">
        <v>131</v>
      </c>
      <c r="E4246" s="3">
        <v>6158</v>
      </c>
      <c r="F4246" s="1" t="s">
        <v>36</v>
      </c>
      <c r="G4246" s="1">
        <v>0</v>
      </c>
      <c r="H4246" s="1">
        <v>0</v>
      </c>
      <c r="I4246" s="1">
        <v>8.8179999999999994E-3</v>
      </c>
    </row>
    <row r="4247" spans="1:9" x14ac:dyDescent="0.25">
      <c r="A4247" s="1">
        <v>2310160473</v>
      </c>
      <c r="B4247" s="1" t="s">
        <v>60</v>
      </c>
      <c r="C4247" s="1" t="s">
        <v>130</v>
      </c>
      <c r="D4247" s="1" t="s">
        <v>131</v>
      </c>
      <c r="E4247" s="3">
        <v>6261</v>
      </c>
      <c r="F4247" s="1" t="s">
        <v>36</v>
      </c>
      <c r="G4247" s="1">
        <v>0</v>
      </c>
      <c r="H4247" s="1">
        <v>0</v>
      </c>
      <c r="I4247" s="1">
        <v>9.9150000000000002E-3</v>
      </c>
    </row>
    <row r="4248" spans="1:9" x14ac:dyDescent="0.25">
      <c r="A4248" s="1">
        <v>2310160474</v>
      </c>
      <c r="B4248" s="1" t="s">
        <v>81</v>
      </c>
      <c r="C4248" s="1" t="s">
        <v>130</v>
      </c>
      <c r="D4248" s="1" t="s">
        <v>131</v>
      </c>
      <c r="E4248" s="3">
        <v>1587</v>
      </c>
      <c r="F4248" s="1" t="s">
        <v>36</v>
      </c>
      <c r="G4248" s="1">
        <v>0</v>
      </c>
      <c r="H4248" s="1">
        <v>0</v>
      </c>
      <c r="I4248" s="1">
        <v>9.5460000000000007E-3</v>
      </c>
    </row>
    <row r="4249" spans="1:9" x14ac:dyDescent="0.25">
      <c r="A4249" s="1">
        <v>2310160474</v>
      </c>
      <c r="B4249" s="1" t="s">
        <v>81</v>
      </c>
      <c r="C4249" s="1" t="s">
        <v>142</v>
      </c>
      <c r="D4249" s="1" t="s">
        <v>143</v>
      </c>
      <c r="E4249" s="1">
        <v>0.99819999999999998</v>
      </c>
      <c r="F4249" s="1" t="s">
        <v>36</v>
      </c>
      <c r="G4249" s="1">
        <v>0</v>
      </c>
      <c r="H4249" s="1">
        <v>0</v>
      </c>
      <c r="I4249" s="1">
        <v>1.0018000000000001E-2</v>
      </c>
    </row>
    <row r="4250" spans="1:9" x14ac:dyDescent="0.25">
      <c r="A4250" s="1">
        <v>2310160475</v>
      </c>
      <c r="B4250" s="1" t="s">
        <v>68</v>
      </c>
      <c r="C4250" s="1" t="s">
        <v>130</v>
      </c>
      <c r="D4250" s="1" t="s">
        <v>131</v>
      </c>
      <c r="E4250" s="3">
        <v>16261.7273</v>
      </c>
      <c r="F4250" s="1" t="s">
        <v>36</v>
      </c>
      <c r="G4250" s="1">
        <v>0</v>
      </c>
      <c r="H4250" s="1">
        <v>0</v>
      </c>
      <c r="I4250" s="1">
        <v>1.0418E-2</v>
      </c>
    </row>
    <row r="4251" spans="1:9" x14ac:dyDescent="0.25">
      <c r="A4251" s="1">
        <v>2310160476</v>
      </c>
      <c r="B4251" s="1" t="s">
        <v>64</v>
      </c>
      <c r="C4251" s="1" t="s">
        <v>130</v>
      </c>
      <c r="D4251" s="1" t="s">
        <v>131</v>
      </c>
      <c r="E4251" s="3">
        <v>6823.8181999999997</v>
      </c>
      <c r="F4251" s="1" t="s">
        <v>36</v>
      </c>
      <c r="G4251" s="1">
        <v>0</v>
      </c>
      <c r="H4251" s="1">
        <v>0</v>
      </c>
      <c r="I4251" s="1">
        <v>8.9929999999999993E-3</v>
      </c>
    </row>
    <row r="4252" spans="1:9" x14ac:dyDescent="0.25">
      <c r="A4252" s="1">
        <v>2310160477</v>
      </c>
      <c r="B4252" s="1" t="s">
        <v>77</v>
      </c>
      <c r="C4252" s="1" t="s">
        <v>130</v>
      </c>
      <c r="D4252" s="1" t="s">
        <v>131</v>
      </c>
      <c r="E4252" s="3">
        <v>6915</v>
      </c>
      <c r="F4252" s="1" t="s">
        <v>36</v>
      </c>
      <c r="G4252" s="1">
        <v>0</v>
      </c>
      <c r="H4252" s="1">
        <v>0</v>
      </c>
      <c r="I4252" s="1">
        <v>1.0012E-2</v>
      </c>
    </row>
    <row r="4253" spans="1:9" x14ac:dyDescent="0.25">
      <c r="A4253" s="1">
        <v>2310160479</v>
      </c>
      <c r="B4253" s="1" t="s">
        <v>85</v>
      </c>
      <c r="C4253" s="1" t="s">
        <v>130</v>
      </c>
      <c r="D4253" s="1" t="s">
        <v>131</v>
      </c>
      <c r="E4253" s="3">
        <v>12055</v>
      </c>
      <c r="F4253" s="1" t="s">
        <v>36</v>
      </c>
      <c r="G4253" s="1">
        <v>0</v>
      </c>
      <c r="H4253" s="1">
        <v>0</v>
      </c>
      <c r="I4253" s="1">
        <v>1.0666E-2</v>
      </c>
    </row>
    <row r="4254" spans="1:9" x14ac:dyDescent="0.25">
      <c r="A4254" s="1">
        <v>2310160480</v>
      </c>
      <c r="B4254" s="1" t="s">
        <v>38</v>
      </c>
      <c r="C4254" s="1" t="s">
        <v>130</v>
      </c>
      <c r="D4254" s="1" t="s">
        <v>131</v>
      </c>
      <c r="E4254" s="3">
        <v>21977</v>
      </c>
      <c r="F4254" s="1" t="s">
        <v>36</v>
      </c>
      <c r="G4254" s="1">
        <v>0</v>
      </c>
      <c r="H4254" s="1">
        <v>0</v>
      </c>
      <c r="I4254" s="1">
        <v>9.7940000000000006E-3</v>
      </c>
    </row>
    <row r="4255" spans="1:9" x14ac:dyDescent="0.25">
      <c r="A4255" s="1">
        <v>2310160481</v>
      </c>
      <c r="B4255" s="1" t="s">
        <v>49</v>
      </c>
      <c r="C4255" s="1" t="s">
        <v>130</v>
      </c>
      <c r="D4255" s="1" t="s">
        <v>131</v>
      </c>
      <c r="E4255" s="3">
        <v>27877</v>
      </c>
      <c r="F4255" s="1" t="s">
        <v>36</v>
      </c>
      <c r="G4255" s="1">
        <v>0</v>
      </c>
      <c r="H4255" s="1">
        <v>0</v>
      </c>
      <c r="I4255" s="1">
        <v>9.1450000000000004E-3</v>
      </c>
    </row>
    <row r="4256" spans="1:9" x14ac:dyDescent="0.25">
      <c r="A4256" s="1">
        <v>2310160482</v>
      </c>
      <c r="B4256" s="1" t="s">
        <v>45</v>
      </c>
      <c r="C4256" s="1" t="s">
        <v>130</v>
      </c>
      <c r="D4256" s="1" t="s">
        <v>131</v>
      </c>
      <c r="E4256" s="3">
        <v>46445</v>
      </c>
      <c r="F4256" s="1" t="s">
        <v>36</v>
      </c>
      <c r="G4256" s="1">
        <v>0</v>
      </c>
      <c r="H4256" s="1">
        <v>0</v>
      </c>
      <c r="I4256" s="1">
        <v>7.0800000000000004E-3</v>
      </c>
    </row>
    <row r="4257" spans="1:9" x14ac:dyDescent="0.25">
      <c r="A4257" s="1">
        <v>2310160483</v>
      </c>
      <c r="B4257" s="1" t="s">
        <v>53</v>
      </c>
      <c r="C4257" s="1" t="s">
        <v>130</v>
      </c>
      <c r="D4257" s="1" t="s">
        <v>131</v>
      </c>
      <c r="E4257" s="3">
        <v>3666</v>
      </c>
      <c r="F4257" s="1" t="s">
        <v>36</v>
      </c>
      <c r="G4257" s="1">
        <v>0</v>
      </c>
      <c r="H4257" s="1">
        <v>0</v>
      </c>
      <c r="I4257" s="1">
        <v>9.0369999999999999E-3</v>
      </c>
    </row>
    <row r="4258" spans="1:9" x14ac:dyDescent="0.25">
      <c r="A4258" s="1">
        <v>2310160484</v>
      </c>
      <c r="B4258" s="1" t="s">
        <v>57</v>
      </c>
      <c r="C4258" s="1" t="s">
        <v>130</v>
      </c>
      <c r="D4258" s="1" t="s">
        <v>131</v>
      </c>
      <c r="E4258" s="3">
        <v>5777</v>
      </c>
      <c r="F4258" s="1" t="s">
        <v>36</v>
      </c>
      <c r="G4258" s="1">
        <v>0</v>
      </c>
      <c r="H4258" s="1">
        <v>0</v>
      </c>
      <c r="I4258" s="1">
        <v>8.1499999999999993E-3</v>
      </c>
    </row>
    <row r="4259" spans="1:9" x14ac:dyDescent="0.25">
      <c r="A4259" s="1">
        <v>2310160487</v>
      </c>
      <c r="B4259" s="1" t="s">
        <v>69</v>
      </c>
      <c r="C4259" s="1" t="s">
        <v>130</v>
      </c>
      <c r="D4259" s="1" t="s">
        <v>131</v>
      </c>
      <c r="E4259" s="3">
        <v>3000</v>
      </c>
      <c r="F4259" s="1" t="s">
        <v>36</v>
      </c>
      <c r="G4259" s="1">
        <v>0</v>
      </c>
      <c r="H4259" s="1">
        <v>0</v>
      </c>
      <c r="I4259" s="1">
        <v>9.0030000000000006E-3</v>
      </c>
    </row>
    <row r="4260" spans="1:9" x14ac:dyDescent="0.25">
      <c r="A4260" s="1">
        <v>2310160487</v>
      </c>
      <c r="B4260" s="1" t="s">
        <v>69</v>
      </c>
      <c r="C4260" s="1" t="s">
        <v>2333</v>
      </c>
      <c r="D4260" s="1" t="s">
        <v>2334</v>
      </c>
      <c r="E4260" s="3">
        <v>16500</v>
      </c>
      <c r="F4260" s="1" t="s">
        <v>36</v>
      </c>
      <c r="G4260" s="1">
        <v>0</v>
      </c>
      <c r="H4260" s="1">
        <v>0</v>
      </c>
      <c r="I4260" s="1">
        <v>8.9610000000000002E-3</v>
      </c>
    </row>
    <row r="4261" spans="1:9" x14ac:dyDescent="0.25">
      <c r="A4261" s="1">
        <v>2310160488</v>
      </c>
      <c r="B4261" s="1" t="s">
        <v>65</v>
      </c>
      <c r="C4261" s="1" t="s">
        <v>130</v>
      </c>
      <c r="D4261" s="1" t="s">
        <v>131</v>
      </c>
      <c r="E4261" s="3">
        <v>7333</v>
      </c>
      <c r="F4261" s="1" t="s">
        <v>36</v>
      </c>
      <c r="G4261" s="1">
        <v>0</v>
      </c>
      <c r="H4261" s="1">
        <v>0</v>
      </c>
      <c r="I4261" s="1">
        <v>8.5439999999999995E-3</v>
      </c>
    </row>
    <row r="4262" spans="1:9" x14ac:dyDescent="0.25">
      <c r="A4262" s="1">
        <v>2310160491</v>
      </c>
      <c r="B4262" s="1" t="s">
        <v>86</v>
      </c>
      <c r="C4262" s="1" t="s">
        <v>130</v>
      </c>
      <c r="D4262" s="1" t="s">
        <v>131</v>
      </c>
      <c r="E4262" s="3">
        <v>9708.5908999999992</v>
      </c>
      <c r="F4262" s="1" t="s">
        <v>36</v>
      </c>
      <c r="G4262" s="1">
        <v>0</v>
      </c>
      <c r="H4262" s="1">
        <v>0</v>
      </c>
      <c r="I4262" s="1">
        <v>9.7900000000000001E-3</v>
      </c>
    </row>
    <row r="4263" spans="1:9" x14ac:dyDescent="0.25">
      <c r="A4263" s="1">
        <v>2310160491</v>
      </c>
      <c r="B4263" s="1" t="s">
        <v>86</v>
      </c>
      <c r="C4263" s="1" t="s">
        <v>126</v>
      </c>
      <c r="D4263" s="1" t="s">
        <v>127</v>
      </c>
      <c r="E4263" s="3">
        <v>125461</v>
      </c>
      <c r="F4263" s="1" t="s">
        <v>36</v>
      </c>
      <c r="G4263" s="1">
        <v>0</v>
      </c>
      <c r="H4263" s="1">
        <v>0</v>
      </c>
      <c r="I4263" s="1">
        <v>8.0400000000000003E-3</v>
      </c>
    </row>
    <row r="4264" spans="1:9" x14ac:dyDescent="0.25">
      <c r="A4264" s="1">
        <v>2310160500</v>
      </c>
      <c r="B4264" s="1" t="s">
        <v>73</v>
      </c>
      <c r="C4264" s="1" t="s">
        <v>130</v>
      </c>
      <c r="D4264" s="1" t="s">
        <v>131</v>
      </c>
      <c r="E4264" s="3">
        <v>186</v>
      </c>
      <c r="F4264" s="1" t="s">
        <v>36</v>
      </c>
      <c r="G4264" s="1">
        <v>0</v>
      </c>
      <c r="H4264" s="1">
        <v>0</v>
      </c>
      <c r="I4264" s="1">
        <v>1.1774E-2</v>
      </c>
    </row>
    <row r="4265" spans="1:9" x14ac:dyDescent="0.25">
      <c r="A4265" s="1">
        <v>2310160501</v>
      </c>
      <c r="B4265" s="1" t="s">
        <v>74</v>
      </c>
      <c r="C4265" s="1" t="s">
        <v>130</v>
      </c>
      <c r="D4265" s="1" t="s">
        <v>131</v>
      </c>
      <c r="E4265" s="3">
        <v>6108.0009</v>
      </c>
      <c r="F4265" s="1" t="s">
        <v>36</v>
      </c>
      <c r="G4265" s="1">
        <v>0</v>
      </c>
      <c r="H4265" s="1">
        <v>0</v>
      </c>
      <c r="I4265" s="1">
        <v>1.1063E-2</v>
      </c>
    </row>
    <row r="4266" spans="1:9" x14ac:dyDescent="0.25">
      <c r="A4266" s="1">
        <v>2310160511</v>
      </c>
      <c r="B4266" s="1" t="s">
        <v>2455</v>
      </c>
      <c r="C4266" s="1" t="s">
        <v>130</v>
      </c>
      <c r="D4266" s="1" t="s">
        <v>131</v>
      </c>
      <c r="E4266" s="3">
        <v>2000</v>
      </c>
      <c r="F4266" s="1" t="s">
        <v>36</v>
      </c>
      <c r="G4266" s="1">
        <v>0</v>
      </c>
      <c r="H4266" s="1">
        <v>0</v>
      </c>
      <c r="I4266" s="1">
        <v>3.6374999999999998E-2</v>
      </c>
    </row>
    <row r="4267" spans="1:9" x14ac:dyDescent="0.25">
      <c r="A4267" s="1">
        <v>2310160512</v>
      </c>
      <c r="B4267" s="1" t="s">
        <v>2456</v>
      </c>
      <c r="C4267" s="1" t="s">
        <v>130</v>
      </c>
      <c r="D4267" s="1" t="s">
        <v>131</v>
      </c>
      <c r="E4267" s="3">
        <v>3171.1291999999999</v>
      </c>
      <c r="F4267" s="1" t="s">
        <v>36</v>
      </c>
      <c r="G4267" s="1">
        <v>0</v>
      </c>
      <c r="H4267" s="1">
        <v>0</v>
      </c>
      <c r="I4267" s="1">
        <v>3.2168000000000002E-2</v>
      </c>
    </row>
    <row r="4268" spans="1:9" x14ac:dyDescent="0.25">
      <c r="A4268" s="1">
        <v>2310160513</v>
      </c>
      <c r="B4268" s="1" t="s">
        <v>2457</v>
      </c>
      <c r="C4268" s="1" t="s">
        <v>130</v>
      </c>
      <c r="D4268" s="1" t="s">
        <v>131</v>
      </c>
      <c r="E4268" s="3">
        <v>1291</v>
      </c>
      <c r="F4268" s="1" t="s">
        <v>36</v>
      </c>
      <c r="G4268" s="1">
        <v>0</v>
      </c>
      <c r="H4268" s="1">
        <v>0</v>
      </c>
      <c r="I4268" s="1">
        <v>2.4143999999999999E-2</v>
      </c>
    </row>
    <row r="4269" spans="1:9" x14ac:dyDescent="0.25">
      <c r="A4269" s="1">
        <v>2310160513</v>
      </c>
      <c r="B4269" s="1" t="s">
        <v>2457</v>
      </c>
      <c r="C4269" s="1" t="s">
        <v>142</v>
      </c>
      <c r="D4269" s="1" t="s">
        <v>143</v>
      </c>
      <c r="E4269" s="3">
        <v>4.7999999999999996E-3</v>
      </c>
      <c r="F4269" s="1" t="s">
        <v>36</v>
      </c>
      <c r="G4269" s="1">
        <v>0</v>
      </c>
      <c r="H4269" s="1">
        <v>0</v>
      </c>
      <c r="I4269" s="1">
        <v>0</v>
      </c>
    </row>
    <row r="4270" spans="1:9" x14ac:dyDescent="0.25">
      <c r="A4270" s="1">
        <v>2310160514</v>
      </c>
      <c r="B4270" s="1" t="s">
        <v>2458</v>
      </c>
      <c r="C4270" s="1" t="s">
        <v>130</v>
      </c>
      <c r="D4270" s="1" t="s">
        <v>131</v>
      </c>
      <c r="E4270" s="3">
        <v>1668</v>
      </c>
      <c r="F4270" s="1" t="s">
        <v>36</v>
      </c>
      <c r="G4270" s="1">
        <v>0</v>
      </c>
      <c r="H4270" s="1">
        <v>0</v>
      </c>
      <c r="I4270" s="1">
        <v>1.8332999999999999E-2</v>
      </c>
    </row>
    <row r="4271" spans="1:9" x14ac:dyDescent="0.25">
      <c r="A4271" s="1">
        <v>2310160514</v>
      </c>
      <c r="B4271" s="1" t="s">
        <v>2458</v>
      </c>
      <c r="C4271" s="1" t="s">
        <v>142</v>
      </c>
      <c r="D4271" s="1" t="s">
        <v>143</v>
      </c>
      <c r="E4271" s="3">
        <v>4.1999999999999997E-3</v>
      </c>
      <c r="F4271" s="1" t="s">
        <v>36</v>
      </c>
      <c r="G4271" s="1">
        <v>0</v>
      </c>
      <c r="H4271" s="1">
        <v>0</v>
      </c>
      <c r="I4271" s="1">
        <v>0</v>
      </c>
    </row>
    <row r="4272" spans="1:9" x14ac:dyDescent="0.25">
      <c r="A4272" s="1">
        <v>2310160515</v>
      </c>
      <c r="B4272" s="1" t="s">
        <v>2459</v>
      </c>
      <c r="C4272" s="1" t="s">
        <v>130</v>
      </c>
      <c r="D4272" s="1" t="s">
        <v>131</v>
      </c>
      <c r="E4272" s="3">
        <v>1872.9231</v>
      </c>
      <c r="F4272" s="1" t="s">
        <v>36</v>
      </c>
      <c r="G4272" s="1">
        <v>0</v>
      </c>
      <c r="H4272" s="1">
        <v>0</v>
      </c>
      <c r="I4272" s="1">
        <v>1.5687E-2</v>
      </c>
    </row>
    <row r="4273" spans="1:9" x14ac:dyDescent="0.25">
      <c r="A4273" s="1">
        <v>2310160516</v>
      </c>
      <c r="B4273" s="1" t="s">
        <v>2460</v>
      </c>
      <c r="C4273" s="1" t="s">
        <v>130</v>
      </c>
      <c r="D4273" s="1" t="s">
        <v>131</v>
      </c>
      <c r="E4273" s="3">
        <v>2938</v>
      </c>
      <c r="F4273" s="1" t="s">
        <v>36</v>
      </c>
      <c r="G4273" s="1">
        <v>0</v>
      </c>
      <c r="H4273" s="1">
        <v>0</v>
      </c>
      <c r="I4273" s="1">
        <v>1.9033000000000001E-2</v>
      </c>
    </row>
    <row r="4274" spans="1:9" x14ac:dyDescent="0.25">
      <c r="A4274" s="1">
        <v>2310160516</v>
      </c>
      <c r="B4274" s="1" t="s">
        <v>2460</v>
      </c>
      <c r="C4274" s="1" t="s">
        <v>142</v>
      </c>
      <c r="D4274" s="1" t="s">
        <v>143</v>
      </c>
      <c r="E4274" s="3">
        <v>1.5E-3</v>
      </c>
      <c r="F4274" s="1" t="s">
        <v>36</v>
      </c>
      <c r="G4274" s="1">
        <v>0</v>
      </c>
      <c r="H4274" s="1">
        <v>0</v>
      </c>
      <c r="I4274" s="1">
        <v>0</v>
      </c>
    </row>
    <row r="4275" spans="1:9" x14ac:dyDescent="0.25">
      <c r="A4275" s="1">
        <v>2310160517</v>
      </c>
      <c r="B4275" s="1" t="s">
        <v>2461</v>
      </c>
      <c r="C4275" s="1" t="s">
        <v>130</v>
      </c>
      <c r="D4275" s="1" t="s">
        <v>131</v>
      </c>
      <c r="E4275" s="3">
        <v>3384</v>
      </c>
      <c r="F4275" s="1" t="s">
        <v>36</v>
      </c>
      <c r="G4275" s="1">
        <v>0</v>
      </c>
      <c r="H4275" s="1">
        <v>0</v>
      </c>
      <c r="I4275" s="1">
        <v>2.1779E-2</v>
      </c>
    </row>
    <row r="4276" spans="1:9" x14ac:dyDescent="0.25">
      <c r="A4276" s="1">
        <v>2310160517</v>
      </c>
      <c r="B4276" s="1" t="s">
        <v>2461</v>
      </c>
      <c r="C4276" s="1" t="s">
        <v>142</v>
      </c>
      <c r="D4276" s="1" t="s">
        <v>143</v>
      </c>
      <c r="E4276" s="3">
        <v>0.99690000000000001</v>
      </c>
      <c r="F4276" s="1" t="s">
        <v>36</v>
      </c>
      <c r="G4276" s="1">
        <v>0</v>
      </c>
      <c r="H4276" s="1">
        <v>0</v>
      </c>
      <c r="I4276" s="1">
        <v>2.0062E-2</v>
      </c>
    </row>
    <row r="4277" spans="1:9" x14ac:dyDescent="0.25">
      <c r="A4277" s="1">
        <v>2310160518</v>
      </c>
      <c r="B4277" s="1" t="s">
        <v>2462</v>
      </c>
      <c r="C4277" s="1" t="s">
        <v>130</v>
      </c>
      <c r="D4277" s="1" t="s">
        <v>131</v>
      </c>
      <c r="E4277" s="3">
        <v>4440</v>
      </c>
      <c r="F4277" s="1" t="s">
        <v>36</v>
      </c>
      <c r="G4277" s="1">
        <v>0</v>
      </c>
      <c r="H4277" s="1">
        <v>0</v>
      </c>
      <c r="I4277" s="1">
        <v>1.6168999999999999E-2</v>
      </c>
    </row>
    <row r="4278" spans="1:9" x14ac:dyDescent="0.25">
      <c r="A4278" s="1">
        <v>2310160518</v>
      </c>
      <c r="B4278" s="1" t="s">
        <v>2462</v>
      </c>
      <c r="C4278" s="1" t="s">
        <v>142</v>
      </c>
      <c r="D4278" s="1" t="s">
        <v>143</v>
      </c>
      <c r="E4278" s="3">
        <v>3.8E-3</v>
      </c>
      <c r="F4278" s="1" t="s">
        <v>36</v>
      </c>
      <c r="G4278" s="1">
        <v>0</v>
      </c>
      <c r="H4278" s="1">
        <v>0</v>
      </c>
      <c r="I4278" s="1">
        <v>0</v>
      </c>
    </row>
    <row r="4279" spans="1:9" x14ac:dyDescent="0.25">
      <c r="A4279" s="1">
        <v>2310160519</v>
      </c>
      <c r="B4279" s="1" t="s">
        <v>2463</v>
      </c>
      <c r="C4279" s="1" t="s">
        <v>130</v>
      </c>
      <c r="D4279" s="1" t="s">
        <v>131</v>
      </c>
      <c r="E4279" s="3">
        <v>4881</v>
      </c>
      <c r="F4279" s="1" t="s">
        <v>36</v>
      </c>
      <c r="G4279" s="1">
        <v>0</v>
      </c>
      <c r="H4279" s="1">
        <v>0</v>
      </c>
      <c r="I4279" s="1">
        <v>2.1364000000000001E-2</v>
      </c>
    </row>
    <row r="4280" spans="1:9" x14ac:dyDescent="0.25">
      <c r="A4280" s="1">
        <v>2310160519</v>
      </c>
      <c r="B4280" s="1" t="s">
        <v>2463</v>
      </c>
      <c r="C4280" s="1" t="s">
        <v>142</v>
      </c>
      <c r="D4280" s="1" t="s">
        <v>143</v>
      </c>
      <c r="E4280" s="1">
        <v>3.0999999999999999E-3</v>
      </c>
      <c r="F4280" s="1" t="s">
        <v>36</v>
      </c>
      <c r="G4280" s="1">
        <v>0</v>
      </c>
      <c r="H4280" s="1">
        <v>0</v>
      </c>
      <c r="I4280" s="1">
        <v>0</v>
      </c>
    </row>
    <row r="4281" spans="1:9" x14ac:dyDescent="0.25">
      <c r="A4281" s="1">
        <v>2310160521</v>
      </c>
      <c r="B4281" s="1" t="s">
        <v>2464</v>
      </c>
      <c r="C4281" s="1" t="s">
        <v>130</v>
      </c>
      <c r="D4281" s="1" t="s">
        <v>131</v>
      </c>
      <c r="E4281" s="3">
        <v>5165.1652000000004</v>
      </c>
      <c r="F4281" s="1" t="s">
        <v>36</v>
      </c>
      <c r="G4281" s="1">
        <v>0</v>
      </c>
      <c r="H4281" s="1">
        <v>0</v>
      </c>
      <c r="I4281" s="1">
        <v>7.8476000000000004E-2</v>
      </c>
    </row>
    <row r="4282" spans="1:9" x14ac:dyDescent="0.25">
      <c r="A4282" s="1">
        <v>2310160528</v>
      </c>
      <c r="B4282" s="1" t="s">
        <v>2465</v>
      </c>
      <c r="C4282" s="1" t="s">
        <v>130</v>
      </c>
      <c r="D4282" s="1" t="s">
        <v>131</v>
      </c>
      <c r="E4282" s="3">
        <v>119551.004</v>
      </c>
      <c r="F4282" s="1" t="s">
        <v>36</v>
      </c>
      <c r="G4282" s="3">
        <v>0</v>
      </c>
      <c r="H4282" s="1">
        <v>0</v>
      </c>
      <c r="I4282" s="1">
        <v>2.4014000000000001E-2</v>
      </c>
    </row>
    <row r="4283" spans="1:9" x14ac:dyDescent="0.25">
      <c r="A4283" s="1">
        <v>2310160528</v>
      </c>
      <c r="B4283" s="1" t="s">
        <v>2465</v>
      </c>
      <c r="C4283" s="1" t="s">
        <v>142</v>
      </c>
      <c r="D4283" s="1" t="s">
        <v>143</v>
      </c>
      <c r="E4283" s="3">
        <v>11000</v>
      </c>
      <c r="F4283" s="1" t="s">
        <v>36</v>
      </c>
      <c r="G4283" s="1">
        <v>0</v>
      </c>
      <c r="H4283" s="1">
        <v>0</v>
      </c>
      <c r="I4283" s="1">
        <v>2.4015000000000002E-2</v>
      </c>
    </row>
    <row r="4284" spans="1:9" x14ac:dyDescent="0.25">
      <c r="A4284" s="1">
        <v>2310160529</v>
      </c>
      <c r="B4284" s="1" t="s">
        <v>2466</v>
      </c>
      <c r="C4284" s="1" t="s">
        <v>130</v>
      </c>
      <c r="D4284" s="1" t="s">
        <v>131</v>
      </c>
      <c r="E4284" s="3">
        <v>146271.62</v>
      </c>
      <c r="F4284" s="1" t="s">
        <v>36</v>
      </c>
      <c r="G4284" s="1">
        <v>0</v>
      </c>
      <c r="H4284" s="3">
        <v>1339</v>
      </c>
      <c r="I4284" s="1">
        <v>2.4618000000000001E-2</v>
      </c>
    </row>
    <row r="4285" spans="1:9" x14ac:dyDescent="0.25">
      <c r="A4285" s="1">
        <v>2310160529</v>
      </c>
      <c r="B4285" s="1" t="s">
        <v>2466</v>
      </c>
      <c r="C4285" s="1" t="s">
        <v>142</v>
      </c>
      <c r="D4285" s="1" t="s">
        <v>143</v>
      </c>
      <c r="E4285" s="3">
        <v>11000</v>
      </c>
      <c r="F4285" s="1" t="s">
        <v>36</v>
      </c>
      <c r="G4285" s="3">
        <v>1339</v>
      </c>
      <c r="H4285" s="1">
        <v>0</v>
      </c>
      <c r="I4285" s="1">
        <v>2.4618000000000001E-2</v>
      </c>
    </row>
    <row r="4286" spans="1:9" x14ac:dyDescent="0.25">
      <c r="A4286" s="1">
        <v>2310160530</v>
      </c>
      <c r="B4286" s="1" t="s">
        <v>2467</v>
      </c>
      <c r="C4286" s="1" t="s">
        <v>130</v>
      </c>
      <c r="D4286" s="1" t="s">
        <v>131</v>
      </c>
      <c r="E4286" s="3">
        <v>66883.574200000003</v>
      </c>
      <c r="F4286" s="1" t="s">
        <v>36</v>
      </c>
      <c r="G4286" s="1">
        <v>0</v>
      </c>
      <c r="H4286" s="1">
        <v>0</v>
      </c>
      <c r="I4286" s="1">
        <v>2.7418000000000001E-2</v>
      </c>
    </row>
    <row r="4287" spans="1:9" x14ac:dyDescent="0.25">
      <c r="A4287" s="1">
        <v>2310160530</v>
      </c>
      <c r="B4287" s="1" t="s">
        <v>2467</v>
      </c>
      <c r="C4287" s="1" t="s">
        <v>142</v>
      </c>
      <c r="D4287" s="1" t="s">
        <v>143</v>
      </c>
      <c r="E4287" s="3">
        <v>11000</v>
      </c>
      <c r="F4287" s="1" t="s">
        <v>36</v>
      </c>
      <c r="G4287" s="1">
        <v>0</v>
      </c>
      <c r="H4287" s="1">
        <v>0</v>
      </c>
      <c r="I4287" s="1">
        <v>2.7418000000000001E-2</v>
      </c>
    </row>
    <row r="4288" spans="1:9" x14ac:dyDescent="0.25">
      <c r="A4288" s="1">
        <v>2310160531</v>
      </c>
      <c r="B4288" s="1" t="s">
        <v>2468</v>
      </c>
      <c r="C4288" s="1" t="s">
        <v>130</v>
      </c>
      <c r="D4288" s="1" t="s">
        <v>131</v>
      </c>
      <c r="E4288" s="3">
        <v>17046.909100000001</v>
      </c>
      <c r="F4288" s="1" t="s">
        <v>36</v>
      </c>
      <c r="G4288" s="1">
        <v>0</v>
      </c>
      <c r="H4288" s="1">
        <v>0</v>
      </c>
      <c r="I4288" s="1">
        <v>2.4206999999999999E-2</v>
      </c>
    </row>
    <row r="4289" spans="1:9" x14ac:dyDescent="0.25">
      <c r="A4289" s="1">
        <v>2310160531</v>
      </c>
      <c r="B4289" s="1" t="s">
        <v>2468</v>
      </c>
      <c r="C4289" s="1" t="s">
        <v>142</v>
      </c>
      <c r="D4289" s="1" t="s">
        <v>143</v>
      </c>
      <c r="E4289" s="3">
        <v>11000.000899999999</v>
      </c>
      <c r="F4289" s="1" t="s">
        <v>36</v>
      </c>
      <c r="G4289" s="1">
        <v>0</v>
      </c>
      <c r="H4289" s="1">
        <v>0</v>
      </c>
      <c r="I4289" s="1">
        <v>2.4205999999999998E-2</v>
      </c>
    </row>
    <row r="4290" spans="1:9" x14ac:dyDescent="0.25">
      <c r="A4290" s="1">
        <v>2310160533</v>
      </c>
      <c r="B4290" s="1" t="s">
        <v>2469</v>
      </c>
      <c r="C4290" s="1" t="s">
        <v>130</v>
      </c>
      <c r="D4290" s="1" t="s">
        <v>131</v>
      </c>
      <c r="E4290" s="3">
        <v>2300</v>
      </c>
      <c r="F4290" s="1" t="s">
        <v>36</v>
      </c>
      <c r="G4290" s="1">
        <v>0</v>
      </c>
      <c r="H4290" s="1">
        <v>0</v>
      </c>
      <c r="I4290" s="1">
        <v>3.4874000000000002E-2</v>
      </c>
    </row>
    <row r="4291" spans="1:9" x14ac:dyDescent="0.25">
      <c r="A4291" s="1">
        <v>2310160534</v>
      </c>
      <c r="B4291" s="1" t="s">
        <v>2470</v>
      </c>
      <c r="C4291" s="1" t="s">
        <v>130</v>
      </c>
      <c r="D4291" s="1" t="s">
        <v>131</v>
      </c>
      <c r="E4291" s="3">
        <v>26745.769199999999</v>
      </c>
      <c r="F4291" s="1" t="s">
        <v>36</v>
      </c>
      <c r="G4291" s="1">
        <v>0</v>
      </c>
      <c r="H4291" s="1">
        <v>866</v>
      </c>
      <c r="I4291" s="1">
        <v>1.2333999999999999E-2</v>
      </c>
    </row>
    <row r="4292" spans="1:9" x14ac:dyDescent="0.25">
      <c r="A4292" s="1">
        <v>2310160534</v>
      </c>
      <c r="B4292" s="1" t="s">
        <v>2470</v>
      </c>
      <c r="C4292" s="1" t="s">
        <v>142</v>
      </c>
      <c r="D4292" s="1" t="s">
        <v>143</v>
      </c>
      <c r="E4292" s="3">
        <v>11000.0008</v>
      </c>
      <c r="F4292" s="1" t="s">
        <v>36</v>
      </c>
      <c r="G4292" s="1">
        <v>866</v>
      </c>
      <c r="H4292" s="1">
        <v>0</v>
      </c>
      <c r="I4292" s="1">
        <v>1.2335E-2</v>
      </c>
    </row>
    <row r="4293" spans="1:9" x14ac:dyDescent="0.25">
      <c r="A4293" s="1">
        <v>2310160535</v>
      </c>
      <c r="B4293" s="1" t="s">
        <v>2471</v>
      </c>
      <c r="C4293" s="1" t="s">
        <v>130</v>
      </c>
      <c r="D4293" s="1" t="s">
        <v>131</v>
      </c>
      <c r="E4293" s="3">
        <v>69846.384600000005</v>
      </c>
      <c r="F4293" s="1" t="s">
        <v>36</v>
      </c>
      <c r="G4293" s="3">
        <v>0</v>
      </c>
      <c r="H4293" s="3">
        <v>0</v>
      </c>
      <c r="I4293" s="1">
        <v>1.1712E-2</v>
      </c>
    </row>
    <row r="4294" spans="1:9" x14ac:dyDescent="0.25">
      <c r="A4294" s="1">
        <v>2310160535</v>
      </c>
      <c r="B4294" s="1" t="s">
        <v>2471</v>
      </c>
      <c r="C4294" s="1" t="s">
        <v>142</v>
      </c>
      <c r="D4294" s="1" t="s">
        <v>143</v>
      </c>
      <c r="E4294" s="3">
        <v>11000</v>
      </c>
      <c r="F4294" s="1" t="s">
        <v>36</v>
      </c>
      <c r="G4294" s="3">
        <v>0</v>
      </c>
      <c r="H4294" s="3">
        <v>0</v>
      </c>
      <c r="I4294" s="1">
        <v>1.1712E-2</v>
      </c>
    </row>
    <row r="4295" spans="1:9" x14ac:dyDescent="0.25">
      <c r="A4295" s="1">
        <v>2310160536</v>
      </c>
      <c r="B4295" s="1" t="s">
        <v>2472</v>
      </c>
      <c r="C4295" s="1" t="s">
        <v>130</v>
      </c>
      <c r="D4295" s="1" t="s">
        <v>131</v>
      </c>
      <c r="E4295" s="3">
        <v>40480</v>
      </c>
      <c r="F4295" s="1" t="s">
        <v>36</v>
      </c>
      <c r="G4295" s="1">
        <v>0</v>
      </c>
      <c r="H4295" s="1">
        <v>0</v>
      </c>
      <c r="I4295" s="1">
        <v>1.0274E-2</v>
      </c>
    </row>
    <row r="4296" spans="1:9" x14ac:dyDescent="0.25">
      <c r="A4296" s="1">
        <v>2310160536</v>
      </c>
      <c r="B4296" s="1" t="s">
        <v>2472</v>
      </c>
      <c r="C4296" s="1" t="s">
        <v>142</v>
      </c>
      <c r="D4296" s="1" t="s">
        <v>143</v>
      </c>
      <c r="E4296" s="3">
        <v>11000.0015</v>
      </c>
      <c r="F4296" s="1" t="s">
        <v>36</v>
      </c>
      <c r="G4296" s="1">
        <v>0</v>
      </c>
      <c r="H4296" s="3">
        <v>0</v>
      </c>
      <c r="I4296" s="1">
        <v>1.0274999999999999E-2</v>
      </c>
    </row>
    <row r="4297" spans="1:9" x14ac:dyDescent="0.25">
      <c r="A4297" s="1">
        <v>2310160537</v>
      </c>
      <c r="B4297" s="1" t="s">
        <v>2473</v>
      </c>
      <c r="C4297" s="1" t="s">
        <v>130</v>
      </c>
      <c r="D4297" s="1" t="s">
        <v>131</v>
      </c>
      <c r="E4297" s="3">
        <v>117623</v>
      </c>
      <c r="F4297" s="1" t="s">
        <v>36</v>
      </c>
      <c r="G4297" s="3">
        <v>0</v>
      </c>
      <c r="H4297" s="1">
        <v>0</v>
      </c>
      <c r="I4297" s="1">
        <v>1.1724E-2</v>
      </c>
    </row>
    <row r="4298" spans="1:9" x14ac:dyDescent="0.25">
      <c r="A4298" s="1">
        <v>2310160537</v>
      </c>
      <c r="B4298" s="1" t="s">
        <v>2473</v>
      </c>
      <c r="C4298" s="1" t="s">
        <v>142</v>
      </c>
      <c r="D4298" s="1" t="s">
        <v>143</v>
      </c>
      <c r="E4298" s="3">
        <v>11000</v>
      </c>
      <c r="F4298" s="1" t="s">
        <v>36</v>
      </c>
      <c r="G4298" s="3">
        <v>0</v>
      </c>
      <c r="H4298" s="1">
        <v>0</v>
      </c>
      <c r="I4298" s="1">
        <v>1.1724E-2</v>
      </c>
    </row>
    <row r="4299" spans="1:9" x14ac:dyDescent="0.25">
      <c r="A4299" s="1">
        <v>2310160538</v>
      </c>
      <c r="B4299" s="1" t="s">
        <v>2474</v>
      </c>
      <c r="C4299" s="1" t="s">
        <v>142</v>
      </c>
      <c r="D4299" s="1" t="s">
        <v>143</v>
      </c>
      <c r="E4299" s="3">
        <v>94009</v>
      </c>
      <c r="F4299" s="1" t="s">
        <v>36</v>
      </c>
      <c r="G4299" s="1">
        <v>0</v>
      </c>
      <c r="H4299" s="3">
        <v>0</v>
      </c>
      <c r="I4299" s="1">
        <v>7.3680000000000004E-3</v>
      </c>
    </row>
    <row r="4300" spans="1:9" x14ac:dyDescent="0.25">
      <c r="A4300" s="1">
        <v>2310160539</v>
      </c>
      <c r="B4300" s="1" t="s">
        <v>2475</v>
      </c>
      <c r="C4300" s="1" t="s">
        <v>130</v>
      </c>
      <c r="D4300" s="1" t="s">
        <v>131</v>
      </c>
      <c r="E4300" s="3">
        <v>5350</v>
      </c>
      <c r="F4300" s="1" t="s">
        <v>36</v>
      </c>
      <c r="G4300" s="1">
        <v>0</v>
      </c>
      <c r="H4300" s="1">
        <v>111</v>
      </c>
      <c r="I4300" s="1">
        <v>2.8806999999999999E-2</v>
      </c>
    </row>
    <row r="4301" spans="1:9" x14ac:dyDescent="0.25">
      <c r="A4301" s="1">
        <v>2310160539</v>
      </c>
      <c r="B4301" s="1" t="s">
        <v>2475</v>
      </c>
      <c r="C4301" s="1" t="s">
        <v>142</v>
      </c>
      <c r="D4301" s="1" t="s">
        <v>143</v>
      </c>
      <c r="E4301" s="3">
        <v>94250</v>
      </c>
      <c r="F4301" s="1" t="s">
        <v>36</v>
      </c>
      <c r="G4301" s="1">
        <v>111</v>
      </c>
      <c r="H4301" s="1">
        <v>0</v>
      </c>
      <c r="I4301" s="1">
        <v>2.8806999999999999E-2</v>
      </c>
    </row>
    <row r="4302" spans="1:9" x14ac:dyDescent="0.25">
      <c r="A4302" s="1">
        <v>2310160552</v>
      </c>
      <c r="B4302" s="1" t="s">
        <v>2476</v>
      </c>
      <c r="C4302" s="1" t="s">
        <v>130</v>
      </c>
      <c r="D4302" s="1" t="s">
        <v>131</v>
      </c>
      <c r="E4302" s="3">
        <v>63450</v>
      </c>
      <c r="F4302" s="1" t="s">
        <v>36</v>
      </c>
      <c r="G4302" s="3">
        <v>30500</v>
      </c>
      <c r="H4302" s="1">
        <v>0</v>
      </c>
      <c r="I4302" s="1">
        <v>5.1576999999999998E-2</v>
      </c>
    </row>
    <row r="4303" spans="1:9" x14ac:dyDescent="0.25">
      <c r="A4303" s="1">
        <v>2310160552</v>
      </c>
      <c r="B4303" s="1" t="s">
        <v>2476</v>
      </c>
      <c r="C4303" s="1" t="s">
        <v>142</v>
      </c>
      <c r="D4303" s="1" t="s">
        <v>143</v>
      </c>
      <c r="E4303" s="3">
        <v>12174</v>
      </c>
      <c r="F4303" s="1" t="s">
        <v>36</v>
      </c>
      <c r="G4303" s="1">
        <v>0</v>
      </c>
      <c r="H4303" s="3">
        <v>30500</v>
      </c>
      <c r="I4303" s="1">
        <v>5.1576999999999998E-2</v>
      </c>
    </row>
    <row r="4304" spans="1:9" x14ac:dyDescent="0.25">
      <c r="A4304" s="1">
        <v>2310160555</v>
      </c>
      <c r="B4304" s="1" t="s">
        <v>2477</v>
      </c>
      <c r="C4304" s="1" t="s">
        <v>130</v>
      </c>
      <c r="D4304" s="1" t="s">
        <v>131</v>
      </c>
      <c r="E4304" s="3">
        <v>30900</v>
      </c>
      <c r="F4304" s="1" t="s">
        <v>36</v>
      </c>
      <c r="G4304" s="1">
        <v>0</v>
      </c>
      <c r="H4304" s="1">
        <v>0</v>
      </c>
      <c r="I4304" s="1">
        <v>4.7571000000000002E-2</v>
      </c>
    </row>
    <row r="4305" spans="1:9" x14ac:dyDescent="0.25">
      <c r="A4305" s="1">
        <v>2310160556</v>
      </c>
      <c r="B4305" s="1" t="s">
        <v>2478</v>
      </c>
      <c r="C4305" s="1" t="s">
        <v>130</v>
      </c>
      <c r="D4305" s="1" t="s">
        <v>131</v>
      </c>
      <c r="E4305" s="3">
        <v>10000</v>
      </c>
      <c r="F4305" s="1" t="s">
        <v>36</v>
      </c>
      <c r="G4305" s="1">
        <v>0</v>
      </c>
      <c r="H4305" s="1">
        <v>0</v>
      </c>
      <c r="I4305" s="1">
        <v>2.4774999999999998E-2</v>
      </c>
    </row>
    <row r="4306" spans="1:9" x14ac:dyDescent="0.25">
      <c r="A4306" s="1">
        <v>2310160557</v>
      </c>
      <c r="B4306" s="1" t="s">
        <v>2479</v>
      </c>
      <c r="C4306" s="1" t="s">
        <v>130</v>
      </c>
      <c r="D4306" s="1" t="s">
        <v>131</v>
      </c>
      <c r="E4306" s="3">
        <v>7360</v>
      </c>
      <c r="F4306" s="1" t="s">
        <v>36</v>
      </c>
      <c r="G4306" s="1">
        <v>0</v>
      </c>
      <c r="H4306" s="3">
        <v>0</v>
      </c>
      <c r="I4306" s="1">
        <v>1.5431E-2</v>
      </c>
    </row>
    <row r="4307" spans="1:9" x14ac:dyDescent="0.25">
      <c r="A4307" s="1">
        <v>2310160558</v>
      </c>
      <c r="B4307" s="1" t="s">
        <v>2480</v>
      </c>
      <c r="C4307" s="1" t="s">
        <v>130</v>
      </c>
      <c r="D4307" s="1" t="s">
        <v>131</v>
      </c>
      <c r="E4307" s="3">
        <v>10</v>
      </c>
      <c r="F4307" s="1" t="s">
        <v>36</v>
      </c>
      <c r="G4307" s="3">
        <v>0</v>
      </c>
      <c r="H4307" s="1">
        <v>0</v>
      </c>
      <c r="I4307" s="1">
        <v>3.5000000000000003E-2</v>
      </c>
    </row>
    <row r="4308" spans="1:9" x14ac:dyDescent="0.25">
      <c r="A4308" s="1">
        <v>2310160559</v>
      </c>
      <c r="B4308" s="1" t="s">
        <v>2481</v>
      </c>
      <c r="C4308" s="1" t="s">
        <v>130</v>
      </c>
      <c r="D4308" s="1" t="s">
        <v>131</v>
      </c>
      <c r="E4308" s="3">
        <v>6200</v>
      </c>
      <c r="F4308" s="1" t="s">
        <v>36</v>
      </c>
      <c r="G4308" s="1">
        <v>0</v>
      </c>
      <c r="H4308" s="1">
        <v>0</v>
      </c>
      <c r="I4308" s="1">
        <v>1.2152E-2</v>
      </c>
    </row>
    <row r="4309" spans="1:9" x14ac:dyDescent="0.25">
      <c r="A4309" s="1">
        <v>2310160560</v>
      </c>
      <c r="B4309" s="1" t="s">
        <v>2482</v>
      </c>
      <c r="C4309" s="1" t="s">
        <v>130</v>
      </c>
      <c r="D4309" s="1" t="s">
        <v>131</v>
      </c>
      <c r="E4309" s="3">
        <v>7863</v>
      </c>
      <c r="F4309" s="1" t="s">
        <v>36</v>
      </c>
      <c r="G4309" s="1">
        <v>0</v>
      </c>
      <c r="H4309" s="1">
        <v>0</v>
      </c>
      <c r="I4309" s="1">
        <v>2.3435999999999998E-2</v>
      </c>
    </row>
    <row r="4310" spans="1:9" x14ac:dyDescent="0.25">
      <c r="A4310" s="1">
        <v>2310160561</v>
      </c>
      <c r="B4310" s="1" t="s">
        <v>2483</v>
      </c>
      <c r="C4310" s="1" t="s">
        <v>130</v>
      </c>
      <c r="D4310" s="1" t="s">
        <v>131</v>
      </c>
      <c r="E4310" s="3">
        <v>6196.9976999999999</v>
      </c>
      <c r="F4310" s="1" t="s">
        <v>36</v>
      </c>
      <c r="G4310" s="1">
        <v>0</v>
      </c>
      <c r="H4310" s="1">
        <v>0</v>
      </c>
      <c r="I4310" s="1">
        <v>2.1940999999999999E-2</v>
      </c>
    </row>
    <row r="4311" spans="1:9" x14ac:dyDescent="0.25">
      <c r="A4311" s="1">
        <v>2310160561</v>
      </c>
      <c r="B4311" s="1" t="s">
        <v>2483</v>
      </c>
      <c r="C4311" s="1" t="s">
        <v>142</v>
      </c>
      <c r="D4311" s="1" t="s">
        <v>143</v>
      </c>
      <c r="E4311" s="3">
        <v>2.3E-3</v>
      </c>
      <c r="F4311" s="1" t="s">
        <v>36</v>
      </c>
      <c r="G4311" s="1">
        <v>0</v>
      </c>
      <c r="H4311" s="1">
        <v>0</v>
      </c>
      <c r="I4311" s="1">
        <v>0</v>
      </c>
    </row>
    <row r="4312" spans="1:9" x14ac:dyDescent="0.25">
      <c r="A4312" s="1">
        <v>2310160562</v>
      </c>
      <c r="B4312" s="1" t="s">
        <v>2484</v>
      </c>
      <c r="C4312" s="1" t="s">
        <v>130</v>
      </c>
      <c r="D4312" s="1" t="s">
        <v>131</v>
      </c>
      <c r="E4312" s="3">
        <v>4619</v>
      </c>
      <c r="F4312" s="1" t="s">
        <v>36</v>
      </c>
      <c r="G4312" s="1">
        <v>0</v>
      </c>
      <c r="H4312" s="1">
        <v>0</v>
      </c>
      <c r="I4312" s="1">
        <v>1.7410999999999999E-2</v>
      </c>
    </row>
    <row r="4313" spans="1:9" x14ac:dyDescent="0.25">
      <c r="A4313" s="1">
        <v>2310160562</v>
      </c>
      <c r="B4313" s="1" t="s">
        <v>2484</v>
      </c>
      <c r="C4313" s="1" t="s">
        <v>142</v>
      </c>
      <c r="D4313" s="1" t="s">
        <v>143</v>
      </c>
      <c r="E4313" s="3">
        <v>3.8E-3</v>
      </c>
      <c r="F4313" s="1" t="s">
        <v>36</v>
      </c>
      <c r="G4313" s="1">
        <v>0</v>
      </c>
      <c r="H4313" s="1">
        <v>0</v>
      </c>
      <c r="I4313" s="1">
        <v>0</v>
      </c>
    </row>
    <row r="4314" spans="1:9" x14ac:dyDescent="0.25">
      <c r="A4314" s="1">
        <v>2310160563</v>
      </c>
      <c r="B4314" s="1" t="s">
        <v>2485</v>
      </c>
      <c r="C4314" s="1" t="s">
        <v>130</v>
      </c>
      <c r="D4314" s="1" t="s">
        <v>131</v>
      </c>
      <c r="E4314" s="3">
        <v>7003.9992000000002</v>
      </c>
      <c r="F4314" s="1" t="s">
        <v>36</v>
      </c>
      <c r="G4314" s="1">
        <v>0</v>
      </c>
      <c r="H4314" s="1">
        <v>0</v>
      </c>
      <c r="I4314" s="1">
        <v>3.4340000000000002E-2</v>
      </c>
    </row>
    <row r="4315" spans="1:9" x14ac:dyDescent="0.25">
      <c r="A4315" s="1">
        <v>2310160563</v>
      </c>
      <c r="B4315" s="1" t="s">
        <v>2485</v>
      </c>
      <c r="C4315" s="1" t="s">
        <v>142</v>
      </c>
      <c r="D4315" s="1" t="s">
        <v>143</v>
      </c>
      <c r="E4315" s="3">
        <v>8.0000000000000004E-4</v>
      </c>
      <c r="F4315" s="1" t="s">
        <v>36</v>
      </c>
      <c r="G4315" s="1">
        <v>0</v>
      </c>
      <c r="H4315" s="1">
        <v>0</v>
      </c>
      <c r="I4315" s="1">
        <v>0</v>
      </c>
    </row>
    <row r="4316" spans="1:9" x14ac:dyDescent="0.25">
      <c r="A4316" s="1">
        <v>2310160564</v>
      </c>
      <c r="B4316" s="1" t="s">
        <v>2486</v>
      </c>
      <c r="C4316" s="1" t="s">
        <v>130</v>
      </c>
      <c r="D4316" s="1" t="s">
        <v>131</v>
      </c>
      <c r="E4316" s="3">
        <v>6935</v>
      </c>
      <c r="F4316" s="1" t="s">
        <v>36</v>
      </c>
      <c r="G4316" s="1">
        <v>0</v>
      </c>
      <c r="H4316" s="1">
        <v>0</v>
      </c>
      <c r="I4316" s="1">
        <v>5.0674999999999998E-2</v>
      </c>
    </row>
    <row r="4317" spans="1:9" x14ac:dyDescent="0.25">
      <c r="A4317" s="1">
        <v>2310160565</v>
      </c>
      <c r="B4317" s="1" t="s">
        <v>2487</v>
      </c>
      <c r="C4317" s="1" t="s">
        <v>130</v>
      </c>
      <c r="D4317" s="1" t="s">
        <v>131</v>
      </c>
      <c r="E4317" s="3">
        <v>5586.9966999999997</v>
      </c>
      <c r="F4317" s="1" t="s">
        <v>36</v>
      </c>
      <c r="G4317" s="1">
        <v>0</v>
      </c>
      <c r="H4317" s="1">
        <v>0</v>
      </c>
      <c r="I4317" s="1">
        <v>4.0191999999999999E-2</v>
      </c>
    </row>
    <row r="4318" spans="1:9" x14ac:dyDescent="0.25">
      <c r="A4318" s="1">
        <v>2310160565</v>
      </c>
      <c r="B4318" s="1" t="s">
        <v>2487</v>
      </c>
      <c r="C4318" s="1" t="s">
        <v>142</v>
      </c>
      <c r="D4318" s="1" t="s">
        <v>143</v>
      </c>
      <c r="E4318" s="3">
        <v>3.3E-3</v>
      </c>
      <c r="F4318" s="1" t="s">
        <v>36</v>
      </c>
      <c r="G4318" s="1">
        <v>0</v>
      </c>
      <c r="H4318" s="1">
        <v>0</v>
      </c>
      <c r="I4318" s="1">
        <v>0</v>
      </c>
    </row>
    <row r="4319" spans="1:9" x14ac:dyDescent="0.25">
      <c r="A4319" s="1">
        <v>2310160566</v>
      </c>
      <c r="B4319" s="1" t="s">
        <v>2488</v>
      </c>
      <c r="C4319" s="1" t="s">
        <v>130</v>
      </c>
      <c r="D4319" s="1" t="s">
        <v>131</v>
      </c>
      <c r="E4319" s="3">
        <v>8275</v>
      </c>
      <c r="F4319" s="1" t="s">
        <v>36</v>
      </c>
      <c r="G4319" s="1">
        <v>0</v>
      </c>
      <c r="H4319" s="3">
        <v>0</v>
      </c>
      <c r="I4319" s="1">
        <v>3.5113999999999999E-2</v>
      </c>
    </row>
    <row r="4320" spans="1:9" x14ac:dyDescent="0.25">
      <c r="A4320" s="1">
        <v>2310160567</v>
      </c>
      <c r="B4320" s="1" t="s">
        <v>2489</v>
      </c>
      <c r="C4320" s="1" t="s">
        <v>130</v>
      </c>
      <c r="D4320" s="1" t="s">
        <v>131</v>
      </c>
      <c r="E4320" s="3">
        <v>5500.0019000000002</v>
      </c>
      <c r="F4320" s="1" t="s">
        <v>36</v>
      </c>
      <c r="G4320" s="3">
        <v>0</v>
      </c>
      <c r="H4320" s="1">
        <v>0</v>
      </c>
      <c r="I4320" s="1">
        <v>5.3768999999999997E-2</v>
      </c>
    </row>
    <row r="4321" spans="1:9" x14ac:dyDescent="0.25">
      <c r="A4321" s="1">
        <v>2310160568</v>
      </c>
      <c r="B4321" s="1" t="s">
        <v>2490</v>
      </c>
      <c r="C4321" s="1" t="s">
        <v>130</v>
      </c>
      <c r="D4321" s="1" t="s">
        <v>131</v>
      </c>
      <c r="E4321" s="3">
        <v>1214</v>
      </c>
      <c r="F4321" s="1" t="s">
        <v>36</v>
      </c>
      <c r="G4321" s="1">
        <v>0</v>
      </c>
      <c r="H4321" s="3">
        <v>0</v>
      </c>
      <c r="I4321" s="1">
        <v>1.0494E-2</v>
      </c>
    </row>
    <row r="4322" spans="1:9" x14ac:dyDescent="0.25">
      <c r="A4322" s="1">
        <v>2310160570</v>
      </c>
      <c r="B4322" s="1" t="s">
        <v>2491</v>
      </c>
      <c r="C4322" s="1" t="s">
        <v>130</v>
      </c>
      <c r="D4322" s="1" t="s">
        <v>131</v>
      </c>
      <c r="E4322" s="3">
        <v>747</v>
      </c>
      <c r="F4322" s="1" t="s">
        <v>36</v>
      </c>
      <c r="G4322" s="1">
        <v>0</v>
      </c>
      <c r="H4322" s="1">
        <v>0</v>
      </c>
      <c r="I4322" s="1">
        <v>9.1570000000000002E-3</v>
      </c>
    </row>
    <row r="4323" spans="1:9" x14ac:dyDescent="0.25">
      <c r="A4323" s="1">
        <v>2310160571</v>
      </c>
      <c r="B4323" s="1" t="s">
        <v>2492</v>
      </c>
      <c r="C4323" s="1" t="s">
        <v>130</v>
      </c>
      <c r="D4323" s="1" t="s">
        <v>131</v>
      </c>
      <c r="E4323" s="3">
        <v>934</v>
      </c>
      <c r="F4323" s="1" t="s">
        <v>36</v>
      </c>
      <c r="G4323" s="1">
        <v>0</v>
      </c>
      <c r="H4323" s="1">
        <v>0</v>
      </c>
      <c r="I4323" s="1">
        <v>1.2891E-2</v>
      </c>
    </row>
    <row r="4324" spans="1:9" x14ac:dyDescent="0.25">
      <c r="A4324" s="1">
        <v>2310160572</v>
      </c>
      <c r="B4324" s="1" t="s">
        <v>2493</v>
      </c>
      <c r="C4324" s="1" t="s">
        <v>130</v>
      </c>
      <c r="D4324" s="1" t="s">
        <v>131</v>
      </c>
      <c r="E4324" s="3">
        <v>747</v>
      </c>
      <c r="F4324" s="1" t="s">
        <v>36</v>
      </c>
      <c r="G4324" s="1">
        <v>0</v>
      </c>
      <c r="H4324" s="1">
        <v>0</v>
      </c>
      <c r="I4324" s="1">
        <v>1.1566E-2</v>
      </c>
    </row>
    <row r="4325" spans="1:9" x14ac:dyDescent="0.25">
      <c r="A4325" s="1">
        <v>2310160573</v>
      </c>
      <c r="B4325" s="1" t="s">
        <v>2494</v>
      </c>
      <c r="C4325" s="1" t="s">
        <v>130</v>
      </c>
      <c r="D4325" s="1" t="s">
        <v>131</v>
      </c>
      <c r="E4325" s="3">
        <v>1686</v>
      </c>
      <c r="F4325" s="1" t="s">
        <v>36</v>
      </c>
      <c r="G4325" s="1">
        <v>0</v>
      </c>
      <c r="H4325" s="1">
        <v>0</v>
      </c>
      <c r="I4325" s="1">
        <v>1.366E-2</v>
      </c>
    </row>
    <row r="4326" spans="1:9" x14ac:dyDescent="0.25">
      <c r="A4326" s="1">
        <v>2310160574</v>
      </c>
      <c r="B4326" s="1" t="s">
        <v>2495</v>
      </c>
      <c r="C4326" s="1" t="s">
        <v>130</v>
      </c>
      <c r="D4326" s="1" t="s">
        <v>131</v>
      </c>
      <c r="E4326" s="3">
        <v>1121</v>
      </c>
      <c r="F4326" s="1" t="s">
        <v>36</v>
      </c>
      <c r="G4326" s="1">
        <v>0</v>
      </c>
      <c r="H4326" s="1">
        <v>0</v>
      </c>
      <c r="I4326" s="1">
        <v>1.0919E-2</v>
      </c>
    </row>
    <row r="4327" spans="1:9" x14ac:dyDescent="0.25">
      <c r="A4327" s="1">
        <v>2310160576</v>
      </c>
      <c r="B4327" s="1" t="s">
        <v>2496</v>
      </c>
      <c r="C4327" s="1" t="s">
        <v>130</v>
      </c>
      <c r="D4327" s="1" t="s">
        <v>131</v>
      </c>
      <c r="E4327" s="3">
        <v>625</v>
      </c>
      <c r="F4327" s="1" t="s">
        <v>36</v>
      </c>
      <c r="G4327" s="3">
        <v>0</v>
      </c>
      <c r="H4327" s="1">
        <v>0</v>
      </c>
      <c r="I4327" s="1">
        <v>1.3424E-2</v>
      </c>
    </row>
    <row r="4328" spans="1:9" x14ac:dyDescent="0.25">
      <c r="A4328" s="1">
        <v>2310160577</v>
      </c>
      <c r="B4328" s="1" t="s">
        <v>2497</v>
      </c>
      <c r="C4328" s="1" t="s">
        <v>130</v>
      </c>
      <c r="D4328" s="1" t="s">
        <v>131</v>
      </c>
      <c r="E4328" s="3">
        <v>1962</v>
      </c>
      <c r="F4328" s="1" t="s">
        <v>36</v>
      </c>
      <c r="G4328" s="1">
        <v>0</v>
      </c>
      <c r="H4328" s="3">
        <v>0</v>
      </c>
      <c r="I4328" s="1">
        <v>1.3043000000000001E-2</v>
      </c>
    </row>
    <row r="4329" spans="1:9" x14ac:dyDescent="0.25">
      <c r="A4329" s="1">
        <v>2310160578</v>
      </c>
      <c r="B4329" s="1" t="s">
        <v>2498</v>
      </c>
      <c r="C4329" s="1" t="s">
        <v>130</v>
      </c>
      <c r="D4329" s="1" t="s">
        <v>131</v>
      </c>
      <c r="E4329" s="3">
        <v>747</v>
      </c>
      <c r="F4329" s="1" t="s">
        <v>36</v>
      </c>
      <c r="G4329" s="1">
        <v>0</v>
      </c>
      <c r="H4329" s="1">
        <v>0</v>
      </c>
      <c r="I4329" s="1">
        <v>1.091E-2</v>
      </c>
    </row>
    <row r="4330" spans="1:9" x14ac:dyDescent="0.25">
      <c r="A4330" s="1">
        <v>2310160579</v>
      </c>
      <c r="B4330" s="1" t="s">
        <v>2499</v>
      </c>
      <c r="C4330" s="1" t="s">
        <v>130</v>
      </c>
      <c r="D4330" s="1" t="s">
        <v>131</v>
      </c>
      <c r="E4330" s="3">
        <v>1028</v>
      </c>
      <c r="F4330" s="1" t="s">
        <v>36</v>
      </c>
      <c r="G4330" s="1">
        <v>0</v>
      </c>
      <c r="H4330" s="1">
        <v>0</v>
      </c>
      <c r="I4330" s="1">
        <v>1.3783999999999999E-2</v>
      </c>
    </row>
    <row r="4331" spans="1:9" x14ac:dyDescent="0.25">
      <c r="A4331" s="1">
        <v>2310160580</v>
      </c>
      <c r="B4331" s="1" t="s">
        <v>2500</v>
      </c>
      <c r="C4331" s="1" t="s">
        <v>130</v>
      </c>
      <c r="D4331" s="1" t="s">
        <v>131</v>
      </c>
      <c r="E4331" s="3">
        <v>1110</v>
      </c>
      <c r="F4331" s="1" t="s">
        <v>36</v>
      </c>
      <c r="G4331" s="1">
        <v>0</v>
      </c>
      <c r="H4331" s="1">
        <v>0</v>
      </c>
      <c r="I4331" s="1">
        <v>1.4847000000000001E-2</v>
      </c>
    </row>
    <row r="4332" spans="1:9" x14ac:dyDescent="0.25">
      <c r="A4332" s="1">
        <v>2310160581</v>
      </c>
      <c r="B4332" s="1" t="s">
        <v>2501</v>
      </c>
      <c r="C4332" s="1" t="s">
        <v>130</v>
      </c>
      <c r="D4332" s="1" t="s">
        <v>131</v>
      </c>
      <c r="E4332" s="3">
        <v>1888</v>
      </c>
      <c r="F4332" s="1" t="s">
        <v>36</v>
      </c>
      <c r="G4332" s="1">
        <v>0</v>
      </c>
      <c r="H4332" s="1">
        <v>0</v>
      </c>
      <c r="I4332" s="1">
        <v>1.4522999999999999E-2</v>
      </c>
    </row>
    <row r="4333" spans="1:9" x14ac:dyDescent="0.25">
      <c r="A4333" s="1">
        <v>2310160582</v>
      </c>
      <c r="B4333" s="1" t="s">
        <v>2502</v>
      </c>
      <c r="C4333" s="1" t="s">
        <v>130</v>
      </c>
      <c r="D4333" s="1" t="s">
        <v>131</v>
      </c>
      <c r="E4333" s="1">
        <v>888</v>
      </c>
      <c r="F4333" s="1" t="s">
        <v>36</v>
      </c>
      <c r="G4333" s="1">
        <v>0</v>
      </c>
      <c r="H4333" s="1">
        <v>0</v>
      </c>
      <c r="I4333" s="1">
        <v>1.8197999999999999E-2</v>
      </c>
    </row>
    <row r="4334" spans="1:9" x14ac:dyDescent="0.25">
      <c r="A4334" s="1">
        <v>2310160584</v>
      </c>
      <c r="B4334" s="1" t="s">
        <v>2503</v>
      </c>
      <c r="C4334" s="1" t="s">
        <v>130</v>
      </c>
      <c r="D4334" s="1" t="s">
        <v>131</v>
      </c>
      <c r="E4334" s="3">
        <v>1333</v>
      </c>
      <c r="F4334" s="1" t="s">
        <v>36</v>
      </c>
      <c r="G4334" s="1">
        <v>0</v>
      </c>
      <c r="H4334" s="1">
        <v>0</v>
      </c>
      <c r="I4334" s="1">
        <v>1.2558E-2</v>
      </c>
    </row>
    <row r="4335" spans="1:9" x14ac:dyDescent="0.25">
      <c r="A4335" s="1">
        <v>2310160585</v>
      </c>
      <c r="B4335" s="1" t="s">
        <v>2504</v>
      </c>
      <c r="C4335" s="1" t="s">
        <v>130</v>
      </c>
      <c r="D4335" s="1" t="s">
        <v>131</v>
      </c>
      <c r="E4335" s="3">
        <v>2222</v>
      </c>
      <c r="F4335" s="1" t="s">
        <v>36</v>
      </c>
      <c r="G4335" s="1">
        <v>0</v>
      </c>
      <c r="H4335" s="1">
        <v>0</v>
      </c>
      <c r="I4335" s="1">
        <v>1.1745999999999999E-2</v>
      </c>
    </row>
    <row r="4336" spans="1:9" x14ac:dyDescent="0.25">
      <c r="A4336" s="1">
        <v>2310160586</v>
      </c>
      <c r="B4336" s="1" t="s">
        <v>2505</v>
      </c>
      <c r="C4336" s="1" t="s">
        <v>130</v>
      </c>
      <c r="D4336" s="1" t="s">
        <v>131</v>
      </c>
      <c r="E4336" s="3">
        <v>1444</v>
      </c>
      <c r="F4336" s="1" t="s">
        <v>36</v>
      </c>
      <c r="G4336" s="1">
        <v>0</v>
      </c>
      <c r="H4336" s="1">
        <v>0</v>
      </c>
      <c r="I4336" s="1">
        <v>1.1398999999999999E-2</v>
      </c>
    </row>
    <row r="4337" spans="1:9" x14ac:dyDescent="0.25">
      <c r="A4337" s="1">
        <v>2310160587</v>
      </c>
      <c r="B4337" s="1" t="s">
        <v>2506</v>
      </c>
      <c r="C4337" s="1" t="s">
        <v>130</v>
      </c>
      <c r="D4337" s="1" t="s">
        <v>131</v>
      </c>
      <c r="E4337" s="3">
        <v>1111</v>
      </c>
      <c r="F4337" s="1" t="s">
        <v>36</v>
      </c>
      <c r="G4337" s="1">
        <v>0</v>
      </c>
      <c r="H4337" s="3">
        <v>0</v>
      </c>
      <c r="I4337" s="1">
        <v>9.3069999999999993E-3</v>
      </c>
    </row>
    <row r="4338" spans="1:9" x14ac:dyDescent="0.25">
      <c r="A4338" s="1">
        <v>2310160588</v>
      </c>
      <c r="B4338" s="1" t="s">
        <v>2507</v>
      </c>
      <c r="C4338" s="1" t="s">
        <v>130</v>
      </c>
      <c r="D4338" s="1" t="s">
        <v>131</v>
      </c>
      <c r="E4338" s="3">
        <v>1110</v>
      </c>
      <c r="F4338" s="1" t="s">
        <v>36</v>
      </c>
      <c r="G4338" s="3">
        <v>0</v>
      </c>
      <c r="H4338" s="1">
        <v>0</v>
      </c>
      <c r="I4338" s="1">
        <v>1.2189E-2</v>
      </c>
    </row>
    <row r="4339" spans="1:9" x14ac:dyDescent="0.25">
      <c r="A4339" s="1">
        <v>2310160589</v>
      </c>
      <c r="B4339" s="1" t="s">
        <v>2508</v>
      </c>
      <c r="C4339" s="1" t="s">
        <v>130</v>
      </c>
      <c r="D4339" s="1" t="s">
        <v>131</v>
      </c>
      <c r="E4339" s="3">
        <v>2222</v>
      </c>
      <c r="F4339" s="1" t="s">
        <v>36</v>
      </c>
      <c r="G4339" s="1">
        <v>0</v>
      </c>
      <c r="H4339" s="3">
        <v>0</v>
      </c>
      <c r="I4339" s="1">
        <v>1.1211E-2</v>
      </c>
    </row>
    <row r="4340" spans="1:9" x14ac:dyDescent="0.25">
      <c r="A4340" s="1">
        <v>2310160590</v>
      </c>
      <c r="B4340" s="1" t="s">
        <v>2509</v>
      </c>
      <c r="C4340" s="1" t="s">
        <v>130</v>
      </c>
      <c r="D4340" s="1" t="s">
        <v>131</v>
      </c>
      <c r="E4340" s="3">
        <v>1707</v>
      </c>
      <c r="F4340" s="1" t="s">
        <v>36</v>
      </c>
      <c r="G4340" s="3">
        <v>0</v>
      </c>
      <c r="H4340" s="1">
        <v>0</v>
      </c>
      <c r="I4340" s="1">
        <v>1.2736000000000001E-2</v>
      </c>
    </row>
    <row r="4341" spans="1:9" x14ac:dyDescent="0.25">
      <c r="A4341" s="1">
        <v>2310160591</v>
      </c>
      <c r="B4341" s="1" t="s">
        <v>2510</v>
      </c>
      <c r="C4341" s="1" t="s">
        <v>130</v>
      </c>
      <c r="D4341" s="1" t="s">
        <v>131</v>
      </c>
      <c r="E4341" s="3">
        <v>2222</v>
      </c>
      <c r="F4341" s="1" t="s">
        <v>36</v>
      </c>
      <c r="G4341" s="1">
        <v>0</v>
      </c>
      <c r="H4341" s="1">
        <v>0</v>
      </c>
      <c r="I4341" s="1">
        <v>1.1571E-2</v>
      </c>
    </row>
    <row r="4342" spans="1:9" x14ac:dyDescent="0.25">
      <c r="A4342" s="1">
        <v>2310160592</v>
      </c>
      <c r="B4342" s="1" t="s">
        <v>2511</v>
      </c>
      <c r="C4342" s="1" t="s">
        <v>130</v>
      </c>
      <c r="D4342" s="1" t="s">
        <v>131</v>
      </c>
      <c r="E4342" s="3">
        <v>1555</v>
      </c>
      <c r="F4342" s="1" t="s">
        <v>36</v>
      </c>
      <c r="G4342" s="1">
        <v>0</v>
      </c>
      <c r="H4342" s="1">
        <v>0</v>
      </c>
      <c r="I4342" s="1">
        <v>1.0682000000000001E-2</v>
      </c>
    </row>
    <row r="4343" spans="1:9" x14ac:dyDescent="0.25">
      <c r="A4343" s="1">
        <v>2310170002</v>
      </c>
      <c r="B4343" s="1" t="s">
        <v>2512</v>
      </c>
      <c r="C4343" s="1" t="s">
        <v>130</v>
      </c>
      <c r="D4343" s="1" t="s">
        <v>131</v>
      </c>
      <c r="E4343" s="3">
        <v>301850</v>
      </c>
      <c r="F4343" s="1" t="s">
        <v>36</v>
      </c>
      <c r="G4343" s="3">
        <v>20000</v>
      </c>
      <c r="H4343" s="1">
        <v>0</v>
      </c>
      <c r="I4343" s="1">
        <v>4.6299E-2</v>
      </c>
    </row>
    <row r="4344" spans="1:9" x14ac:dyDescent="0.25">
      <c r="A4344" s="1">
        <v>2310170002</v>
      </c>
      <c r="B4344" s="1" t="s">
        <v>2512</v>
      </c>
      <c r="C4344" s="1" t="s">
        <v>142</v>
      </c>
      <c r="D4344" s="1" t="s">
        <v>143</v>
      </c>
      <c r="E4344" s="3">
        <v>61163</v>
      </c>
      <c r="F4344" s="1" t="s">
        <v>36</v>
      </c>
      <c r="G4344" s="1">
        <v>0</v>
      </c>
      <c r="H4344" s="3">
        <v>20000</v>
      </c>
      <c r="I4344" s="1">
        <v>4.6300000000000001E-2</v>
      </c>
    </row>
    <row r="4345" spans="1:9" x14ac:dyDescent="0.25">
      <c r="A4345" s="1">
        <v>2310170041</v>
      </c>
      <c r="B4345" s="1" t="s">
        <v>2513</v>
      </c>
      <c r="C4345" s="1" t="s">
        <v>130</v>
      </c>
      <c r="D4345" s="1" t="s">
        <v>131</v>
      </c>
      <c r="E4345" s="3">
        <v>10300</v>
      </c>
      <c r="F4345" s="1" t="s">
        <v>36</v>
      </c>
      <c r="G4345" s="1">
        <v>0</v>
      </c>
      <c r="H4345" s="1">
        <v>0</v>
      </c>
      <c r="I4345" s="1">
        <v>3.993E-2</v>
      </c>
    </row>
    <row r="4346" spans="1:9" x14ac:dyDescent="0.25">
      <c r="A4346" s="1">
        <v>2310180002</v>
      </c>
      <c r="B4346" s="1" t="s">
        <v>2514</v>
      </c>
      <c r="C4346" s="1" t="s">
        <v>130</v>
      </c>
      <c r="D4346" s="1" t="s">
        <v>131</v>
      </c>
      <c r="E4346" s="3">
        <v>12.5</v>
      </c>
      <c r="F4346" s="1" t="s">
        <v>89</v>
      </c>
      <c r="G4346" s="1">
        <v>0</v>
      </c>
      <c r="H4346" s="1">
        <v>0</v>
      </c>
      <c r="I4346" s="1">
        <v>9.3960000000000008</v>
      </c>
    </row>
    <row r="4347" spans="1:9" x14ac:dyDescent="0.25">
      <c r="A4347" s="1">
        <v>2310180020</v>
      </c>
      <c r="B4347" s="1" t="s">
        <v>2515</v>
      </c>
      <c r="C4347" s="1" t="s">
        <v>130</v>
      </c>
      <c r="D4347" s="1" t="s">
        <v>131</v>
      </c>
      <c r="E4347" s="3">
        <v>10</v>
      </c>
      <c r="F4347" s="1" t="s">
        <v>89</v>
      </c>
      <c r="G4347" s="1">
        <v>0</v>
      </c>
      <c r="H4347" s="1">
        <v>0</v>
      </c>
      <c r="I4347" s="1">
        <v>13.398</v>
      </c>
    </row>
    <row r="4348" spans="1:9" x14ac:dyDescent="0.25">
      <c r="A4348" s="1">
        <v>2310180035</v>
      </c>
      <c r="B4348" s="1" t="s">
        <v>58</v>
      </c>
      <c r="C4348" s="1" t="s">
        <v>130</v>
      </c>
      <c r="D4348" s="1" t="s">
        <v>131</v>
      </c>
      <c r="E4348" s="3">
        <v>74.5</v>
      </c>
      <c r="F4348" s="1" t="s">
        <v>89</v>
      </c>
      <c r="G4348" s="1">
        <v>0</v>
      </c>
      <c r="H4348" s="1">
        <v>0</v>
      </c>
      <c r="I4348" s="1">
        <v>5.9734230000000004</v>
      </c>
    </row>
    <row r="4349" spans="1:9" x14ac:dyDescent="0.25">
      <c r="A4349" s="1">
        <v>2310180036</v>
      </c>
      <c r="B4349" s="1" t="s">
        <v>42</v>
      </c>
      <c r="C4349" s="1" t="s">
        <v>130</v>
      </c>
      <c r="D4349" s="1" t="s">
        <v>131</v>
      </c>
      <c r="E4349" s="3">
        <v>468.1</v>
      </c>
      <c r="F4349" s="1" t="s">
        <v>89</v>
      </c>
      <c r="G4349" s="1">
        <v>0</v>
      </c>
      <c r="H4349" s="1">
        <v>0</v>
      </c>
      <c r="I4349" s="1">
        <v>13.235526999999999</v>
      </c>
    </row>
    <row r="4350" spans="1:9" x14ac:dyDescent="0.25">
      <c r="A4350" s="1">
        <v>2310180037</v>
      </c>
      <c r="B4350" s="1" t="s">
        <v>75</v>
      </c>
      <c r="C4350" s="1" t="s">
        <v>130</v>
      </c>
      <c r="D4350" s="1" t="s">
        <v>131</v>
      </c>
      <c r="E4350" s="3">
        <v>50.8</v>
      </c>
      <c r="F4350" s="1" t="s">
        <v>89</v>
      </c>
      <c r="G4350" s="1">
        <v>0</v>
      </c>
      <c r="H4350" s="1">
        <v>0</v>
      </c>
      <c r="I4350" s="1">
        <v>10.542323</v>
      </c>
    </row>
    <row r="4351" spans="1:9" x14ac:dyDescent="0.25">
      <c r="A4351" s="1">
        <v>2310180038</v>
      </c>
      <c r="B4351" s="1" t="s">
        <v>2516</v>
      </c>
      <c r="C4351" s="1" t="s">
        <v>130</v>
      </c>
      <c r="D4351" s="1" t="s">
        <v>131</v>
      </c>
      <c r="E4351" s="3">
        <v>2.2000000000000002</v>
      </c>
      <c r="F4351" s="1" t="s">
        <v>89</v>
      </c>
      <c r="G4351" s="1">
        <v>0</v>
      </c>
      <c r="H4351" s="3">
        <v>0</v>
      </c>
      <c r="I4351" s="1">
        <v>9.6227269999999994</v>
      </c>
    </row>
    <row r="4352" spans="1:9" x14ac:dyDescent="0.25">
      <c r="A4352" s="1">
        <v>2310180039</v>
      </c>
      <c r="B4352" s="1" t="s">
        <v>62</v>
      </c>
      <c r="C4352" s="1" t="s">
        <v>130</v>
      </c>
      <c r="D4352" s="1" t="s">
        <v>131</v>
      </c>
      <c r="E4352" s="3">
        <v>81.2</v>
      </c>
      <c r="F4352" s="1" t="s">
        <v>89</v>
      </c>
      <c r="G4352" s="1">
        <v>140</v>
      </c>
      <c r="H4352" s="1">
        <v>0</v>
      </c>
      <c r="I4352" s="1">
        <v>8.1312809999999995</v>
      </c>
    </row>
    <row r="4353" spans="1:9" x14ac:dyDescent="0.25">
      <c r="A4353" s="1">
        <v>2310180039</v>
      </c>
      <c r="B4353" s="1" t="s">
        <v>62</v>
      </c>
      <c r="C4353" s="1" t="s">
        <v>142</v>
      </c>
      <c r="D4353" s="1" t="s">
        <v>143</v>
      </c>
      <c r="E4353" s="3">
        <v>0</v>
      </c>
      <c r="F4353" s="1" t="s">
        <v>89</v>
      </c>
      <c r="G4353" s="3">
        <v>0</v>
      </c>
      <c r="H4353" s="1">
        <v>140</v>
      </c>
      <c r="I4353" s="1">
        <v>8.1311540000000004</v>
      </c>
    </row>
    <row r="4354" spans="1:9" x14ac:dyDescent="0.25">
      <c r="A4354" s="1">
        <v>2310180040</v>
      </c>
      <c r="B4354" s="1" t="s">
        <v>87</v>
      </c>
      <c r="C4354" s="1" t="s">
        <v>130</v>
      </c>
      <c r="D4354" s="1" t="s">
        <v>131</v>
      </c>
      <c r="E4354" s="1">
        <v>62.1</v>
      </c>
      <c r="F4354" s="1" t="s">
        <v>89</v>
      </c>
      <c r="G4354" s="1">
        <v>0</v>
      </c>
      <c r="H4354" s="3">
        <v>0</v>
      </c>
      <c r="I4354" s="1">
        <v>4.3330109999999999</v>
      </c>
    </row>
    <row r="4355" spans="1:9" x14ac:dyDescent="0.25">
      <c r="A4355" s="1">
        <v>2310180041</v>
      </c>
      <c r="B4355" s="1" t="s">
        <v>50</v>
      </c>
      <c r="C4355" s="1" t="s">
        <v>130</v>
      </c>
      <c r="D4355" s="1" t="s">
        <v>131</v>
      </c>
      <c r="E4355" s="3">
        <v>500</v>
      </c>
      <c r="F4355" s="1" t="s">
        <v>89</v>
      </c>
      <c r="G4355" s="1">
        <v>0</v>
      </c>
      <c r="H4355" s="1">
        <v>0</v>
      </c>
      <c r="I4355" s="1">
        <v>8.5194200000000002</v>
      </c>
    </row>
    <row r="4356" spans="1:9" x14ac:dyDescent="0.25">
      <c r="A4356" s="1">
        <v>2310180041</v>
      </c>
      <c r="B4356" s="1" t="s">
        <v>50</v>
      </c>
      <c r="C4356" s="1" t="s">
        <v>142</v>
      </c>
      <c r="D4356" s="1" t="s">
        <v>143</v>
      </c>
      <c r="E4356" s="3">
        <v>23.8</v>
      </c>
      <c r="F4356" s="1" t="s">
        <v>89</v>
      </c>
      <c r="G4356" s="3">
        <v>0</v>
      </c>
      <c r="H4356" s="1">
        <v>0</v>
      </c>
      <c r="I4356" s="1">
        <v>8.3777310000000007</v>
      </c>
    </row>
    <row r="4357" spans="1:9" x14ac:dyDescent="0.25">
      <c r="A4357" s="1">
        <v>2310180042</v>
      </c>
      <c r="B4357" s="1" t="s">
        <v>46</v>
      </c>
      <c r="C4357" s="1" t="s">
        <v>130</v>
      </c>
      <c r="D4357" s="1" t="s">
        <v>131</v>
      </c>
      <c r="E4357" s="1">
        <v>200</v>
      </c>
      <c r="F4357" s="1" t="s">
        <v>89</v>
      </c>
      <c r="G4357" s="1">
        <v>140</v>
      </c>
      <c r="H4357" s="3">
        <v>0</v>
      </c>
      <c r="I4357" s="1">
        <v>14.462350000000001</v>
      </c>
    </row>
    <row r="4358" spans="1:9" x14ac:dyDescent="0.25">
      <c r="A4358" s="1">
        <v>2310180042</v>
      </c>
      <c r="B4358" s="1" t="s">
        <v>46</v>
      </c>
      <c r="C4358" s="1" t="s">
        <v>142</v>
      </c>
      <c r="D4358" s="1" t="s">
        <v>143</v>
      </c>
      <c r="E4358" s="3">
        <v>0</v>
      </c>
      <c r="F4358" s="1" t="s">
        <v>89</v>
      </c>
      <c r="G4358" s="1">
        <v>0</v>
      </c>
      <c r="H4358" s="1">
        <v>140</v>
      </c>
      <c r="I4358" s="1">
        <v>14.944772</v>
      </c>
    </row>
    <row r="4359" spans="1:9" x14ac:dyDescent="0.25">
      <c r="A4359" s="1">
        <v>2310180043</v>
      </c>
      <c r="B4359" s="1" t="s">
        <v>2517</v>
      </c>
      <c r="C4359" s="1" t="s">
        <v>130</v>
      </c>
      <c r="D4359" s="1" t="s">
        <v>131</v>
      </c>
      <c r="E4359" s="3">
        <v>17.2</v>
      </c>
      <c r="F4359" s="1" t="s">
        <v>89</v>
      </c>
      <c r="G4359" s="1">
        <v>0</v>
      </c>
      <c r="H4359" s="1">
        <v>0</v>
      </c>
      <c r="I4359" s="1">
        <v>8.2773260000000004</v>
      </c>
    </row>
    <row r="4360" spans="1:9" x14ac:dyDescent="0.25">
      <c r="A4360" s="1">
        <v>2310180044</v>
      </c>
      <c r="B4360" s="1" t="s">
        <v>54</v>
      </c>
      <c r="C4360" s="1" t="s">
        <v>130</v>
      </c>
      <c r="D4360" s="1" t="s">
        <v>131</v>
      </c>
      <c r="E4360" s="3">
        <v>84.7</v>
      </c>
      <c r="F4360" s="1" t="s">
        <v>89</v>
      </c>
      <c r="G4360" s="1">
        <v>0</v>
      </c>
      <c r="H4360" s="1">
        <v>0</v>
      </c>
      <c r="I4360" s="1">
        <v>6.8388429999999998</v>
      </c>
    </row>
    <row r="4361" spans="1:9" x14ac:dyDescent="0.25">
      <c r="A4361" s="1">
        <v>2310180045</v>
      </c>
      <c r="B4361" s="1" t="s">
        <v>83</v>
      </c>
      <c r="C4361" s="1" t="s">
        <v>130</v>
      </c>
      <c r="D4361" s="1" t="s">
        <v>131</v>
      </c>
      <c r="E4361" s="3">
        <v>44.4</v>
      </c>
      <c r="F4361" s="1" t="s">
        <v>89</v>
      </c>
      <c r="G4361" s="1">
        <v>0</v>
      </c>
      <c r="H4361" s="1">
        <v>0</v>
      </c>
      <c r="I4361" s="1">
        <v>6.6236490000000003</v>
      </c>
    </row>
    <row r="4362" spans="1:9" x14ac:dyDescent="0.25">
      <c r="A4362" s="1">
        <v>2310180046</v>
      </c>
      <c r="B4362" s="1" t="s">
        <v>2518</v>
      </c>
      <c r="C4362" s="1" t="s">
        <v>130</v>
      </c>
      <c r="D4362" s="1" t="s">
        <v>131</v>
      </c>
      <c r="E4362" s="3">
        <v>17.3</v>
      </c>
      <c r="F4362" s="1" t="s">
        <v>89</v>
      </c>
      <c r="G4362" s="1">
        <v>0</v>
      </c>
      <c r="H4362" s="1">
        <v>0</v>
      </c>
      <c r="I4362" s="1">
        <v>9.1734100000000005</v>
      </c>
    </row>
    <row r="4363" spans="1:9" x14ac:dyDescent="0.25">
      <c r="A4363" s="1">
        <v>2310180047</v>
      </c>
      <c r="B4363" s="1" t="s">
        <v>66</v>
      </c>
      <c r="C4363" s="1" t="s">
        <v>130</v>
      </c>
      <c r="D4363" s="1" t="s">
        <v>131</v>
      </c>
      <c r="E4363" s="3">
        <v>90.1</v>
      </c>
      <c r="F4363" s="1" t="s">
        <v>89</v>
      </c>
      <c r="G4363" s="1">
        <v>8.4</v>
      </c>
      <c r="H4363" s="1">
        <v>0</v>
      </c>
      <c r="I4363" s="1">
        <v>8.9369589999999999</v>
      </c>
    </row>
    <row r="4364" spans="1:9" x14ac:dyDescent="0.25">
      <c r="A4364" s="1">
        <v>2310180047</v>
      </c>
      <c r="B4364" s="1" t="s">
        <v>66</v>
      </c>
      <c r="C4364" s="1" t="s">
        <v>142</v>
      </c>
      <c r="D4364" s="1" t="s">
        <v>143</v>
      </c>
      <c r="E4364" s="1">
        <v>17.399999999999999</v>
      </c>
      <c r="F4364" s="1" t="s">
        <v>89</v>
      </c>
      <c r="G4364" s="1">
        <v>0</v>
      </c>
      <c r="H4364" s="1">
        <v>8.4</v>
      </c>
      <c r="I4364" s="1">
        <v>8.9367819999999991</v>
      </c>
    </row>
    <row r="4365" spans="1:9" x14ac:dyDescent="0.25">
      <c r="A4365" s="1">
        <v>2310180048</v>
      </c>
      <c r="B4365" s="1" t="s">
        <v>94</v>
      </c>
      <c r="C4365" s="1" t="s">
        <v>2174</v>
      </c>
      <c r="D4365" s="1" t="s">
        <v>2175</v>
      </c>
      <c r="E4365" s="3">
        <v>93.75</v>
      </c>
      <c r="F4365" s="1" t="s">
        <v>89</v>
      </c>
      <c r="G4365" s="1">
        <v>0</v>
      </c>
      <c r="H4365" s="1">
        <v>0</v>
      </c>
      <c r="I4365" s="1">
        <v>2.7850670000000002</v>
      </c>
    </row>
    <row r="4366" spans="1:9" x14ac:dyDescent="0.25">
      <c r="A4366" s="1">
        <v>2310180050</v>
      </c>
      <c r="B4366" s="1" t="s">
        <v>70</v>
      </c>
      <c r="C4366" s="1" t="s">
        <v>130</v>
      </c>
      <c r="D4366" s="1" t="s">
        <v>131</v>
      </c>
      <c r="E4366" s="3">
        <v>201.8</v>
      </c>
      <c r="F4366" s="1" t="s">
        <v>89</v>
      </c>
      <c r="G4366" s="1">
        <v>0</v>
      </c>
      <c r="H4366" s="1">
        <v>0</v>
      </c>
      <c r="I4366" s="1">
        <v>3.728593</v>
      </c>
    </row>
    <row r="4367" spans="1:9" x14ac:dyDescent="0.25">
      <c r="A4367" s="1">
        <v>2310180051</v>
      </c>
      <c r="B4367" s="1" t="s">
        <v>79</v>
      </c>
      <c r="C4367" s="1" t="s">
        <v>130</v>
      </c>
      <c r="D4367" s="1" t="s">
        <v>131</v>
      </c>
      <c r="E4367" s="3">
        <v>66.599999999999994</v>
      </c>
      <c r="F4367" s="1" t="s">
        <v>89</v>
      </c>
      <c r="G4367" s="1">
        <v>0</v>
      </c>
      <c r="H4367" s="1">
        <v>0</v>
      </c>
      <c r="I4367" s="1">
        <v>5.2177179999999996</v>
      </c>
    </row>
    <row r="4368" spans="1:9" x14ac:dyDescent="0.25">
      <c r="A4368" s="1">
        <v>2310180061</v>
      </c>
      <c r="B4368" s="1" t="s">
        <v>2519</v>
      </c>
      <c r="C4368" s="1" t="s">
        <v>130</v>
      </c>
      <c r="D4368" s="1" t="s">
        <v>131</v>
      </c>
      <c r="E4368" s="1">
        <v>3</v>
      </c>
      <c r="F4368" s="1" t="s">
        <v>89</v>
      </c>
      <c r="G4368" s="1">
        <v>0</v>
      </c>
      <c r="H4368" s="1">
        <v>0</v>
      </c>
      <c r="I4368" s="1">
        <v>9.0299999999999994</v>
      </c>
    </row>
    <row r="4369" spans="1:9" x14ac:dyDescent="0.25">
      <c r="A4369" s="1">
        <v>2310180062</v>
      </c>
      <c r="B4369" s="1" t="s">
        <v>2520</v>
      </c>
      <c r="C4369" s="1" t="s">
        <v>130</v>
      </c>
      <c r="D4369" s="1" t="s">
        <v>131</v>
      </c>
      <c r="E4369" s="3">
        <v>5.4</v>
      </c>
      <c r="F4369" s="1" t="s">
        <v>89</v>
      </c>
      <c r="G4369" s="1">
        <v>0</v>
      </c>
      <c r="H4369" s="1">
        <v>0</v>
      </c>
      <c r="I4369" s="1">
        <v>7.9296300000000004</v>
      </c>
    </row>
    <row r="4370" spans="1:9" x14ac:dyDescent="0.25">
      <c r="A4370" s="1">
        <v>2310180064</v>
      </c>
      <c r="B4370" s="1" t="s">
        <v>2521</v>
      </c>
      <c r="C4370" s="1" t="s">
        <v>130</v>
      </c>
      <c r="D4370" s="1" t="s">
        <v>131</v>
      </c>
      <c r="E4370" s="3">
        <v>5.6</v>
      </c>
      <c r="F4370" s="1" t="s">
        <v>89</v>
      </c>
      <c r="G4370" s="1">
        <v>0</v>
      </c>
      <c r="H4370" s="1">
        <v>0</v>
      </c>
      <c r="I4370" s="1">
        <v>7.0428569999999997</v>
      </c>
    </row>
    <row r="4371" spans="1:9" x14ac:dyDescent="0.25">
      <c r="A4371" s="1">
        <v>2310180065</v>
      </c>
      <c r="B4371" s="1" t="s">
        <v>2522</v>
      </c>
      <c r="C4371" s="1" t="s">
        <v>130</v>
      </c>
      <c r="D4371" s="1" t="s">
        <v>131</v>
      </c>
      <c r="E4371" s="3">
        <v>2.6</v>
      </c>
      <c r="F4371" s="1" t="s">
        <v>89</v>
      </c>
      <c r="G4371" s="1">
        <v>0</v>
      </c>
      <c r="H4371" s="1">
        <v>0</v>
      </c>
      <c r="I4371" s="1">
        <v>7.8</v>
      </c>
    </row>
    <row r="4372" spans="1:9" x14ac:dyDescent="0.25">
      <c r="A4372" s="1">
        <v>2310180068</v>
      </c>
      <c r="B4372" s="1" t="s">
        <v>2523</v>
      </c>
      <c r="C4372" s="1" t="s">
        <v>130</v>
      </c>
      <c r="D4372" s="1" t="s">
        <v>131</v>
      </c>
      <c r="E4372" s="3">
        <v>1.3</v>
      </c>
      <c r="F4372" s="1" t="s">
        <v>89</v>
      </c>
      <c r="G4372" s="1">
        <v>0</v>
      </c>
      <c r="H4372" s="1">
        <v>0</v>
      </c>
      <c r="I4372" s="1">
        <v>9.2538459999999993</v>
      </c>
    </row>
    <row r="4373" spans="1:9" x14ac:dyDescent="0.25">
      <c r="A4373" s="1">
        <v>2310180070</v>
      </c>
      <c r="B4373" s="1" t="s">
        <v>2524</v>
      </c>
      <c r="C4373" s="1" t="s">
        <v>130</v>
      </c>
      <c r="D4373" s="1" t="s">
        <v>131</v>
      </c>
      <c r="E4373" s="3">
        <v>1.9</v>
      </c>
      <c r="F4373" s="1" t="s">
        <v>89</v>
      </c>
      <c r="G4373" s="1">
        <v>0</v>
      </c>
      <c r="H4373" s="1">
        <v>0</v>
      </c>
      <c r="I4373" s="1">
        <v>10.510526</v>
      </c>
    </row>
    <row r="4374" spans="1:9" x14ac:dyDescent="0.25">
      <c r="A4374" s="1">
        <v>2310180072</v>
      </c>
      <c r="B4374" s="1" t="s">
        <v>2525</v>
      </c>
      <c r="C4374" s="1" t="s">
        <v>130</v>
      </c>
      <c r="D4374" s="1" t="s">
        <v>131</v>
      </c>
      <c r="E4374" s="3">
        <v>22.7</v>
      </c>
      <c r="F4374" s="1" t="s">
        <v>89</v>
      </c>
      <c r="G4374" s="1">
        <v>0</v>
      </c>
      <c r="H4374" s="1">
        <v>0</v>
      </c>
      <c r="I4374" s="1">
        <v>9.3400879999999997</v>
      </c>
    </row>
    <row r="4375" spans="1:9" x14ac:dyDescent="0.25">
      <c r="A4375" s="1">
        <v>2310180073</v>
      </c>
      <c r="B4375" s="1" t="s">
        <v>2526</v>
      </c>
      <c r="C4375" s="1" t="s">
        <v>130</v>
      </c>
      <c r="D4375" s="1" t="s">
        <v>131</v>
      </c>
      <c r="E4375" s="3">
        <v>4.5</v>
      </c>
      <c r="F4375" s="1" t="s">
        <v>89</v>
      </c>
      <c r="G4375" s="1">
        <v>0</v>
      </c>
      <c r="H4375" s="1">
        <v>0</v>
      </c>
      <c r="I4375" s="1">
        <v>51.911110999999998</v>
      </c>
    </row>
    <row r="4376" spans="1:9" x14ac:dyDescent="0.25">
      <c r="A4376" s="1">
        <v>2310180074</v>
      </c>
      <c r="B4376" s="1" t="s">
        <v>2527</v>
      </c>
      <c r="C4376" s="1" t="s">
        <v>130</v>
      </c>
      <c r="D4376" s="1" t="s">
        <v>131</v>
      </c>
      <c r="E4376" s="3">
        <v>6</v>
      </c>
      <c r="F4376" s="1" t="s">
        <v>89</v>
      </c>
      <c r="G4376" s="1">
        <v>0</v>
      </c>
      <c r="H4376" s="1">
        <v>0</v>
      </c>
      <c r="I4376" s="1">
        <v>8.0316670000000006</v>
      </c>
    </row>
    <row r="4377" spans="1:9" x14ac:dyDescent="0.25">
      <c r="A4377" s="1">
        <v>2310180075</v>
      </c>
      <c r="B4377" s="1" t="s">
        <v>2528</v>
      </c>
      <c r="C4377" s="1" t="s">
        <v>130</v>
      </c>
      <c r="D4377" s="1" t="s">
        <v>131</v>
      </c>
      <c r="E4377" s="1">
        <v>6.2</v>
      </c>
      <c r="F4377" s="1" t="s">
        <v>89</v>
      </c>
      <c r="G4377" s="1">
        <v>0</v>
      </c>
      <c r="H4377" s="1">
        <v>0</v>
      </c>
      <c r="I4377" s="1">
        <v>11.880644999999999</v>
      </c>
    </row>
    <row r="4378" spans="1:9" x14ac:dyDescent="0.25">
      <c r="A4378" s="1">
        <v>2310180076</v>
      </c>
      <c r="B4378" s="1" t="s">
        <v>2529</v>
      </c>
      <c r="C4378" s="1" t="s">
        <v>130</v>
      </c>
      <c r="D4378" s="1" t="s">
        <v>131</v>
      </c>
      <c r="E4378" s="1">
        <v>5.8</v>
      </c>
      <c r="F4378" s="1" t="s">
        <v>89</v>
      </c>
      <c r="G4378" s="1">
        <v>0</v>
      </c>
      <c r="H4378" s="1">
        <v>0</v>
      </c>
      <c r="I4378" s="1">
        <v>7.7620690000000003</v>
      </c>
    </row>
    <row r="4379" spans="1:9" x14ac:dyDescent="0.25">
      <c r="A4379" s="1">
        <v>2310180077</v>
      </c>
      <c r="B4379" s="1" t="s">
        <v>2530</v>
      </c>
      <c r="C4379" s="1" t="s">
        <v>130</v>
      </c>
      <c r="D4379" s="1" t="s">
        <v>131</v>
      </c>
      <c r="E4379" s="3">
        <v>6.7</v>
      </c>
      <c r="F4379" s="1" t="s">
        <v>89</v>
      </c>
      <c r="G4379" s="1">
        <v>0</v>
      </c>
      <c r="H4379" s="1">
        <v>0</v>
      </c>
      <c r="I4379" s="1">
        <v>11.431343</v>
      </c>
    </row>
    <row r="4380" spans="1:9" x14ac:dyDescent="0.25">
      <c r="A4380" s="1">
        <v>2310180078</v>
      </c>
      <c r="B4380" s="1" t="s">
        <v>2531</v>
      </c>
      <c r="C4380" s="1" t="s">
        <v>130</v>
      </c>
      <c r="D4380" s="1" t="s">
        <v>131</v>
      </c>
      <c r="E4380" s="1">
        <v>5.6</v>
      </c>
      <c r="F4380" s="1" t="s">
        <v>89</v>
      </c>
      <c r="G4380" s="1">
        <v>0</v>
      </c>
      <c r="H4380" s="1">
        <v>0</v>
      </c>
      <c r="I4380" s="1">
        <v>14.376785999999999</v>
      </c>
    </row>
    <row r="4381" spans="1:9" x14ac:dyDescent="0.25">
      <c r="A4381" s="1">
        <v>2310180079</v>
      </c>
      <c r="B4381" s="1" t="s">
        <v>2532</v>
      </c>
      <c r="C4381" s="1" t="s">
        <v>130</v>
      </c>
      <c r="D4381" s="1" t="s">
        <v>131</v>
      </c>
      <c r="E4381" s="1">
        <v>7</v>
      </c>
      <c r="F4381" s="1" t="s">
        <v>89</v>
      </c>
      <c r="G4381" s="1">
        <v>0</v>
      </c>
      <c r="H4381" s="1">
        <v>0</v>
      </c>
      <c r="I4381" s="1">
        <v>9.1885709999999996</v>
      </c>
    </row>
    <row r="4382" spans="1:9" x14ac:dyDescent="0.25">
      <c r="A4382" s="1">
        <v>2310180080</v>
      </c>
      <c r="B4382" s="1" t="s">
        <v>2533</v>
      </c>
      <c r="C4382" s="1" t="s">
        <v>130</v>
      </c>
      <c r="D4382" s="1" t="s">
        <v>131</v>
      </c>
      <c r="E4382" s="3">
        <v>6.1</v>
      </c>
      <c r="F4382" s="1" t="s">
        <v>89</v>
      </c>
      <c r="G4382" s="1">
        <v>0</v>
      </c>
      <c r="H4382" s="1">
        <v>0</v>
      </c>
      <c r="I4382" s="1">
        <v>11.059016</v>
      </c>
    </row>
    <row r="4383" spans="1:9" x14ac:dyDescent="0.25">
      <c r="A4383" s="1">
        <v>2310180081</v>
      </c>
      <c r="B4383" s="1" t="s">
        <v>2534</v>
      </c>
      <c r="C4383" s="1" t="s">
        <v>130</v>
      </c>
      <c r="D4383" s="1" t="s">
        <v>131</v>
      </c>
      <c r="E4383" s="1">
        <v>6</v>
      </c>
      <c r="F4383" s="1" t="s">
        <v>89</v>
      </c>
      <c r="G4383" s="1">
        <v>0</v>
      </c>
      <c r="H4383" s="1">
        <v>0</v>
      </c>
      <c r="I4383" s="1">
        <v>13.043333000000001</v>
      </c>
    </row>
    <row r="4384" spans="1:9" x14ac:dyDescent="0.25">
      <c r="A4384" s="1">
        <v>2310180082</v>
      </c>
      <c r="B4384" s="1" t="s">
        <v>2535</v>
      </c>
      <c r="C4384" s="1" t="s">
        <v>130</v>
      </c>
      <c r="D4384" s="1" t="s">
        <v>131</v>
      </c>
      <c r="E4384" s="1">
        <v>5.5</v>
      </c>
      <c r="F4384" s="1" t="s">
        <v>89</v>
      </c>
      <c r="G4384" s="1">
        <v>0</v>
      </c>
      <c r="H4384" s="1">
        <v>0</v>
      </c>
      <c r="I4384" s="1">
        <v>9.9290909999999997</v>
      </c>
    </row>
    <row r="4385" spans="1:9" x14ac:dyDescent="0.25">
      <c r="A4385" s="1">
        <v>2310180083</v>
      </c>
      <c r="B4385" s="1" t="s">
        <v>2536</v>
      </c>
      <c r="C4385" s="1" t="s">
        <v>130</v>
      </c>
      <c r="D4385" s="1" t="s">
        <v>131</v>
      </c>
      <c r="E4385" s="1">
        <v>7.2</v>
      </c>
      <c r="F4385" s="1" t="s">
        <v>89</v>
      </c>
      <c r="G4385" s="1">
        <v>0</v>
      </c>
      <c r="H4385" s="1">
        <v>0</v>
      </c>
      <c r="I4385" s="1">
        <v>14.372222000000001</v>
      </c>
    </row>
    <row r="4386" spans="1:9" x14ac:dyDescent="0.25">
      <c r="A4386" s="1">
        <v>2310180084</v>
      </c>
      <c r="B4386" s="1" t="s">
        <v>2537</v>
      </c>
      <c r="C4386" s="1" t="s">
        <v>130</v>
      </c>
      <c r="D4386" s="1" t="s">
        <v>131</v>
      </c>
      <c r="E4386" s="3">
        <v>5.8</v>
      </c>
      <c r="F4386" s="1" t="s">
        <v>89</v>
      </c>
      <c r="G4386" s="1">
        <v>0</v>
      </c>
      <c r="H4386" s="1">
        <v>0</v>
      </c>
      <c r="I4386" s="1">
        <v>13.548276</v>
      </c>
    </row>
    <row r="4387" spans="1:9" x14ac:dyDescent="0.25">
      <c r="A4387" s="1">
        <v>2310180085</v>
      </c>
      <c r="B4387" s="1" t="s">
        <v>2538</v>
      </c>
      <c r="C4387" s="1" t="s">
        <v>130</v>
      </c>
      <c r="D4387" s="1" t="s">
        <v>131</v>
      </c>
      <c r="E4387" s="3">
        <v>6.2</v>
      </c>
      <c r="F4387" s="1" t="s">
        <v>89</v>
      </c>
      <c r="G4387" s="3">
        <v>0</v>
      </c>
      <c r="H4387" s="1">
        <v>0</v>
      </c>
      <c r="I4387" s="1">
        <v>13.341934999999999</v>
      </c>
    </row>
    <row r="4388" spans="1:9" x14ac:dyDescent="0.25">
      <c r="A4388" s="1">
        <v>2310190035</v>
      </c>
      <c r="B4388" s="1" t="s">
        <v>2539</v>
      </c>
      <c r="C4388" s="1" t="s">
        <v>130</v>
      </c>
      <c r="D4388" s="1" t="s">
        <v>131</v>
      </c>
      <c r="E4388" s="3">
        <v>1021</v>
      </c>
      <c r="F4388" s="1" t="s">
        <v>36</v>
      </c>
      <c r="G4388" s="1">
        <v>0</v>
      </c>
      <c r="H4388" s="3">
        <v>0</v>
      </c>
      <c r="I4388" s="1">
        <v>0.28980400000000001</v>
      </c>
    </row>
    <row r="4389" spans="1:9" x14ac:dyDescent="0.25">
      <c r="A4389" s="1">
        <v>2310190036</v>
      </c>
      <c r="B4389" s="1" t="s">
        <v>2540</v>
      </c>
      <c r="C4389" s="1" t="s">
        <v>130</v>
      </c>
      <c r="D4389" s="1" t="s">
        <v>131</v>
      </c>
      <c r="E4389" s="3">
        <v>1038</v>
      </c>
      <c r="F4389" s="1" t="s">
        <v>36</v>
      </c>
      <c r="G4389" s="3">
        <v>0</v>
      </c>
      <c r="H4389" s="1">
        <v>0</v>
      </c>
      <c r="I4389" s="1">
        <v>0.69515400000000005</v>
      </c>
    </row>
    <row r="4390" spans="1:9" x14ac:dyDescent="0.25">
      <c r="A4390" s="1">
        <v>2310190089</v>
      </c>
      <c r="B4390" s="1" t="s">
        <v>2541</v>
      </c>
      <c r="C4390" s="1" t="s">
        <v>130</v>
      </c>
      <c r="D4390" s="1" t="s">
        <v>131</v>
      </c>
      <c r="E4390" s="3">
        <v>42</v>
      </c>
      <c r="F4390" s="1" t="s">
        <v>36</v>
      </c>
      <c r="G4390" s="1">
        <v>0</v>
      </c>
      <c r="H4390" s="3">
        <v>0</v>
      </c>
      <c r="I4390" s="1">
        <v>0.18904799999999999</v>
      </c>
    </row>
    <row r="4391" spans="1:9" x14ac:dyDescent="0.25">
      <c r="A4391" s="1">
        <v>2310190090</v>
      </c>
      <c r="B4391" s="1" t="s">
        <v>2542</v>
      </c>
      <c r="C4391" s="1" t="s">
        <v>130</v>
      </c>
      <c r="D4391" s="1" t="s">
        <v>131</v>
      </c>
      <c r="E4391" s="3">
        <v>205</v>
      </c>
      <c r="F4391" s="1" t="s">
        <v>36</v>
      </c>
      <c r="G4391" s="1">
        <v>0</v>
      </c>
      <c r="H4391" s="3">
        <v>0</v>
      </c>
      <c r="I4391" s="1">
        <v>0.18229300000000001</v>
      </c>
    </row>
    <row r="4392" spans="1:9" x14ac:dyDescent="0.25">
      <c r="A4392" s="1">
        <v>2310190091</v>
      </c>
      <c r="B4392" s="1" t="s">
        <v>2543</v>
      </c>
      <c r="C4392" s="1" t="s">
        <v>130</v>
      </c>
      <c r="D4392" s="1" t="s">
        <v>131</v>
      </c>
      <c r="E4392" s="3">
        <v>105</v>
      </c>
      <c r="F4392" s="1" t="s">
        <v>36</v>
      </c>
      <c r="G4392" s="1">
        <v>0</v>
      </c>
      <c r="H4392" s="1">
        <v>0</v>
      </c>
      <c r="I4392" s="1">
        <v>0.18590499999999999</v>
      </c>
    </row>
    <row r="4393" spans="1:9" x14ac:dyDescent="0.25">
      <c r="A4393" s="1">
        <v>2310190092</v>
      </c>
      <c r="B4393" s="1" t="s">
        <v>2544</v>
      </c>
      <c r="C4393" s="1" t="s">
        <v>130</v>
      </c>
      <c r="D4393" s="1" t="s">
        <v>131</v>
      </c>
      <c r="E4393" s="3">
        <v>1440</v>
      </c>
      <c r="F4393" s="1" t="s">
        <v>36</v>
      </c>
      <c r="G4393" s="1">
        <v>0</v>
      </c>
      <c r="H4393" s="1">
        <v>0</v>
      </c>
      <c r="I4393" s="1">
        <v>0.18525700000000001</v>
      </c>
    </row>
    <row r="4394" spans="1:9" x14ac:dyDescent="0.25">
      <c r="A4394" s="1">
        <v>2310190093</v>
      </c>
      <c r="B4394" s="1" t="s">
        <v>2545</v>
      </c>
      <c r="C4394" s="1" t="s">
        <v>130</v>
      </c>
      <c r="D4394" s="1" t="s">
        <v>131</v>
      </c>
      <c r="E4394" s="3">
        <v>15</v>
      </c>
      <c r="F4394" s="1" t="s">
        <v>36</v>
      </c>
      <c r="G4394" s="1">
        <v>0</v>
      </c>
      <c r="H4394" s="1">
        <v>0</v>
      </c>
      <c r="I4394" s="1">
        <v>0.185333</v>
      </c>
    </row>
    <row r="4395" spans="1:9" x14ac:dyDescent="0.25">
      <c r="A4395" s="1">
        <v>2310190095</v>
      </c>
      <c r="B4395" s="1" t="s">
        <v>2546</v>
      </c>
      <c r="C4395" s="1" t="s">
        <v>130</v>
      </c>
      <c r="D4395" s="1" t="s">
        <v>131</v>
      </c>
      <c r="E4395" s="3">
        <v>41</v>
      </c>
      <c r="F4395" s="1" t="s">
        <v>36</v>
      </c>
      <c r="G4395" s="1">
        <v>0</v>
      </c>
      <c r="H4395" s="1">
        <v>0</v>
      </c>
      <c r="I4395" s="1">
        <v>0.18634100000000001</v>
      </c>
    </row>
    <row r="4396" spans="1:9" x14ac:dyDescent="0.25">
      <c r="A4396" s="1">
        <v>2310190096</v>
      </c>
      <c r="B4396" s="1" t="s">
        <v>2547</v>
      </c>
      <c r="C4396" s="1" t="s">
        <v>130</v>
      </c>
      <c r="D4396" s="1" t="s">
        <v>131</v>
      </c>
      <c r="E4396" s="3">
        <v>995</v>
      </c>
      <c r="F4396" s="1" t="s">
        <v>36</v>
      </c>
      <c r="G4396" s="1">
        <v>0</v>
      </c>
      <c r="H4396" s="1">
        <v>0</v>
      </c>
      <c r="I4396" s="1">
        <v>0.185166</v>
      </c>
    </row>
    <row r="4397" spans="1:9" x14ac:dyDescent="0.25">
      <c r="A4397" s="1">
        <v>2310190097</v>
      </c>
      <c r="B4397" s="1" t="s">
        <v>2548</v>
      </c>
      <c r="C4397" s="1" t="s">
        <v>130</v>
      </c>
      <c r="D4397" s="1" t="s">
        <v>131</v>
      </c>
      <c r="E4397" s="3">
        <v>1350</v>
      </c>
      <c r="F4397" s="1" t="s">
        <v>36</v>
      </c>
      <c r="G4397" s="1">
        <v>0</v>
      </c>
      <c r="H4397" s="1">
        <v>0</v>
      </c>
      <c r="I4397" s="1">
        <v>0.19922200000000001</v>
      </c>
    </row>
    <row r="4398" spans="1:9" x14ac:dyDescent="0.25">
      <c r="A4398" s="1">
        <v>2310190098</v>
      </c>
      <c r="B4398" s="1" t="s">
        <v>2549</v>
      </c>
      <c r="C4398" s="1" t="s">
        <v>130</v>
      </c>
      <c r="D4398" s="1" t="s">
        <v>131</v>
      </c>
      <c r="E4398" s="3">
        <v>65</v>
      </c>
      <c r="F4398" s="1" t="s">
        <v>36</v>
      </c>
      <c r="G4398" s="1">
        <v>0</v>
      </c>
      <c r="H4398" s="1">
        <v>0</v>
      </c>
      <c r="I4398" s="1">
        <v>0.21738499999999999</v>
      </c>
    </row>
    <row r="4399" spans="1:9" x14ac:dyDescent="0.25">
      <c r="A4399" s="1">
        <v>2310190110</v>
      </c>
      <c r="B4399" s="1" t="s">
        <v>2550</v>
      </c>
      <c r="C4399" s="1" t="s">
        <v>130</v>
      </c>
      <c r="D4399" s="1" t="s">
        <v>131</v>
      </c>
      <c r="E4399" s="3">
        <v>5451</v>
      </c>
      <c r="F4399" s="1" t="s">
        <v>36</v>
      </c>
      <c r="G4399" s="1">
        <v>0</v>
      </c>
      <c r="H4399" s="1">
        <v>0</v>
      </c>
      <c r="I4399" s="1">
        <v>5.953E-2</v>
      </c>
    </row>
    <row r="4400" spans="1:9" x14ac:dyDescent="0.25">
      <c r="A4400" s="1">
        <v>2310210010</v>
      </c>
      <c r="B4400" s="1" t="s">
        <v>2551</v>
      </c>
      <c r="C4400" s="1" t="s">
        <v>130</v>
      </c>
      <c r="D4400" s="1" t="s">
        <v>131</v>
      </c>
      <c r="E4400" s="3">
        <v>2690</v>
      </c>
      <c r="F4400" s="1" t="s">
        <v>36</v>
      </c>
      <c r="G4400" s="1">
        <v>0</v>
      </c>
      <c r="H4400" s="1">
        <v>0</v>
      </c>
      <c r="I4400" s="1">
        <v>0.13245000000000001</v>
      </c>
    </row>
    <row r="4401" spans="1:9" x14ac:dyDescent="0.25">
      <c r="A4401" s="1">
        <v>2310210082</v>
      </c>
      <c r="B4401" s="1" t="s">
        <v>2552</v>
      </c>
      <c r="C4401" s="1" t="s">
        <v>130</v>
      </c>
      <c r="D4401" s="1" t="s">
        <v>131</v>
      </c>
      <c r="E4401" s="3">
        <v>128</v>
      </c>
      <c r="F4401" s="1" t="s">
        <v>36</v>
      </c>
      <c r="G4401" s="1">
        <v>0</v>
      </c>
      <c r="H4401" s="1">
        <v>0</v>
      </c>
      <c r="I4401" s="1">
        <v>0.11242199999999999</v>
      </c>
    </row>
    <row r="4402" spans="1:9" x14ac:dyDescent="0.25">
      <c r="A4402" s="1">
        <v>2310210083</v>
      </c>
      <c r="B4402" s="1" t="s">
        <v>2553</v>
      </c>
      <c r="C4402" s="1" t="s">
        <v>130</v>
      </c>
      <c r="D4402" s="1" t="s">
        <v>131</v>
      </c>
      <c r="E4402" s="1">
        <v>120</v>
      </c>
      <c r="F4402" s="1" t="s">
        <v>36</v>
      </c>
      <c r="G4402" s="1">
        <v>0</v>
      </c>
      <c r="H4402" s="1">
        <v>0</v>
      </c>
      <c r="I4402" s="1">
        <v>0.112417</v>
      </c>
    </row>
    <row r="4403" spans="1:9" x14ac:dyDescent="0.25">
      <c r="A4403" s="1">
        <v>2310210084</v>
      </c>
      <c r="B4403" s="1" t="s">
        <v>2554</v>
      </c>
      <c r="C4403" s="1" t="s">
        <v>130</v>
      </c>
      <c r="D4403" s="1" t="s">
        <v>131</v>
      </c>
      <c r="E4403" s="3">
        <v>157</v>
      </c>
      <c r="F4403" s="1" t="s">
        <v>36</v>
      </c>
      <c r="G4403" s="1">
        <v>0</v>
      </c>
      <c r="H4403" s="1">
        <v>0</v>
      </c>
      <c r="I4403" s="1">
        <v>0.11242000000000001</v>
      </c>
    </row>
    <row r="4404" spans="1:9" x14ac:dyDescent="0.25">
      <c r="A4404" s="1">
        <v>2310210085</v>
      </c>
      <c r="B4404" s="1" t="s">
        <v>2555</v>
      </c>
      <c r="C4404" s="1" t="s">
        <v>130</v>
      </c>
      <c r="D4404" s="1" t="s">
        <v>131</v>
      </c>
      <c r="E4404" s="3">
        <v>125</v>
      </c>
      <c r="F4404" s="1" t="s">
        <v>36</v>
      </c>
      <c r="G4404" s="1">
        <v>0</v>
      </c>
      <c r="H4404" s="1">
        <v>0</v>
      </c>
      <c r="I4404" s="1">
        <v>0.1124</v>
      </c>
    </row>
    <row r="4405" spans="1:9" x14ac:dyDescent="0.25">
      <c r="A4405" s="1">
        <v>2310210086</v>
      </c>
      <c r="B4405" s="1" t="s">
        <v>2556</v>
      </c>
      <c r="C4405" s="1" t="s">
        <v>130</v>
      </c>
      <c r="D4405" s="1" t="s">
        <v>131</v>
      </c>
      <c r="E4405" s="1">
        <v>112</v>
      </c>
      <c r="F4405" s="1" t="s">
        <v>36</v>
      </c>
      <c r="G4405" s="1">
        <v>0</v>
      </c>
      <c r="H4405" s="1">
        <v>0</v>
      </c>
      <c r="I4405" s="1">
        <v>0.112411</v>
      </c>
    </row>
    <row r="4406" spans="1:9" x14ac:dyDescent="0.25">
      <c r="A4406" s="1">
        <v>2310210087</v>
      </c>
      <c r="B4406" s="1" t="s">
        <v>2557</v>
      </c>
      <c r="C4406" s="1" t="s">
        <v>130</v>
      </c>
      <c r="D4406" s="1" t="s">
        <v>131</v>
      </c>
      <c r="E4406" s="1">
        <v>128</v>
      </c>
      <c r="F4406" s="1" t="s">
        <v>36</v>
      </c>
      <c r="G4406" s="1">
        <v>0</v>
      </c>
      <c r="H4406" s="1">
        <v>0</v>
      </c>
      <c r="I4406" s="1">
        <v>0.11242199999999999</v>
      </c>
    </row>
    <row r="4407" spans="1:9" x14ac:dyDescent="0.25">
      <c r="A4407" s="1">
        <v>2310210088</v>
      </c>
      <c r="B4407" s="1" t="s">
        <v>2558</v>
      </c>
      <c r="C4407" s="1" t="s">
        <v>130</v>
      </c>
      <c r="D4407" s="1" t="s">
        <v>131</v>
      </c>
      <c r="E4407" s="3">
        <v>112</v>
      </c>
      <c r="F4407" s="1" t="s">
        <v>36</v>
      </c>
      <c r="G4407" s="3">
        <v>0</v>
      </c>
      <c r="H4407" s="1">
        <v>0</v>
      </c>
      <c r="I4407" s="1">
        <v>0.112411</v>
      </c>
    </row>
    <row r="4408" spans="1:9" x14ac:dyDescent="0.25">
      <c r="A4408" s="1">
        <v>2310210089</v>
      </c>
      <c r="B4408" s="1" t="s">
        <v>2559</v>
      </c>
      <c r="C4408" s="1" t="s">
        <v>130</v>
      </c>
      <c r="D4408" s="1" t="s">
        <v>131</v>
      </c>
      <c r="E4408" s="3">
        <v>110</v>
      </c>
      <c r="F4408" s="1" t="s">
        <v>36</v>
      </c>
      <c r="G4408" s="1">
        <v>0</v>
      </c>
      <c r="H4408" s="3">
        <v>0</v>
      </c>
      <c r="I4408" s="1">
        <v>0.112455</v>
      </c>
    </row>
    <row r="4409" spans="1:9" x14ac:dyDescent="0.25">
      <c r="A4409" s="1">
        <v>2310210090</v>
      </c>
      <c r="B4409" s="1" t="s">
        <v>2560</v>
      </c>
      <c r="C4409" s="1" t="s">
        <v>130</v>
      </c>
      <c r="D4409" s="1" t="s">
        <v>131</v>
      </c>
      <c r="E4409" s="3">
        <v>136</v>
      </c>
      <c r="F4409" s="1" t="s">
        <v>36</v>
      </c>
      <c r="G4409" s="3">
        <v>0</v>
      </c>
      <c r="H4409" s="3">
        <v>0</v>
      </c>
      <c r="I4409" s="1">
        <v>0.112426</v>
      </c>
    </row>
    <row r="4410" spans="1:9" x14ac:dyDescent="0.25">
      <c r="A4410" s="1">
        <v>2310210091</v>
      </c>
      <c r="B4410" s="1" t="s">
        <v>2561</v>
      </c>
      <c r="C4410" s="1" t="s">
        <v>130</v>
      </c>
      <c r="D4410" s="1" t="s">
        <v>131</v>
      </c>
      <c r="E4410" s="3">
        <v>130</v>
      </c>
      <c r="F4410" s="1" t="s">
        <v>36</v>
      </c>
      <c r="G4410" s="3">
        <v>0</v>
      </c>
      <c r="H4410" s="1">
        <v>0</v>
      </c>
      <c r="I4410" s="1">
        <v>0.11246200000000001</v>
      </c>
    </row>
    <row r="4411" spans="1:9" x14ac:dyDescent="0.25">
      <c r="A4411" s="1">
        <v>2310210092</v>
      </c>
      <c r="B4411" s="1" t="s">
        <v>2562</v>
      </c>
      <c r="C4411" s="1" t="s">
        <v>130</v>
      </c>
      <c r="D4411" s="1" t="s">
        <v>131</v>
      </c>
      <c r="E4411" s="1">
        <v>120</v>
      </c>
      <c r="F4411" s="1" t="s">
        <v>36</v>
      </c>
      <c r="G4411" s="1">
        <v>0</v>
      </c>
      <c r="H4411" s="3">
        <v>0</v>
      </c>
      <c r="I4411" s="1">
        <v>0.112417</v>
      </c>
    </row>
    <row r="4412" spans="1:9" x14ac:dyDescent="0.25">
      <c r="A4412" s="1">
        <v>2310210093</v>
      </c>
      <c r="B4412" s="1" t="s">
        <v>2563</v>
      </c>
      <c r="C4412" s="1" t="s">
        <v>130</v>
      </c>
      <c r="D4412" s="1" t="s">
        <v>131</v>
      </c>
      <c r="E4412" s="3">
        <v>116</v>
      </c>
      <c r="F4412" s="1" t="s">
        <v>36</v>
      </c>
      <c r="G4412" s="1">
        <v>0</v>
      </c>
      <c r="H4412" s="1">
        <v>0</v>
      </c>
      <c r="I4412" s="1">
        <v>0.112414</v>
      </c>
    </row>
    <row r="4413" spans="1:9" x14ac:dyDescent="0.25">
      <c r="A4413" s="1">
        <v>2310210127</v>
      </c>
      <c r="B4413" s="1" t="s">
        <v>19</v>
      </c>
      <c r="C4413" s="1" t="s">
        <v>130</v>
      </c>
      <c r="D4413" s="1" t="s">
        <v>131</v>
      </c>
      <c r="E4413" s="3">
        <v>48352</v>
      </c>
      <c r="F4413" s="1" t="s">
        <v>36</v>
      </c>
      <c r="G4413" s="1">
        <v>0</v>
      </c>
      <c r="H4413" s="1">
        <v>0</v>
      </c>
      <c r="I4413" s="1">
        <v>0.14463300000000001</v>
      </c>
    </row>
    <row r="4414" spans="1:9" x14ac:dyDescent="0.25">
      <c r="A4414" s="1">
        <v>2310210127</v>
      </c>
      <c r="B4414" s="1" t="s">
        <v>19</v>
      </c>
      <c r="C4414" s="1" t="s">
        <v>142</v>
      </c>
      <c r="D4414" s="1" t="s">
        <v>143</v>
      </c>
      <c r="E4414" s="3">
        <v>11648</v>
      </c>
      <c r="F4414" s="1" t="s">
        <v>36</v>
      </c>
      <c r="G4414" s="1">
        <v>0</v>
      </c>
      <c r="H4414" s="3">
        <v>0</v>
      </c>
      <c r="I4414" s="1">
        <v>0.144566</v>
      </c>
    </row>
    <row r="4415" spans="1:9" x14ac:dyDescent="0.25">
      <c r="A4415" s="1">
        <v>2310210128</v>
      </c>
      <c r="B4415" s="1" t="s">
        <v>21</v>
      </c>
      <c r="C4415" s="1" t="s">
        <v>130</v>
      </c>
      <c r="D4415" s="1" t="s">
        <v>131</v>
      </c>
      <c r="E4415" s="3">
        <v>34944</v>
      </c>
      <c r="F4415" s="1" t="s">
        <v>36</v>
      </c>
      <c r="G4415" s="3">
        <v>0</v>
      </c>
      <c r="H4415" s="1">
        <v>0</v>
      </c>
      <c r="I4415" s="1">
        <v>0.122131</v>
      </c>
    </row>
    <row r="4416" spans="1:9" x14ac:dyDescent="0.25">
      <c r="A4416" s="1">
        <v>2310210128</v>
      </c>
      <c r="B4416" s="1" t="s">
        <v>21</v>
      </c>
      <c r="C4416" s="1" t="s">
        <v>142</v>
      </c>
      <c r="D4416" s="1" t="s">
        <v>143</v>
      </c>
      <c r="E4416" s="3">
        <v>8048</v>
      </c>
      <c r="F4416" s="1" t="s">
        <v>36</v>
      </c>
      <c r="G4416" s="1">
        <v>0</v>
      </c>
      <c r="H4416" s="1">
        <v>0</v>
      </c>
      <c r="I4416" s="1">
        <v>0.122131</v>
      </c>
    </row>
    <row r="4417" spans="1:9" x14ac:dyDescent="0.25">
      <c r="A4417" s="1">
        <v>2310210129</v>
      </c>
      <c r="B4417" s="1" t="s">
        <v>22</v>
      </c>
      <c r="C4417" s="1" t="s">
        <v>130</v>
      </c>
      <c r="D4417" s="1" t="s">
        <v>131</v>
      </c>
      <c r="E4417" s="3">
        <v>41184</v>
      </c>
      <c r="F4417" s="1" t="s">
        <v>36</v>
      </c>
      <c r="G4417" s="1">
        <v>0</v>
      </c>
      <c r="H4417" s="1">
        <v>0</v>
      </c>
      <c r="I4417" s="1">
        <v>0.112736</v>
      </c>
    </row>
    <row r="4418" spans="1:9" x14ac:dyDescent="0.25">
      <c r="A4418" s="1">
        <v>2310210129</v>
      </c>
      <c r="B4418" s="1" t="s">
        <v>22</v>
      </c>
      <c r="C4418" s="1" t="s">
        <v>142</v>
      </c>
      <c r="D4418" s="1" t="s">
        <v>143</v>
      </c>
      <c r="E4418" s="3">
        <v>10627</v>
      </c>
      <c r="F4418" s="1" t="s">
        <v>36</v>
      </c>
      <c r="G4418" s="1">
        <v>0</v>
      </c>
      <c r="H4418" s="1">
        <v>0</v>
      </c>
      <c r="I4418" s="1">
        <v>0.112719</v>
      </c>
    </row>
    <row r="4419" spans="1:9" x14ac:dyDescent="0.25">
      <c r="A4419" s="1">
        <v>2310210130</v>
      </c>
      <c r="B4419" s="1" t="s">
        <v>23</v>
      </c>
      <c r="C4419" s="1" t="s">
        <v>130</v>
      </c>
      <c r="D4419" s="1" t="s">
        <v>131</v>
      </c>
      <c r="E4419" s="3">
        <v>39582</v>
      </c>
      <c r="F4419" s="1" t="s">
        <v>36</v>
      </c>
      <c r="G4419" s="1">
        <v>0</v>
      </c>
      <c r="H4419" s="1">
        <v>0</v>
      </c>
      <c r="I4419" s="1">
        <v>0.12189899999999999</v>
      </c>
    </row>
    <row r="4420" spans="1:9" x14ac:dyDescent="0.25">
      <c r="A4420" s="1">
        <v>2310210130</v>
      </c>
      <c r="B4420" s="1" t="s">
        <v>23</v>
      </c>
      <c r="C4420" s="1" t="s">
        <v>142</v>
      </c>
      <c r="D4420" s="1" t="s">
        <v>143</v>
      </c>
      <c r="E4420" s="3">
        <v>14084</v>
      </c>
      <c r="F4420" s="1" t="s">
        <v>36</v>
      </c>
      <c r="G4420" s="1">
        <v>0</v>
      </c>
      <c r="H4420" s="1">
        <v>0</v>
      </c>
      <c r="I4420" s="1">
        <v>0.12163300000000001</v>
      </c>
    </row>
    <row r="4421" spans="1:9" x14ac:dyDescent="0.25">
      <c r="A4421" s="1">
        <v>2310210131</v>
      </c>
      <c r="B4421" s="1" t="s">
        <v>24</v>
      </c>
      <c r="C4421" s="1" t="s">
        <v>130</v>
      </c>
      <c r="D4421" s="1" t="s">
        <v>131</v>
      </c>
      <c r="E4421" s="3">
        <v>46108</v>
      </c>
      <c r="F4421" s="1" t="s">
        <v>36</v>
      </c>
      <c r="G4421" s="1">
        <v>0</v>
      </c>
      <c r="H4421" s="1">
        <v>0</v>
      </c>
      <c r="I4421" s="1">
        <v>0.11941499999999999</v>
      </c>
    </row>
    <row r="4422" spans="1:9" x14ac:dyDescent="0.25">
      <c r="A4422" s="1">
        <v>2310210131</v>
      </c>
      <c r="B4422" s="1" t="s">
        <v>24</v>
      </c>
      <c r="C4422" s="1" t="s">
        <v>142</v>
      </c>
      <c r="D4422" s="1" t="s">
        <v>143</v>
      </c>
      <c r="E4422" s="3">
        <v>6560</v>
      </c>
      <c r="F4422" s="1" t="s">
        <v>36</v>
      </c>
      <c r="G4422" s="3">
        <v>0</v>
      </c>
      <c r="H4422" s="1">
        <v>0</v>
      </c>
      <c r="I4422" s="1">
        <v>0.118518</v>
      </c>
    </row>
    <row r="4423" spans="1:9" x14ac:dyDescent="0.25">
      <c r="A4423" s="1">
        <v>2310210132</v>
      </c>
      <c r="B4423" s="1" t="s">
        <v>25</v>
      </c>
      <c r="C4423" s="1" t="s">
        <v>130</v>
      </c>
      <c r="D4423" s="1" t="s">
        <v>131</v>
      </c>
      <c r="E4423" s="3">
        <v>46435</v>
      </c>
      <c r="F4423" s="1" t="s">
        <v>36</v>
      </c>
      <c r="G4423" s="1">
        <v>0</v>
      </c>
      <c r="H4423" s="3">
        <v>0</v>
      </c>
      <c r="I4423" s="1">
        <v>0.11821</v>
      </c>
    </row>
    <row r="4424" spans="1:9" x14ac:dyDescent="0.25">
      <c r="A4424" s="1">
        <v>2310210132</v>
      </c>
      <c r="B4424" s="1" t="s">
        <v>25</v>
      </c>
      <c r="C4424" s="1" t="s">
        <v>142</v>
      </c>
      <c r="D4424" s="1" t="s">
        <v>143</v>
      </c>
      <c r="E4424" s="3">
        <v>11270</v>
      </c>
      <c r="F4424" s="1" t="s">
        <v>36</v>
      </c>
      <c r="G4424" s="1">
        <v>0</v>
      </c>
      <c r="H4424" s="1">
        <v>0</v>
      </c>
      <c r="I4424" s="1">
        <v>0.11820899999999999</v>
      </c>
    </row>
    <row r="4425" spans="1:9" x14ac:dyDescent="0.25">
      <c r="A4425" s="1">
        <v>2310210133</v>
      </c>
      <c r="B4425" s="1" t="s">
        <v>26</v>
      </c>
      <c r="C4425" s="1" t="s">
        <v>130</v>
      </c>
      <c r="D4425" s="1" t="s">
        <v>131</v>
      </c>
      <c r="E4425" s="3">
        <v>43100</v>
      </c>
      <c r="F4425" s="1" t="s">
        <v>36</v>
      </c>
      <c r="G4425" s="1">
        <v>0</v>
      </c>
      <c r="H4425" s="1">
        <v>0</v>
      </c>
      <c r="I4425" s="1">
        <v>0.11996</v>
      </c>
    </row>
    <row r="4426" spans="1:9" x14ac:dyDescent="0.25">
      <c r="A4426" s="1">
        <v>2310210133</v>
      </c>
      <c r="B4426" s="1" t="s">
        <v>26</v>
      </c>
      <c r="C4426" s="1" t="s">
        <v>142</v>
      </c>
      <c r="D4426" s="1" t="s">
        <v>143</v>
      </c>
      <c r="E4426" s="3">
        <v>10405</v>
      </c>
      <c r="F4426" s="1" t="s">
        <v>36</v>
      </c>
      <c r="G4426" s="3">
        <v>0</v>
      </c>
      <c r="H4426" s="3">
        <v>0</v>
      </c>
      <c r="I4426" s="1">
        <v>0.12006600000000001</v>
      </c>
    </row>
    <row r="4427" spans="1:9" x14ac:dyDescent="0.25">
      <c r="A4427" s="1">
        <v>2310210134</v>
      </c>
      <c r="B4427" s="1" t="s">
        <v>27</v>
      </c>
      <c r="C4427" s="1" t="s">
        <v>130</v>
      </c>
      <c r="D4427" s="1" t="s">
        <v>131</v>
      </c>
      <c r="E4427" s="3">
        <v>31095</v>
      </c>
      <c r="F4427" s="1" t="s">
        <v>36</v>
      </c>
      <c r="G4427" s="3">
        <v>0</v>
      </c>
      <c r="H4427" s="3">
        <v>0</v>
      </c>
      <c r="I4427" s="1">
        <v>0.123892</v>
      </c>
    </row>
    <row r="4428" spans="1:9" x14ac:dyDescent="0.25">
      <c r="A4428" s="1">
        <v>2310210134</v>
      </c>
      <c r="B4428" s="1" t="s">
        <v>27</v>
      </c>
      <c r="C4428" s="1" t="s">
        <v>142</v>
      </c>
      <c r="D4428" s="1" t="s">
        <v>143</v>
      </c>
      <c r="E4428" s="3">
        <v>12858</v>
      </c>
      <c r="F4428" s="1" t="s">
        <v>36</v>
      </c>
      <c r="G4428" s="1">
        <v>0</v>
      </c>
      <c r="H4428" s="1">
        <v>0</v>
      </c>
      <c r="I4428" s="1">
        <v>0.123889</v>
      </c>
    </row>
    <row r="4429" spans="1:9" x14ac:dyDescent="0.25">
      <c r="A4429" s="1">
        <v>2310210135</v>
      </c>
      <c r="B4429" s="1" t="s">
        <v>28</v>
      </c>
      <c r="C4429" s="1" t="s">
        <v>130</v>
      </c>
      <c r="D4429" s="1" t="s">
        <v>131</v>
      </c>
      <c r="E4429" s="3">
        <v>41340</v>
      </c>
      <c r="F4429" s="1" t="s">
        <v>36</v>
      </c>
      <c r="G4429" s="1">
        <v>0</v>
      </c>
      <c r="H4429" s="1">
        <v>0</v>
      </c>
      <c r="I4429" s="1">
        <v>0.124638</v>
      </c>
    </row>
    <row r="4430" spans="1:9" x14ac:dyDescent="0.25">
      <c r="A4430" s="1">
        <v>2310210135</v>
      </c>
      <c r="B4430" s="1" t="s">
        <v>28</v>
      </c>
      <c r="C4430" s="1" t="s">
        <v>142</v>
      </c>
      <c r="D4430" s="1" t="s">
        <v>143</v>
      </c>
      <c r="E4430" s="3">
        <v>17299</v>
      </c>
      <c r="F4430" s="1" t="s">
        <v>36</v>
      </c>
      <c r="G4430" s="1">
        <v>0</v>
      </c>
      <c r="H4430" s="3">
        <v>0</v>
      </c>
      <c r="I4430" s="1">
        <v>0.12553</v>
      </c>
    </row>
    <row r="4431" spans="1:9" x14ac:dyDescent="0.25">
      <c r="A4431" s="1">
        <v>2310210136</v>
      </c>
      <c r="B4431" s="1" t="s">
        <v>29</v>
      </c>
      <c r="C4431" s="1" t="s">
        <v>130</v>
      </c>
      <c r="D4431" s="1" t="s">
        <v>131</v>
      </c>
      <c r="E4431" s="3">
        <v>46000</v>
      </c>
      <c r="F4431" s="1" t="s">
        <v>36</v>
      </c>
      <c r="G4431" s="3">
        <v>0</v>
      </c>
      <c r="H4431" s="1">
        <v>0</v>
      </c>
      <c r="I4431" s="1">
        <v>0.114885</v>
      </c>
    </row>
    <row r="4432" spans="1:9" x14ac:dyDescent="0.25">
      <c r="A4432" s="1">
        <v>2310210136</v>
      </c>
      <c r="B4432" s="1" t="s">
        <v>29</v>
      </c>
      <c r="C4432" s="1" t="s">
        <v>142</v>
      </c>
      <c r="D4432" s="1" t="s">
        <v>143</v>
      </c>
      <c r="E4432" s="3">
        <v>11701</v>
      </c>
      <c r="F4432" s="1" t="s">
        <v>36</v>
      </c>
      <c r="G4432" s="1">
        <v>0</v>
      </c>
      <c r="H4432" s="1">
        <v>0</v>
      </c>
      <c r="I4432" s="1">
        <v>0.114283</v>
      </c>
    </row>
    <row r="4433" spans="1:9" x14ac:dyDescent="0.25">
      <c r="A4433" s="1">
        <v>2310210137</v>
      </c>
      <c r="B4433" s="1" t="s">
        <v>30</v>
      </c>
      <c r="C4433" s="1" t="s">
        <v>130</v>
      </c>
      <c r="D4433" s="1" t="s">
        <v>131</v>
      </c>
      <c r="E4433" s="3">
        <v>45142</v>
      </c>
      <c r="F4433" s="1" t="s">
        <v>36</v>
      </c>
      <c r="G4433" s="1">
        <v>0</v>
      </c>
      <c r="H4433" s="1">
        <v>0</v>
      </c>
      <c r="I4433" s="1">
        <v>0.11200300000000001</v>
      </c>
    </row>
    <row r="4434" spans="1:9" x14ac:dyDescent="0.25">
      <c r="A4434" s="1">
        <v>2310210137</v>
      </c>
      <c r="B4434" s="1" t="s">
        <v>30</v>
      </c>
      <c r="C4434" s="1" t="s">
        <v>142</v>
      </c>
      <c r="D4434" s="1" t="s">
        <v>143</v>
      </c>
      <c r="E4434" s="3">
        <v>12870</v>
      </c>
      <c r="F4434" s="1" t="s">
        <v>36</v>
      </c>
      <c r="G4434" s="1">
        <v>0</v>
      </c>
      <c r="H4434" s="1">
        <v>0</v>
      </c>
      <c r="I4434" s="1">
        <v>0.110625</v>
      </c>
    </row>
    <row r="4435" spans="1:9" x14ac:dyDescent="0.25">
      <c r="A4435" s="1">
        <v>2310210138</v>
      </c>
      <c r="B4435" s="1" t="s">
        <v>31</v>
      </c>
      <c r="C4435" s="1" t="s">
        <v>130</v>
      </c>
      <c r="D4435" s="1" t="s">
        <v>131</v>
      </c>
      <c r="E4435" s="3">
        <v>38815</v>
      </c>
      <c r="F4435" s="1" t="s">
        <v>36</v>
      </c>
      <c r="G4435" s="1">
        <v>0</v>
      </c>
      <c r="H4435" s="1">
        <v>0</v>
      </c>
      <c r="I4435" s="1">
        <v>0.14680699999999999</v>
      </c>
    </row>
    <row r="4436" spans="1:9" x14ac:dyDescent="0.25">
      <c r="A4436" s="1">
        <v>2310210138</v>
      </c>
      <c r="B4436" s="1" t="s">
        <v>31</v>
      </c>
      <c r="C4436" s="1" t="s">
        <v>142</v>
      </c>
      <c r="D4436" s="1" t="s">
        <v>143</v>
      </c>
      <c r="E4436" s="3">
        <v>11048</v>
      </c>
      <c r="F4436" s="1" t="s">
        <v>36</v>
      </c>
      <c r="G4436" s="1">
        <v>0</v>
      </c>
      <c r="H4436" s="1">
        <v>0</v>
      </c>
      <c r="I4436" s="1">
        <v>0.146454</v>
      </c>
    </row>
    <row r="4437" spans="1:9" x14ac:dyDescent="0.25">
      <c r="A4437" s="1">
        <v>2310210149</v>
      </c>
      <c r="B4437" s="1" t="s">
        <v>2564</v>
      </c>
      <c r="C4437" s="1" t="s">
        <v>130</v>
      </c>
      <c r="D4437" s="1" t="s">
        <v>131</v>
      </c>
      <c r="E4437" s="3">
        <v>21136</v>
      </c>
      <c r="F4437" s="1" t="s">
        <v>36</v>
      </c>
      <c r="G4437" s="1">
        <v>0</v>
      </c>
      <c r="H4437" s="3">
        <v>0</v>
      </c>
      <c r="I4437" s="1">
        <v>0.23416300000000001</v>
      </c>
    </row>
    <row r="4438" spans="1:9" x14ac:dyDescent="0.25">
      <c r="A4438" s="1">
        <v>2310210150</v>
      </c>
      <c r="B4438" s="1" t="s">
        <v>2565</v>
      </c>
      <c r="C4438" s="1" t="s">
        <v>130</v>
      </c>
      <c r="D4438" s="1" t="s">
        <v>131</v>
      </c>
      <c r="E4438" s="3">
        <v>14731</v>
      </c>
      <c r="F4438" s="1" t="s">
        <v>36</v>
      </c>
      <c r="G4438" s="3">
        <v>0</v>
      </c>
      <c r="H4438" s="1">
        <v>0</v>
      </c>
      <c r="I4438" s="1">
        <v>0.257913</v>
      </c>
    </row>
    <row r="4439" spans="1:9" x14ac:dyDescent="0.25">
      <c r="A4439" s="1">
        <v>2310210151</v>
      </c>
      <c r="B4439" s="1" t="s">
        <v>2566</v>
      </c>
      <c r="C4439" s="1" t="s">
        <v>130</v>
      </c>
      <c r="D4439" s="1" t="s">
        <v>131</v>
      </c>
      <c r="E4439" s="3">
        <v>19504</v>
      </c>
      <c r="F4439" s="1" t="s">
        <v>36</v>
      </c>
      <c r="G4439" s="1">
        <v>0</v>
      </c>
      <c r="H4439" s="1">
        <v>0</v>
      </c>
      <c r="I4439" s="1">
        <v>0.23669799999999999</v>
      </c>
    </row>
    <row r="4440" spans="1:9" x14ac:dyDescent="0.25">
      <c r="A4440" s="1">
        <v>2310210152</v>
      </c>
      <c r="B4440" s="1" t="s">
        <v>2567</v>
      </c>
      <c r="C4440" s="1" t="s">
        <v>130</v>
      </c>
      <c r="D4440" s="1" t="s">
        <v>131</v>
      </c>
      <c r="E4440" s="3">
        <v>16081</v>
      </c>
      <c r="F4440" s="1" t="s">
        <v>36</v>
      </c>
      <c r="G4440" s="1">
        <v>0</v>
      </c>
      <c r="H4440" s="1">
        <v>0</v>
      </c>
      <c r="I4440" s="1">
        <v>0.222938</v>
      </c>
    </row>
    <row r="4441" spans="1:9" x14ac:dyDescent="0.25">
      <c r="A4441" s="1">
        <v>2310210153</v>
      </c>
      <c r="B4441" s="1" t="s">
        <v>2568</v>
      </c>
      <c r="C4441" s="1" t="s">
        <v>130</v>
      </c>
      <c r="D4441" s="1" t="s">
        <v>131</v>
      </c>
      <c r="E4441" s="3">
        <v>12550</v>
      </c>
      <c r="F4441" s="1" t="s">
        <v>36</v>
      </c>
      <c r="G4441" s="1">
        <v>0</v>
      </c>
      <c r="H4441" s="1">
        <v>0</v>
      </c>
      <c r="I4441" s="1">
        <v>0.230157</v>
      </c>
    </row>
    <row r="4442" spans="1:9" x14ac:dyDescent="0.25">
      <c r="A4442" s="1">
        <v>2310210154</v>
      </c>
      <c r="B4442" s="1" t="s">
        <v>2569</v>
      </c>
      <c r="C4442" s="1" t="s">
        <v>130</v>
      </c>
      <c r="D4442" s="1" t="s">
        <v>131</v>
      </c>
      <c r="E4442" s="3">
        <v>427</v>
      </c>
      <c r="F4442" s="1" t="s">
        <v>36</v>
      </c>
      <c r="G4442" s="1">
        <v>0</v>
      </c>
      <c r="H4442" s="1">
        <v>0</v>
      </c>
      <c r="I4442" s="1">
        <v>0.24032800000000001</v>
      </c>
    </row>
    <row r="4443" spans="1:9" x14ac:dyDescent="0.25">
      <c r="A4443" s="1">
        <v>2310210155</v>
      </c>
      <c r="B4443" s="1" t="s">
        <v>2570</v>
      </c>
      <c r="C4443" s="1" t="s">
        <v>130</v>
      </c>
      <c r="D4443" s="1" t="s">
        <v>131</v>
      </c>
      <c r="E4443" s="3">
        <v>9000</v>
      </c>
      <c r="F4443" s="1" t="s">
        <v>36</v>
      </c>
      <c r="G4443" s="1">
        <v>0</v>
      </c>
      <c r="H4443" s="1">
        <v>0</v>
      </c>
      <c r="I4443" s="1">
        <v>0.223</v>
      </c>
    </row>
    <row r="4444" spans="1:9" x14ac:dyDescent="0.25">
      <c r="A4444" s="1">
        <v>2310210156</v>
      </c>
      <c r="B4444" s="1" t="s">
        <v>2571</v>
      </c>
      <c r="C4444" s="1" t="s">
        <v>130</v>
      </c>
      <c r="D4444" s="1" t="s">
        <v>131</v>
      </c>
      <c r="E4444" s="3">
        <v>18119</v>
      </c>
      <c r="F4444" s="1" t="s">
        <v>36</v>
      </c>
      <c r="G4444" s="1">
        <v>0</v>
      </c>
      <c r="H4444" s="1">
        <v>0</v>
      </c>
      <c r="I4444" s="1">
        <v>0.23572100000000001</v>
      </c>
    </row>
    <row r="4445" spans="1:9" x14ac:dyDescent="0.25">
      <c r="A4445" s="1">
        <v>2310210157</v>
      </c>
      <c r="B4445" s="1" t="s">
        <v>2572</v>
      </c>
      <c r="C4445" s="1" t="s">
        <v>130</v>
      </c>
      <c r="D4445" s="1" t="s">
        <v>131</v>
      </c>
      <c r="E4445" s="3">
        <v>20509</v>
      </c>
      <c r="F4445" s="1" t="s">
        <v>36</v>
      </c>
      <c r="G4445" s="1">
        <v>0</v>
      </c>
      <c r="H4445" s="1">
        <v>0</v>
      </c>
      <c r="I4445" s="1">
        <v>0.24389</v>
      </c>
    </row>
    <row r="4446" spans="1:9" x14ac:dyDescent="0.25">
      <c r="A4446" s="1">
        <v>2310210158</v>
      </c>
      <c r="B4446" s="1" t="s">
        <v>2573</v>
      </c>
      <c r="C4446" s="1" t="s">
        <v>130</v>
      </c>
      <c r="D4446" s="1" t="s">
        <v>131</v>
      </c>
      <c r="E4446" s="3">
        <v>2310</v>
      </c>
      <c r="F4446" s="1" t="s">
        <v>36</v>
      </c>
      <c r="G4446" s="1">
        <v>0</v>
      </c>
      <c r="H4446" s="1">
        <v>0</v>
      </c>
      <c r="I4446" s="1">
        <v>0.220584</v>
      </c>
    </row>
    <row r="4447" spans="1:9" x14ac:dyDescent="0.25">
      <c r="A4447" s="1">
        <v>2310210159</v>
      </c>
      <c r="B4447" s="1" t="s">
        <v>2574</v>
      </c>
      <c r="C4447" s="1" t="s">
        <v>130</v>
      </c>
      <c r="D4447" s="1" t="s">
        <v>131</v>
      </c>
      <c r="E4447" s="3">
        <v>12129</v>
      </c>
      <c r="F4447" s="1" t="s">
        <v>36</v>
      </c>
      <c r="G4447" s="1">
        <v>0</v>
      </c>
      <c r="H4447" s="1">
        <v>0</v>
      </c>
      <c r="I4447" s="1">
        <v>0.22520999999999999</v>
      </c>
    </row>
    <row r="4448" spans="1:9" x14ac:dyDescent="0.25">
      <c r="A4448" s="1">
        <v>2310210160</v>
      </c>
      <c r="B4448" s="1" t="s">
        <v>2575</v>
      </c>
      <c r="C4448" s="1" t="s">
        <v>130</v>
      </c>
      <c r="D4448" s="1" t="s">
        <v>131</v>
      </c>
      <c r="E4448" s="3">
        <v>26925</v>
      </c>
      <c r="F4448" s="1" t="s">
        <v>36</v>
      </c>
      <c r="G4448" s="1">
        <v>0</v>
      </c>
      <c r="H4448" s="1">
        <v>0</v>
      </c>
      <c r="I4448" s="1">
        <v>0.22573099999999999</v>
      </c>
    </row>
    <row r="4449" spans="1:9" x14ac:dyDescent="0.25">
      <c r="A4449" s="1">
        <v>2310210161</v>
      </c>
      <c r="B4449" s="1" t="s">
        <v>2576</v>
      </c>
      <c r="C4449" s="1" t="s">
        <v>130</v>
      </c>
      <c r="D4449" s="1" t="s">
        <v>131</v>
      </c>
      <c r="E4449" s="3">
        <v>241</v>
      </c>
      <c r="F4449" s="1" t="s">
        <v>36</v>
      </c>
      <c r="G4449" s="1">
        <v>0</v>
      </c>
      <c r="H4449" s="1">
        <v>0</v>
      </c>
      <c r="I4449" s="1">
        <v>0.441162</v>
      </c>
    </row>
    <row r="4450" spans="1:9" x14ac:dyDescent="0.25">
      <c r="A4450" s="1">
        <v>2310210162</v>
      </c>
      <c r="B4450" s="1" t="s">
        <v>2577</v>
      </c>
      <c r="C4450" s="1" t="s">
        <v>130</v>
      </c>
      <c r="D4450" s="1" t="s">
        <v>131</v>
      </c>
      <c r="E4450" s="3">
        <v>199</v>
      </c>
      <c r="F4450" s="1" t="s">
        <v>36</v>
      </c>
      <c r="G4450" s="1">
        <v>0</v>
      </c>
      <c r="H4450" s="1">
        <v>0</v>
      </c>
      <c r="I4450" s="1">
        <v>0.45628099999999999</v>
      </c>
    </row>
    <row r="4451" spans="1:9" x14ac:dyDescent="0.25">
      <c r="A4451" s="1">
        <v>2310210163</v>
      </c>
      <c r="B4451" s="1" t="s">
        <v>2578</v>
      </c>
      <c r="C4451" s="1" t="s">
        <v>130</v>
      </c>
      <c r="D4451" s="1" t="s">
        <v>131</v>
      </c>
      <c r="E4451" s="3">
        <v>245</v>
      </c>
      <c r="F4451" s="1" t="s">
        <v>36</v>
      </c>
      <c r="G4451" s="1">
        <v>0</v>
      </c>
      <c r="H4451" s="1">
        <v>0</v>
      </c>
      <c r="I4451" s="1">
        <v>0.42669400000000002</v>
      </c>
    </row>
    <row r="4452" spans="1:9" x14ac:dyDescent="0.25">
      <c r="A4452" s="1">
        <v>2310210164</v>
      </c>
      <c r="B4452" s="1" t="s">
        <v>2579</v>
      </c>
      <c r="C4452" s="1" t="s">
        <v>130</v>
      </c>
      <c r="D4452" s="1" t="s">
        <v>131</v>
      </c>
      <c r="E4452" s="3">
        <v>225</v>
      </c>
      <c r="F4452" s="1" t="s">
        <v>36</v>
      </c>
      <c r="G4452" s="1">
        <v>0</v>
      </c>
      <c r="H4452" s="1">
        <v>0</v>
      </c>
      <c r="I4452" s="1">
        <v>0.44137799999999999</v>
      </c>
    </row>
    <row r="4453" spans="1:9" x14ac:dyDescent="0.25">
      <c r="A4453" s="1">
        <v>2310210165</v>
      </c>
      <c r="B4453" s="1" t="s">
        <v>2580</v>
      </c>
      <c r="C4453" s="1" t="s">
        <v>130</v>
      </c>
      <c r="D4453" s="1" t="s">
        <v>131</v>
      </c>
      <c r="E4453" s="3">
        <v>274</v>
      </c>
      <c r="F4453" s="1" t="s">
        <v>36</v>
      </c>
      <c r="G4453" s="1">
        <v>0</v>
      </c>
      <c r="H4453" s="1">
        <v>0</v>
      </c>
      <c r="I4453" s="1">
        <v>0.43131399999999998</v>
      </c>
    </row>
    <row r="4454" spans="1:9" x14ac:dyDescent="0.25">
      <c r="A4454" s="1">
        <v>2310210166</v>
      </c>
      <c r="B4454" s="1" t="s">
        <v>2581</v>
      </c>
      <c r="C4454" s="1" t="s">
        <v>130</v>
      </c>
      <c r="D4454" s="1" t="s">
        <v>131</v>
      </c>
      <c r="E4454" s="3">
        <v>189</v>
      </c>
      <c r="F4454" s="1" t="s">
        <v>36</v>
      </c>
      <c r="G4454" s="1">
        <v>0</v>
      </c>
      <c r="H4454" s="1">
        <v>0</v>
      </c>
      <c r="I4454" s="1">
        <v>0.46814800000000001</v>
      </c>
    </row>
    <row r="4455" spans="1:9" x14ac:dyDescent="0.25">
      <c r="A4455" s="1">
        <v>2310210167</v>
      </c>
      <c r="B4455" s="1" t="s">
        <v>2582</v>
      </c>
      <c r="C4455" s="1" t="s">
        <v>130</v>
      </c>
      <c r="D4455" s="1" t="s">
        <v>131</v>
      </c>
      <c r="E4455" s="3">
        <v>174</v>
      </c>
      <c r="F4455" s="1" t="s">
        <v>36</v>
      </c>
      <c r="G4455" s="1">
        <v>0</v>
      </c>
      <c r="H4455" s="1">
        <v>0</v>
      </c>
      <c r="I4455" s="1">
        <v>0.42908000000000002</v>
      </c>
    </row>
    <row r="4456" spans="1:9" x14ac:dyDescent="0.25">
      <c r="A4456" s="1">
        <v>2310210168</v>
      </c>
      <c r="B4456" s="1" t="s">
        <v>2583</v>
      </c>
      <c r="C4456" s="1" t="s">
        <v>130</v>
      </c>
      <c r="D4456" s="1" t="s">
        <v>131</v>
      </c>
      <c r="E4456" s="3">
        <v>199</v>
      </c>
      <c r="F4456" s="1" t="s">
        <v>36</v>
      </c>
      <c r="G4456" s="1">
        <v>0</v>
      </c>
      <c r="H4456" s="1">
        <v>0</v>
      </c>
      <c r="I4456" s="1">
        <v>0.42768800000000001</v>
      </c>
    </row>
    <row r="4457" spans="1:9" x14ac:dyDescent="0.25">
      <c r="A4457" s="1">
        <v>2310210169</v>
      </c>
      <c r="B4457" s="1" t="s">
        <v>2584</v>
      </c>
      <c r="C4457" s="1" t="s">
        <v>130</v>
      </c>
      <c r="D4457" s="1" t="s">
        <v>131</v>
      </c>
      <c r="E4457" s="3">
        <v>182</v>
      </c>
      <c r="F4457" s="1" t="s">
        <v>36</v>
      </c>
      <c r="G4457" s="1">
        <v>0</v>
      </c>
      <c r="H4457" s="1">
        <v>0</v>
      </c>
      <c r="I4457" s="1">
        <v>0.43505500000000003</v>
      </c>
    </row>
    <row r="4458" spans="1:9" x14ac:dyDescent="0.25">
      <c r="A4458" s="1">
        <v>2310210170</v>
      </c>
      <c r="B4458" s="1" t="s">
        <v>2585</v>
      </c>
      <c r="C4458" s="1" t="s">
        <v>130</v>
      </c>
      <c r="D4458" s="1" t="s">
        <v>131</v>
      </c>
      <c r="E4458" s="3">
        <v>1290</v>
      </c>
      <c r="F4458" s="1" t="s">
        <v>36</v>
      </c>
      <c r="G4458" s="1">
        <v>0</v>
      </c>
      <c r="H4458" s="1">
        <v>0</v>
      </c>
      <c r="I4458" s="1">
        <v>0.47391499999999998</v>
      </c>
    </row>
    <row r="4459" spans="1:9" x14ac:dyDescent="0.25">
      <c r="A4459" s="1">
        <v>2310210177</v>
      </c>
      <c r="B4459" s="1" t="s">
        <v>2586</v>
      </c>
      <c r="C4459" s="1" t="s">
        <v>130</v>
      </c>
      <c r="D4459" s="1" t="s">
        <v>131</v>
      </c>
      <c r="E4459" s="3">
        <v>2857</v>
      </c>
      <c r="F4459" s="1" t="s">
        <v>36</v>
      </c>
      <c r="G4459" s="1">
        <v>0</v>
      </c>
      <c r="H4459" s="3">
        <v>0</v>
      </c>
      <c r="I4459" s="1">
        <v>0.111197</v>
      </c>
    </row>
    <row r="4460" spans="1:9" x14ac:dyDescent="0.25">
      <c r="A4460" s="1">
        <v>2310210178</v>
      </c>
      <c r="B4460" s="1" t="s">
        <v>2587</v>
      </c>
      <c r="C4460" s="1" t="s">
        <v>130</v>
      </c>
      <c r="D4460" s="1" t="s">
        <v>131</v>
      </c>
      <c r="E4460" s="3">
        <v>1930</v>
      </c>
      <c r="F4460" s="1" t="s">
        <v>36</v>
      </c>
      <c r="G4460" s="1">
        <v>0</v>
      </c>
      <c r="H4460" s="1">
        <v>0</v>
      </c>
      <c r="I4460" s="1">
        <v>0.125192</v>
      </c>
    </row>
    <row r="4461" spans="1:9" x14ac:dyDescent="0.25">
      <c r="A4461" s="1">
        <v>2310210179</v>
      </c>
      <c r="B4461" s="1" t="s">
        <v>2588</v>
      </c>
      <c r="C4461" s="1" t="s">
        <v>130</v>
      </c>
      <c r="D4461" s="1" t="s">
        <v>131</v>
      </c>
      <c r="E4461" s="3">
        <v>1808</v>
      </c>
      <c r="F4461" s="1" t="s">
        <v>36</v>
      </c>
      <c r="G4461" s="1">
        <v>0</v>
      </c>
      <c r="H4461" s="1">
        <v>0</v>
      </c>
      <c r="I4461" s="1">
        <v>0.12844</v>
      </c>
    </row>
    <row r="4462" spans="1:9" x14ac:dyDescent="0.25">
      <c r="A4462" s="1">
        <v>2310210180</v>
      </c>
      <c r="B4462" s="1" t="s">
        <v>2589</v>
      </c>
      <c r="C4462" s="1" t="s">
        <v>130</v>
      </c>
      <c r="D4462" s="1" t="s">
        <v>131</v>
      </c>
      <c r="E4462" s="3">
        <v>1540</v>
      </c>
      <c r="F4462" s="1" t="s">
        <v>36</v>
      </c>
      <c r="G4462" s="1">
        <v>0</v>
      </c>
      <c r="H4462" s="1">
        <v>0</v>
      </c>
      <c r="I4462" s="1">
        <v>0.15881200000000001</v>
      </c>
    </row>
    <row r="4463" spans="1:9" x14ac:dyDescent="0.25">
      <c r="A4463" s="1">
        <v>2310210181</v>
      </c>
      <c r="B4463" s="1" t="s">
        <v>2590</v>
      </c>
      <c r="C4463" s="1" t="s">
        <v>130</v>
      </c>
      <c r="D4463" s="1" t="s">
        <v>131</v>
      </c>
      <c r="E4463" s="3">
        <v>4291</v>
      </c>
      <c r="F4463" s="1" t="s">
        <v>36</v>
      </c>
      <c r="G4463" s="1">
        <v>0</v>
      </c>
      <c r="H4463" s="1">
        <v>0</v>
      </c>
      <c r="I4463" s="1">
        <v>0.134854</v>
      </c>
    </row>
    <row r="4464" spans="1:9" x14ac:dyDescent="0.25">
      <c r="A4464" s="1">
        <v>2310210182</v>
      </c>
      <c r="B4464" s="1" t="s">
        <v>2591</v>
      </c>
      <c r="C4464" s="1" t="s">
        <v>130</v>
      </c>
      <c r="D4464" s="1" t="s">
        <v>131</v>
      </c>
      <c r="E4464" s="3">
        <v>3390</v>
      </c>
      <c r="F4464" s="1" t="s">
        <v>36</v>
      </c>
      <c r="G4464" s="1">
        <v>0</v>
      </c>
      <c r="H4464" s="1">
        <v>0</v>
      </c>
      <c r="I4464" s="1">
        <v>0.1429</v>
      </c>
    </row>
    <row r="4465" spans="1:9" x14ac:dyDescent="0.25">
      <c r="A4465" s="1">
        <v>2310210183</v>
      </c>
      <c r="B4465" s="1" t="s">
        <v>2592</v>
      </c>
      <c r="C4465" s="1" t="s">
        <v>130</v>
      </c>
      <c r="D4465" s="1" t="s">
        <v>131</v>
      </c>
      <c r="E4465" s="3">
        <v>4000</v>
      </c>
      <c r="F4465" s="1" t="s">
        <v>36</v>
      </c>
      <c r="G4465" s="1">
        <v>0</v>
      </c>
      <c r="H4465" s="1">
        <v>0</v>
      </c>
      <c r="I4465" s="1">
        <v>0.16888</v>
      </c>
    </row>
    <row r="4466" spans="1:9" x14ac:dyDescent="0.25">
      <c r="A4466" s="1">
        <v>2310210184</v>
      </c>
      <c r="B4466" s="1" t="s">
        <v>2593</v>
      </c>
      <c r="C4466" s="1" t="s">
        <v>130</v>
      </c>
      <c r="D4466" s="1" t="s">
        <v>131</v>
      </c>
      <c r="E4466" s="3">
        <v>3506</v>
      </c>
      <c r="F4466" s="1" t="s">
        <v>36</v>
      </c>
      <c r="G4466" s="1">
        <v>0</v>
      </c>
      <c r="H4466" s="1">
        <v>0</v>
      </c>
      <c r="I4466" s="1">
        <v>0.17340800000000001</v>
      </c>
    </row>
    <row r="4467" spans="1:9" x14ac:dyDescent="0.25">
      <c r="A4467" s="1">
        <v>2310210185</v>
      </c>
      <c r="B4467" s="1" t="s">
        <v>2594</v>
      </c>
      <c r="C4467" s="1" t="s">
        <v>130</v>
      </c>
      <c r="D4467" s="1" t="s">
        <v>131</v>
      </c>
      <c r="E4467" s="3">
        <v>2260</v>
      </c>
      <c r="F4467" s="1" t="s">
        <v>36</v>
      </c>
      <c r="G4467" s="1">
        <v>0</v>
      </c>
      <c r="H4467" s="1">
        <v>0</v>
      </c>
      <c r="I4467" s="1">
        <v>0.124199</v>
      </c>
    </row>
    <row r="4468" spans="1:9" x14ac:dyDescent="0.25">
      <c r="A4468" s="1">
        <v>2310210186</v>
      </c>
      <c r="B4468" s="1" t="s">
        <v>2595</v>
      </c>
      <c r="C4468" s="1" t="s">
        <v>130</v>
      </c>
      <c r="D4468" s="1" t="s">
        <v>131</v>
      </c>
      <c r="E4468" s="3">
        <v>4397</v>
      </c>
      <c r="F4468" s="1" t="s">
        <v>36</v>
      </c>
      <c r="G4468" s="1">
        <v>0</v>
      </c>
      <c r="H4468" s="1">
        <v>0</v>
      </c>
      <c r="I4468" s="1">
        <v>0.12930900000000001</v>
      </c>
    </row>
    <row r="4469" spans="1:9" x14ac:dyDescent="0.25">
      <c r="A4469" s="1">
        <v>2310210187</v>
      </c>
      <c r="B4469" s="1" t="s">
        <v>2596</v>
      </c>
      <c r="C4469" s="1" t="s">
        <v>130</v>
      </c>
      <c r="D4469" s="1" t="s">
        <v>131</v>
      </c>
      <c r="E4469" s="3">
        <v>4000</v>
      </c>
      <c r="F4469" s="1" t="s">
        <v>36</v>
      </c>
      <c r="G4469" s="1">
        <v>0</v>
      </c>
      <c r="H4469" s="1">
        <v>0</v>
      </c>
      <c r="I4469" s="1">
        <v>0.14462800000000001</v>
      </c>
    </row>
    <row r="4470" spans="1:9" x14ac:dyDescent="0.25">
      <c r="A4470" s="1">
        <v>2310210188</v>
      </c>
      <c r="B4470" s="1" t="s">
        <v>2597</v>
      </c>
      <c r="C4470" s="1" t="s">
        <v>130</v>
      </c>
      <c r="D4470" s="1" t="s">
        <v>131</v>
      </c>
      <c r="E4470" s="3">
        <v>3323</v>
      </c>
      <c r="F4470" s="1" t="s">
        <v>36</v>
      </c>
      <c r="G4470" s="1">
        <v>0</v>
      </c>
      <c r="H4470" s="1">
        <v>0</v>
      </c>
      <c r="I4470" s="1">
        <v>0.17036699999999999</v>
      </c>
    </row>
    <row r="4471" spans="1:9" x14ac:dyDescent="0.25">
      <c r="A4471" s="1">
        <v>2310210189</v>
      </c>
      <c r="B4471" s="1" t="s">
        <v>2598</v>
      </c>
      <c r="C4471" s="1" t="s">
        <v>130</v>
      </c>
      <c r="D4471" s="1" t="s">
        <v>131</v>
      </c>
      <c r="E4471" s="3">
        <v>1808</v>
      </c>
      <c r="F4471" s="1" t="s">
        <v>36</v>
      </c>
      <c r="G4471" s="1">
        <v>0</v>
      </c>
      <c r="H4471" s="1">
        <v>0</v>
      </c>
      <c r="I4471" s="1">
        <v>0.124121</v>
      </c>
    </row>
    <row r="4472" spans="1:9" x14ac:dyDescent="0.25">
      <c r="A4472" s="1">
        <v>2310210190</v>
      </c>
      <c r="B4472" s="1" t="s">
        <v>2599</v>
      </c>
      <c r="C4472" s="1" t="s">
        <v>130</v>
      </c>
      <c r="D4472" s="1" t="s">
        <v>131</v>
      </c>
      <c r="E4472" s="3">
        <v>2120</v>
      </c>
      <c r="F4472" s="1" t="s">
        <v>36</v>
      </c>
      <c r="G4472" s="1">
        <v>0</v>
      </c>
      <c r="H4472" s="1">
        <v>0</v>
      </c>
      <c r="I4472" s="1">
        <v>0.153028</v>
      </c>
    </row>
    <row r="4473" spans="1:9" x14ac:dyDescent="0.25">
      <c r="A4473" s="1">
        <v>2310210191</v>
      </c>
      <c r="B4473" s="1" t="s">
        <v>2600</v>
      </c>
      <c r="C4473" s="1" t="s">
        <v>130</v>
      </c>
      <c r="D4473" s="1" t="s">
        <v>131</v>
      </c>
      <c r="E4473" s="3">
        <v>2193</v>
      </c>
      <c r="F4473" s="1" t="s">
        <v>36</v>
      </c>
      <c r="G4473" s="1">
        <v>0</v>
      </c>
      <c r="H4473" s="1">
        <v>0</v>
      </c>
      <c r="I4473" s="1">
        <v>0.16673099999999999</v>
      </c>
    </row>
    <row r="4474" spans="1:9" x14ac:dyDescent="0.25">
      <c r="A4474" s="1">
        <v>2310210192</v>
      </c>
      <c r="B4474" s="1" t="s">
        <v>2601</v>
      </c>
      <c r="C4474" s="1" t="s">
        <v>130</v>
      </c>
      <c r="D4474" s="1" t="s">
        <v>131</v>
      </c>
      <c r="E4474" s="3">
        <v>2080</v>
      </c>
      <c r="F4474" s="1" t="s">
        <v>36</v>
      </c>
      <c r="G4474" s="1">
        <v>0</v>
      </c>
      <c r="H4474" s="1">
        <v>0</v>
      </c>
      <c r="I4474" s="1">
        <v>0.16511100000000001</v>
      </c>
    </row>
    <row r="4475" spans="1:9" x14ac:dyDescent="0.25">
      <c r="A4475" s="1">
        <v>2310210193</v>
      </c>
      <c r="B4475" s="1" t="s">
        <v>2602</v>
      </c>
      <c r="C4475" s="1" t="s">
        <v>130</v>
      </c>
      <c r="D4475" s="1" t="s">
        <v>131</v>
      </c>
      <c r="E4475" s="3">
        <v>2063</v>
      </c>
      <c r="F4475" s="1" t="s">
        <v>36</v>
      </c>
      <c r="G4475" s="1">
        <v>0</v>
      </c>
      <c r="H4475" s="1">
        <v>0</v>
      </c>
      <c r="I4475" s="1">
        <v>0.176869</v>
      </c>
    </row>
    <row r="4476" spans="1:9" x14ac:dyDescent="0.25">
      <c r="A4476" s="1">
        <v>2310210194</v>
      </c>
      <c r="B4476" s="1" t="s">
        <v>2603</v>
      </c>
      <c r="C4476" s="1" t="s">
        <v>130</v>
      </c>
      <c r="D4476" s="1" t="s">
        <v>131</v>
      </c>
      <c r="E4476" s="3">
        <v>2136</v>
      </c>
      <c r="F4476" s="1" t="s">
        <v>36</v>
      </c>
      <c r="G4476" s="1">
        <v>0</v>
      </c>
      <c r="H4476" s="1">
        <v>0</v>
      </c>
      <c r="I4476" s="1">
        <v>0.154864</v>
      </c>
    </row>
    <row r="4477" spans="1:9" x14ac:dyDescent="0.25">
      <c r="A4477" s="1">
        <v>2310210195</v>
      </c>
      <c r="B4477" s="1" t="s">
        <v>2604</v>
      </c>
      <c r="C4477" s="1" t="s">
        <v>130</v>
      </c>
      <c r="D4477" s="1" t="s">
        <v>131</v>
      </c>
      <c r="E4477" s="3">
        <v>1155</v>
      </c>
      <c r="F4477" s="1" t="s">
        <v>36</v>
      </c>
      <c r="G4477" s="1">
        <v>0</v>
      </c>
      <c r="H4477" s="1">
        <v>0</v>
      </c>
      <c r="I4477" s="1">
        <v>0.14558399999999999</v>
      </c>
    </row>
    <row r="4478" spans="1:9" x14ac:dyDescent="0.25">
      <c r="A4478" s="1">
        <v>2310210196</v>
      </c>
      <c r="B4478" s="1" t="s">
        <v>2605</v>
      </c>
      <c r="C4478" s="1" t="s">
        <v>130</v>
      </c>
      <c r="D4478" s="1" t="s">
        <v>131</v>
      </c>
      <c r="E4478" s="3">
        <v>2147</v>
      </c>
      <c r="F4478" s="1" t="s">
        <v>36</v>
      </c>
      <c r="G4478" s="1">
        <v>0</v>
      </c>
      <c r="H4478" s="1">
        <v>0</v>
      </c>
      <c r="I4478" s="1">
        <v>0.14798800000000001</v>
      </c>
    </row>
    <row r="4479" spans="1:9" x14ac:dyDescent="0.25">
      <c r="A4479" s="1">
        <v>2310210197</v>
      </c>
      <c r="B4479" s="1" t="s">
        <v>2606</v>
      </c>
      <c r="C4479" s="1" t="s">
        <v>130</v>
      </c>
      <c r="D4479" s="1" t="s">
        <v>131</v>
      </c>
      <c r="E4479" s="3">
        <v>2273</v>
      </c>
      <c r="F4479" s="1" t="s">
        <v>36</v>
      </c>
      <c r="G4479" s="1">
        <v>0</v>
      </c>
      <c r="H4479" s="1">
        <v>0</v>
      </c>
      <c r="I4479" s="1">
        <v>0.156445</v>
      </c>
    </row>
    <row r="4480" spans="1:9" x14ac:dyDescent="0.25">
      <c r="A4480" s="1">
        <v>2310210198</v>
      </c>
      <c r="B4480" s="1" t="s">
        <v>2607</v>
      </c>
      <c r="C4480" s="1" t="s">
        <v>130</v>
      </c>
      <c r="D4480" s="1" t="s">
        <v>131</v>
      </c>
      <c r="E4480" s="3">
        <v>2149</v>
      </c>
      <c r="F4480" s="1" t="s">
        <v>36</v>
      </c>
      <c r="G4480" s="1">
        <v>0</v>
      </c>
      <c r="H4480" s="1">
        <v>0</v>
      </c>
      <c r="I4480" s="1">
        <v>0.147087</v>
      </c>
    </row>
    <row r="4481" spans="1:9" x14ac:dyDescent="0.25">
      <c r="A4481" s="1">
        <v>2310210199</v>
      </c>
      <c r="B4481" s="1" t="s">
        <v>2608</v>
      </c>
      <c r="C4481" s="1" t="s">
        <v>130</v>
      </c>
      <c r="D4481" s="1" t="s">
        <v>131</v>
      </c>
      <c r="E4481" s="3">
        <v>1102</v>
      </c>
      <c r="F4481" s="1" t="s">
        <v>36</v>
      </c>
      <c r="G4481" s="1">
        <v>0</v>
      </c>
      <c r="H4481" s="1">
        <v>0</v>
      </c>
      <c r="I4481" s="1">
        <v>0.15179699999999999</v>
      </c>
    </row>
    <row r="4482" spans="1:9" x14ac:dyDescent="0.25">
      <c r="A4482" s="1">
        <v>2310210200</v>
      </c>
      <c r="B4482" s="1" t="s">
        <v>2609</v>
      </c>
      <c r="C4482" s="1" t="s">
        <v>130</v>
      </c>
      <c r="D4482" s="1" t="s">
        <v>131</v>
      </c>
      <c r="E4482" s="3">
        <v>2150</v>
      </c>
      <c r="F4482" s="1" t="s">
        <v>36</v>
      </c>
      <c r="G4482" s="1">
        <v>0</v>
      </c>
      <c r="H4482" s="1">
        <v>0</v>
      </c>
      <c r="I4482" s="1">
        <v>0.13954900000000001</v>
      </c>
    </row>
    <row r="4483" spans="1:9" x14ac:dyDescent="0.25">
      <c r="A4483" s="1">
        <v>2310210201</v>
      </c>
      <c r="B4483" s="1" t="s">
        <v>2610</v>
      </c>
      <c r="C4483" s="1" t="s">
        <v>130</v>
      </c>
      <c r="D4483" s="1" t="s">
        <v>131</v>
      </c>
      <c r="E4483" s="3">
        <v>2127</v>
      </c>
      <c r="F4483" s="1" t="s">
        <v>36</v>
      </c>
      <c r="G4483" s="1">
        <v>0</v>
      </c>
      <c r="H4483" s="1">
        <v>0</v>
      </c>
      <c r="I4483" s="1">
        <v>0.15717</v>
      </c>
    </row>
    <row r="4484" spans="1:9" x14ac:dyDescent="0.25">
      <c r="A4484" s="1">
        <v>2310230002</v>
      </c>
      <c r="B4484" s="1" t="s">
        <v>2611</v>
      </c>
      <c r="C4484" s="1" t="s">
        <v>130</v>
      </c>
      <c r="D4484" s="1" t="s">
        <v>131</v>
      </c>
      <c r="E4484" s="3">
        <v>29500</v>
      </c>
      <c r="F4484" s="1" t="s">
        <v>36</v>
      </c>
      <c r="G4484" s="1">
        <v>0</v>
      </c>
      <c r="H4484" s="1">
        <v>0</v>
      </c>
      <c r="I4484" s="1">
        <v>3.1022999999999998E-2</v>
      </c>
    </row>
    <row r="4485" spans="1:9" x14ac:dyDescent="0.25">
      <c r="A4485" s="1">
        <v>2310230002</v>
      </c>
      <c r="B4485" s="1" t="s">
        <v>2611</v>
      </c>
      <c r="C4485" s="1" t="s">
        <v>142</v>
      </c>
      <c r="D4485" s="1" t="s">
        <v>143</v>
      </c>
      <c r="E4485" s="3">
        <v>90840</v>
      </c>
      <c r="F4485" s="1" t="s">
        <v>36</v>
      </c>
      <c r="G4485" s="1">
        <v>0</v>
      </c>
      <c r="H4485" s="1">
        <v>0</v>
      </c>
      <c r="I4485" s="1">
        <v>3.1016999999999999E-2</v>
      </c>
    </row>
    <row r="4486" spans="1:9" x14ac:dyDescent="0.25">
      <c r="A4486" s="1">
        <v>2310230012</v>
      </c>
      <c r="B4486" s="1" t="s">
        <v>2612</v>
      </c>
      <c r="C4486" s="1" t="s">
        <v>130</v>
      </c>
      <c r="D4486" s="1" t="s">
        <v>131</v>
      </c>
      <c r="E4486" s="3">
        <v>33487</v>
      </c>
      <c r="F4486" s="1" t="s">
        <v>36</v>
      </c>
      <c r="G4486" s="1">
        <v>0</v>
      </c>
      <c r="H4486" s="3">
        <v>4772</v>
      </c>
      <c r="I4486" s="1">
        <v>0.150232</v>
      </c>
    </row>
    <row r="4487" spans="1:9" x14ac:dyDescent="0.25">
      <c r="A4487" s="1">
        <v>2310230012</v>
      </c>
      <c r="B4487" s="1" t="s">
        <v>2612</v>
      </c>
      <c r="C4487" s="1" t="s">
        <v>2333</v>
      </c>
      <c r="D4487" s="1" t="s">
        <v>2334</v>
      </c>
      <c r="E4487" s="3">
        <v>4750</v>
      </c>
      <c r="F4487" s="1" t="s">
        <v>36</v>
      </c>
      <c r="G4487" s="3">
        <v>4750</v>
      </c>
      <c r="H4487" s="1">
        <v>0</v>
      </c>
      <c r="I4487" s="1">
        <v>0.18113099999999999</v>
      </c>
    </row>
    <row r="4488" spans="1:9" x14ac:dyDescent="0.25">
      <c r="A4488" s="1">
        <v>2310230012</v>
      </c>
      <c r="B4488" s="1" t="s">
        <v>2612</v>
      </c>
      <c r="C4488" s="1" t="s">
        <v>142</v>
      </c>
      <c r="D4488" s="1" t="s">
        <v>143</v>
      </c>
      <c r="E4488" s="3">
        <v>1528</v>
      </c>
      <c r="F4488" s="1" t="s">
        <v>36</v>
      </c>
      <c r="G4488" s="1">
        <v>22</v>
      </c>
      <c r="H4488" s="1">
        <v>0</v>
      </c>
      <c r="I4488" s="1">
        <v>0.14663000000000001</v>
      </c>
    </row>
    <row r="4489" spans="1:9" x14ac:dyDescent="0.25">
      <c r="A4489" s="1">
        <v>2310230013</v>
      </c>
      <c r="B4489" s="1" t="s">
        <v>2613</v>
      </c>
      <c r="C4489" s="1" t="s">
        <v>130</v>
      </c>
      <c r="D4489" s="1" t="s">
        <v>131</v>
      </c>
      <c r="E4489" s="3">
        <v>1950</v>
      </c>
      <c r="F4489" s="1" t="s">
        <v>36</v>
      </c>
      <c r="G4489" s="1">
        <v>0</v>
      </c>
      <c r="H4489" s="1">
        <v>0</v>
      </c>
      <c r="I4489" s="1">
        <v>0.15</v>
      </c>
    </row>
    <row r="4490" spans="1:9" x14ac:dyDescent="0.25">
      <c r="A4490" s="1">
        <v>2310230020</v>
      </c>
      <c r="B4490" s="1" t="s">
        <v>2614</v>
      </c>
      <c r="C4490" s="1" t="s">
        <v>130</v>
      </c>
      <c r="D4490" s="1" t="s">
        <v>131</v>
      </c>
      <c r="E4490" s="3">
        <v>17443</v>
      </c>
      <c r="F4490" s="1" t="s">
        <v>36</v>
      </c>
      <c r="G4490" s="1">
        <v>0</v>
      </c>
      <c r="H4490" s="1">
        <v>0</v>
      </c>
      <c r="I4490" s="1">
        <v>0.12554000000000001</v>
      </c>
    </row>
    <row r="4491" spans="1:9" x14ac:dyDescent="0.25">
      <c r="A4491" s="1">
        <v>2310230030</v>
      </c>
      <c r="B4491" s="1" t="s">
        <v>2615</v>
      </c>
      <c r="C4491" s="1" t="s">
        <v>130</v>
      </c>
      <c r="D4491" s="1" t="s">
        <v>131</v>
      </c>
      <c r="E4491" s="3">
        <v>159849</v>
      </c>
      <c r="F4491" s="1" t="s">
        <v>36</v>
      </c>
      <c r="G4491" s="3">
        <v>60500</v>
      </c>
      <c r="H4491" s="1">
        <v>0</v>
      </c>
      <c r="I4491" s="1">
        <v>0.121349</v>
      </c>
    </row>
    <row r="4492" spans="1:9" x14ac:dyDescent="0.25">
      <c r="A4492" s="1">
        <v>2310230030</v>
      </c>
      <c r="B4492" s="1" t="s">
        <v>2615</v>
      </c>
      <c r="C4492" s="1" t="s">
        <v>142</v>
      </c>
      <c r="D4492" s="1" t="s">
        <v>143</v>
      </c>
      <c r="E4492" s="3">
        <v>11284</v>
      </c>
      <c r="F4492" s="1" t="s">
        <v>36</v>
      </c>
      <c r="G4492" s="1">
        <v>0</v>
      </c>
      <c r="H4492" s="3">
        <v>60500</v>
      </c>
      <c r="I4492" s="1">
        <v>0.121349</v>
      </c>
    </row>
    <row r="4493" spans="1:9" x14ac:dyDescent="0.25">
      <c r="A4493" s="1">
        <v>2310230040</v>
      </c>
      <c r="B4493" s="1" t="s">
        <v>2616</v>
      </c>
      <c r="C4493" s="1" t="s">
        <v>130</v>
      </c>
      <c r="D4493" s="1" t="s">
        <v>131</v>
      </c>
      <c r="E4493" s="3">
        <v>22955</v>
      </c>
      <c r="F4493" s="1" t="s">
        <v>36</v>
      </c>
      <c r="G4493" s="1">
        <v>0</v>
      </c>
      <c r="H4493" s="1">
        <v>0</v>
      </c>
      <c r="I4493" s="1">
        <v>0.163331</v>
      </c>
    </row>
    <row r="4494" spans="1:9" x14ac:dyDescent="0.25">
      <c r="A4494" s="1">
        <v>2310230056</v>
      </c>
      <c r="B4494" s="1" t="s">
        <v>2617</v>
      </c>
      <c r="C4494" s="1" t="s">
        <v>130</v>
      </c>
      <c r="D4494" s="1" t="s">
        <v>131</v>
      </c>
      <c r="E4494" s="3">
        <v>47744</v>
      </c>
      <c r="F4494" s="1" t="s">
        <v>36</v>
      </c>
      <c r="G4494" s="1">
        <v>0</v>
      </c>
      <c r="H4494" s="3">
        <v>2000</v>
      </c>
      <c r="I4494" s="1">
        <v>0.14141500000000001</v>
      </c>
    </row>
    <row r="4495" spans="1:9" x14ac:dyDescent="0.25">
      <c r="A4495" s="1">
        <v>2310230056</v>
      </c>
      <c r="B4495" s="1" t="s">
        <v>2617</v>
      </c>
      <c r="C4495" s="1" t="s">
        <v>2333</v>
      </c>
      <c r="D4495" s="1" t="s">
        <v>2334</v>
      </c>
      <c r="E4495" s="3">
        <v>2000</v>
      </c>
      <c r="F4495" s="1" t="s">
        <v>36</v>
      </c>
      <c r="G4495" s="3">
        <v>2000</v>
      </c>
      <c r="H4495" s="1">
        <v>0</v>
      </c>
      <c r="I4495" s="1">
        <v>0.22469</v>
      </c>
    </row>
    <row r="4496" spans="1:9" x14ac:dyDescent="0.25">
      <c r="A4496" s="1">
        <v>2310230068</v>
      </c>
      <c r="B4496" s="1" t="s">
        <v>2618</v>
      </c>
      <c r="C4496" s="1" t="s">
        <v>130</v>
      </c>
      <c r="D4496" s="1" t="s">
        <v>131</v>
      </c>
      <c r="E4496" s="3">
        <v>2578</v>
      </c>
      <c r="F4496" s="1" t="s">
        <v>36</v>
      </c>
      <c r="G4496" s="1">
        <v>0</v>
      </c>
      <c r="H4496" s="1">
        <v>0</v>
      </c>
      <c r="I4496" s="1">
        <v>0.27729599999999999</v>
      </c>
    </row>
    <row r="4497" spans="1:9" x14ac:dyDescent="0.25">
      <c r="A4497" s="1">
        <v>2310230085</v>
      </c>
      <c r="B4497" s="1" t="s">
        <v>2619</v>
      </c>
      <c r="C4497" s="1" t="s">
        <v>130</v>
      </c>
      <c r="D4497" s="1" t="s">
        <v>131</v>
      </c>
      <c r="E4497" s="3">
        <v>7260</v>
      </c>
      <c r="F4497" s="1" t="s">
        <v>36</v>
      </c>
      <c r="G4497" s="3">
        <v>1000</v>
      </c>
      <c r="H4497" s="1">
        <v>0</v>
      </c>
      <c r="I4497" s="1">
        <v>5.1789000000000002E-2</v>
      </c>
    </row>
    <row r="4498" spans="1:9" x14ac:dyDescent="0.25">
      <c r="A4498" s="1">
        <v>2310230085</v>
      </c>
      <c r="B4498" s="1" t="s">
        <v>2619</v>
      </c>
      <c r="C4498" s="1" t="s">
        <v>142</v>
      </c>
      <c r="D4498" s="1" t="s">
        <v>143</v>
      </c>
      <c r="E4498" s="3">
        <v>0</v>
      </c>
      <c r="F4498" s="1" t="s">
        <v>36</v>
      </c>
      <c r="G4498" s="3">
        <v>0</v>
      </c>
      <c r="H4498" s="3">
        <v>1000</v>
      </c>
      <c r="I4498" s="1">
        <v>7.2515999999999997E-2</v>
      </c>
    </row>
    <row r="4499" spans="1:9" x14ac:dyDescent="0.25">
      <c r="A4499" s="1">
        <v>2310230094</v>
      </c>
      <c r="B4499" s="1" t="s">
        <v>2620</v>
      </c>
      <c r="C4499" s="1" t="s">
        <v>130</v>
      </c>
      <c r="D4499" s="1" t="s">
        <v>131</v>
      </c>
      <c r="E4499" s="3">
        <v>16500</v>
      </c>
      <c r="F4499" s="1" t="s">
        <v>36</v>
      </c>
      <c r="G4499" s="3">
        <v>0</v>
      </c>
      <c r="H4499" s="3">
        <v>0</v>
      </c>
      <c r="I4499" s="1">
        <v>8.7424000000000002E-2</v>
      </c>
    </row>
    <row r="4500" spans="1:9" x14ac:dyDescent="0.25">
      <c r="A4500" s="1">
        <v>2310230097</v>
      </c>
      <c r="B4500" s="1" t="s">
        <v>2621</v>
      </c>
      <c r="C4500" s="1" t="s">
        <v>130</v>
      </c>
      <c r="D4500" s="1" t="s">
        <v>131</v>
      </c>
      <c r="E4500" s="3">
        <v>551153</v>
      </c>
      <c r="F4500" s="1" t="s">
        <v>36</v>
      </c>
      <c r="G4500" s="3">
        <v>3000</v>
      </c>
      <c r="H4500" s="1">
        <v>0</v>
      </c>
      <c r="I4500" s="1">
        <v>3.4322999999999999E-2</v>
      </c>
    </row>
    <row r="4501" spans="1:9" x14ac:dyDescent="0.25">
      <c r="A4501" s="1">
        <v>2310230097</v>
      </c>
      <c r="B4501" s="1" t="s">
        <v>2621</v>
      </c>
      <c r="C4501" s="1" t="s">
        <v>142</v>
      </c>
      <c r="D4501" s="1" t="s">
        <v>143</v>
      </c>
      <c r="E4501" s="3">
        <v>10610</v>
      </c>
      <c r="F4501" s="1" t="s">
        <v>36</v>
      </c>
      <c r="G4501" s="1">
        <v>0</v>
      </c>
      <c r="H4501" s="3">
        <v>3000</v>
      </c>
      <c r="I4501" s="1">
        <v>3.4321999999999998E-2</v>
      </c>
    </row>
    <row r="4502" spans="1:9" x14ac:dyDescent="0.25">
      <c r="A4502" s="1">
        <v>2310230098</v>
      </c>
      <c r="B4502" s="1" t="s">
        <v>2622</v>
      </c>
      <c r="C4502" s="1" t="s">
        <v>130</v>
      </c>
      <c r="D4502" s="1" t="s">
        <v>131</v>
      </c>
      <c r="E4502" s="3">
        <v>4410</v>
      </c>
      <c r="F4502" s="1" t="s">
        <v>36</v>
      </c>
      <c r="G4502" s="3">
        <v>0</v>
      </c>
      <c r="H4502" s="1">
        <v>0</v>
      </c>
      <c r="I4502" s="1">
        <v>5.0449000000000001E-2</v>
      </c>
    </row>
    <row r="4503" spans="1:9" x14ac:dyDescent="0.25">
      <c r="A4503" s="1">
        <v>2310230101</v>
      </c>
      <c r="B4503" s="1" t="s">
        <v>2623</v>
      </c>
      <c r="C4503" s="1" t="s">
        <v>130</v>
      </c>
      <c r="D4503" s="1" t="s">
        <v>131</v>
      </c>
      <c r="E4503" s="3">
        <v>1642</v>
      </c>
      <c r="F4503" s="1" t="s">
        <v>36</v>
      </c>
      <c r="G4503" s="3">
        <v>0</v>
      </c>
      <c r="H4503" s="1">
        <v>0</v>
      </c>
      <c r="I4503" s="1">
        <v>2.9860000000000001E-2</v>
      </c>
    </row>
    <row r="4504" spans="1:9" x14ac:dyDescent="0.25">
      <c r="A4504" s="1">
        <v>2310230103</v>
      </c>
      <c r="B4504" s="1" t="s">
        <v>2624</v>
      </c>
      <c r="C4504" s="1" t="s">
        <v>130</v>
      </c>
      <c r="D4504" s="1" t="s">
        <v>131</v>
      </c>
      <c r="E4504" s="1">
        <v>102</v>
      </c>
      <c r="F4504" s="1" t="s">
        <v>36</v>
      </c>
      <c r="G4504" s="1">
        <v>0</v>
      </c>
      <c r="H4504" s="3">
        <v>0</v>
      </c>
      <c r="I4504" s="1">
        <v>0.24588199999999999</v>
      </c>
    </row>
    <row r="4505" spans="1:9" x14ac:dyDescent="0.25">
      <c r="A4505" s="1">
        <v>2310230104</v>
      </c>
      <c r="B4505" s="1" t="s">
        <v>2625</v>
      </c>
      <c r="C4505" s="1" t="s">
        <v>130</v>
      </c>
      <c r="D4505" s="1" t="s">
        <v>131</v>
      </c>
      <c r="E4505" s="1">
        <v>493</v>
      </c>
      <c r="F4505" s="1" t="s">
        <v>36</v>
      </c>
      <c r="G4505" s="1">
        <v>0</v>
      </c>
      <c r="H4505" s="3">
        <v>0</v>
      </c>
      <c r="I4505" s="1">
        <v>0.16010099999999999</v>
      </c>
    </row>
    <row r="4506" spans="1:9" x14ac:dyDescent="0.25">
      <c r="A4506" s="1">
        <v>2310230105</v>
      </c>
      <c r="B4506" s="1" t="s">
        <v>2626</v>
      </c>
      <c r="C4506" s="1" t="s">
        <v>130</v>
      </c>
      <c r="D4506" s="1" t="s">
        <v>131</v>
      </c>
      <c r="E4506" s="3">
        <v>10434</v>
      </c>
      <c r="F4506" s="1" t="s">
        <v>36</v>
      </c>
      <c r="G4506" s="3">
        <v>0</v>
      </c>
      <c r="H4506" s="1">
        <v>0</v>
      </c>
      <c r="I4506" s="1">
        <v>5.2645999999999998E-2</v>
      </c>
    </row>
    <row r="4507" spans="1:9" x14ac:dyDescent="0.25">
      <c r="A4507" s="1">
        <v>2310250007</v>
      </c>
      <c r="B4507" s="1" t="s">
        <v>2627</v>
      </c>
      <c r="C4507" s="1" t="s">
        <v>130</v>
      </c>
      <c r="D4507" s="1" t="s">
        <v>131</v>
      </c>
      <c r="E4507" s="3">
        <v>595.9</v>
      </c>
      <c r="F4507" s="1" t="s">
        <v>89</v>
      </c>
      <c r="G4507" s="1">
        <v>600</v>
      </c>
      <c r="H4507" s="1">
        <v>0</v>
      </c>
      <c r="I4507" s="1">
        <v>11.715456</v>
      </c>
    </row>
    <row r="4508" spans="1:9" x14ac:dyDescent="0.25">
      <c r="A4508" s="1">
        <v>2310250007</v>
      </c>
      <c r="B4508" s="1" t="s">
        <v>2627</v>
      </c>
      <c r="C4508" s="1" t="s">
        <v>142</v>
      </c>
      <c r="D4508" s="1" t="s">
        <v>143</v>
      </c>
      <c r="E4508" s="3">
        <v>432.5</v>
      </c>
      <c r="F4508" s="1" t="s">
        <v>89</v>
      </c>
      <c r="G4508" s="1">
        <v>0</v>
      </c>
      <c r="H4508" s="1">
        <v>600</v>
      </c>
      <c r="I4508" s="1">
        <v>11.389688</v>
      </c>
    </row>
    <row r="4509" spans="1:9" x14ac:dyDescent="0.25">
      <c r="A4509" s="1">
        <v>2310250009</v>
      </c>
      <c r="B4509" s="1" t="s">
        <v>2628</v>
      </c>
      <c r="C4509" s="1" t="s">
        <v>130</v>
      </c>
      <c r="D4509" s="1" t="s">
        <v>131</v>
      </c>
      <c r="E4509" s="3">
        <v>602.1</v>
      </c>
      <c r="F4509" s="1" t="s">
        <v>89</v>
      </c>
      <c r="G4509" s="1">
        <v>952.1</v>
      </c>
      <c r="H4509" s="1">
        <v>0</v>
      </c>
      <c r="I4509" s="1">
        <v>11.024381</v>
      </c>
    </row>
    <row r="4510" spans="1:9" x14ac:dyDescent="0.25">
      <c r="A4510" s="1">
        <v>2310250009</v>
      </c>
      <c r="B4510" s="1" t="s">
        <v>2628</v>
      </c>
      <c r="C4510" s="1" t="s">
        <v>142</v>
      </c>
      <c r="D4510" s="1" t="s">
        <v>143</v>
      </c>
      <c r="E4510" s="3">
        <v>300</v>
      </c>
      <c r="F4510" s="1" t="s">
        <v>89</v>
      </c>
      <c r="G4510" s="3">
        <v>0</v>
      </c>
      <c r="H4510" s="3">
        <v>952.1</v>
      </c>
      <c r="I4510" s="1">
        <v>11.023899999999999</v>
      </c>
    </row>
    <row r="4511" spans="1:9" x14ac:dyDescent="0.25">
      <c r="A4511" s="1">
        <v>2310250012</v>
      </c>
      <c r="B4511" s="1" t="s">
        <v>2629</v>
      </c>
      <c r="C4511" s="1" t="s">
        <v>130</v>
      </c>
      <c r="D4511" s="1" t="s">
        <v>131</v>
      </c>
      <c r="E4511" s="3">
        <v>598.85</v>
      </c>
      <c r="F4511" s="1" t="s">
        <v>89</v>
      </c>
      <c r="G4511" s="3">
        <v>600</v>
      </c>
      <c r="H4511" s="3">
        <v>0</v>
      </c>
      <c r="I4511" s="1">
        <v>10.778192000000001</v>
      </c>
    </row>
    <row r="4512" spans="1:9" x14ac:dyDescent="0.25">
      <c r="A4512" s="1">
        <v>2310250012</v>
      </c>
      <c r="B4512" s="1" t="s">
        <v>2629</v>
      </c>
      <c r="C4512" s="1" t="s">
        <v>142</v>
      </c>
      <c r="D4512" s="1" t="s">
        <v>143</v>
      </c>
      <c r="E4512" s="3">
        <v>290.60000000000002</v>
      </c>
      <c r="F4512" s="1" t="s">
        <v>89</v>
      </c>
      <c r="G4512" s="1">
        <v>0</v>
      </c>
      <c r="H4512" s="1">
        <v>600</v>
      </c>
      <c r="I4512" s="1">
        <v>10.813971</v>
      </c>
    </row>
    <row r="4513" spans="1:9" x14ac:dyDescent="0.25">
      <c r="A4513" s="1">
        <v>2310250014</v>
      </c>
      <c r="B4513" s="1" t="s">
        <v>2630</v>
      </c>
      <c r="C4513" s="1" t="s">
        <v>130</v>
      </c>
      <c r="D4513" s="1" t="s">
        <v>131</v>
      </c>
      <c r="E4513" s="3">
        <v>51.5</v>
      </c>
      <c r="F4513" s="1" t="s">
        <v>89</v>
      </c>
      <c r="G4513" s="1">
        <v>0</v>
      </c>
      <c r="H4513" s="1">
        <v>598.9</v>
      </c>
      <c r="I4513" s="1">
        <v>11.310485</v>
      </c>
    </row>
    <row r="4514" spans="1:9" x14ac:dyDescent="0.25">
      <c r="A4514" s="1">
        <v>2310250014</v>
      </c>
      <c r="B4514" s="1" t="s">
        <v>2630</v>
      </c>
      <c r="C4514" s="1" t="s">
        <v>142</v>
      </c>
      <c r="D4514" s="1" t="s">
        <v>143</v>
      </c>
      <c r="E4514" s="3">
        <v>312.3</v>
      </c>
      <c r="F4514" s="1" t="s">
        <v>89</v>
      </c>
      <c r="G4514" s="1">
        <v>0</v>
      </c>
      <c r="H4514" s="1">
        <v>0</v>
      </c>
      <c r="I4514" s="1">
        <v>11.267626999999999</v>
      </c>
    </row>
    <row r="4515" spans="1:9" x14ac:dyDescent="0.25">
      <c r="A4515" s="1">
        <v>2310250014</v>
      </c>
      <c r="B4515" s="1" t="s">
        <v>2630</v>
      </c>
      <c r="C4515" s="1" t="s">
        <v>2174</v>
      </c>
      <c r="D4515" s="1" t="s">
        <v>2175</v>
      </c>
      <c r="E4515" s="3">
        <v>0</v>
      </c>
      <c r="F4515" s="1" t="s">
        <v>89</v>
      </c>
      <c r="G4515" s="1">
        <v>598.9</v>
      </c>
      <c r="H4515" s="3">
        <v>0</v>
      </c>
      <c r="I4515" s="1">
        <v>11.274637</v>
      </c>
    </row>
    <row r="4516" spans="1:9" x14ac:dyDescent="0.25">
      <c r="A4516" s="1">
        <v>2310250015</v>
      </c>
      <c r="B4516" s="1" t="s">
        <v>2631</v>
      </c>
      <c r="C4516" s="1" t="s">
        <v>130</v>
      </c>
      <c r="D4516" s="1" t="s">
        <v>131</v>
      </c>
      <c r="E4516" s="3">
        <v>0</v>
      </c>
      <c r="F4516" s="1" t="s">
        <v>89</v>
      </c>
      <c r="G4516" s="3">
        <v>160</v>
      </c>
      <c r="H4516" s="1">
        <v>0</v>
      </c>
      <c r="I4516" s="1">
        <v>11.634518</v>
      </c>
    </row>
    <row r="4517" spans="1:9" x14ac:dyDescent="0.25">
      <c r="A4517" s="1">
        <v>2310250015</v>
      </c>
      <c r="B4517" s="1" t="s">
        <v>2631</v>
      </c>
      <c r="C4517" s="1" t="s">
        <v>142</v>
      </c>
      <c r="D4517" s="1" t="s">
        <v>143</v>
      </c>
      <c r="E4517" s="3">
        <v>404</v>
      </c>
      <c r="F4517" s="1" t="s">
        <v>89</v>
      </c>
      <c r="G4517" s="1">
        <v>0</v>
      </c>
      <c r="H4517" s="1">
        <v>160</v>
      </c>
      <c r="I4517" s="1">
        <v>11.648317</v>
      </c>
    </row>
    <row r="4518" spans="1:9" x14ac:dyDescent="0.25">
      <c r="A4518" s="1">
        <v>2310250019</v>
      </c>
      <c r="B4518" s="1" t="s">
        <v>2632</v>
      </c>
      <c r="C4518" s="1" t="s">
        <v>130</v>
      </c>
      <c r="D4518" s="1" t="s">
        <v>131</v>
      </c>
      <c r="E4518" s="3">
        <v>1434</v>
      </c>
      <c r="F4518" s="1" t="s">
        <v>36</v>
      </c>
      <c r="G4518" s="1">
        <v>0</v>
      </c>
      <c r="H4518" s="3">
        <v>0</v>
      </c>
      <c r="I4518" s="1">
        <v>0.58613000000000004</v>
      </c>
    </row>
    <row r="4519" spans="1:9" x14ac:dyDescent="0.25">
      <c r="A4519" s="1">
        <v>2310250019</v>
      </c>
      <c r="B4519" s="1" t="s">
        <v>2632</v>
      </c>
      <c r="C4519" s="1" t="s">
        <v>142</v>
      </c>
      <c r="D4519" s="1" t="s">
        <v>143</v>
      </c>
      <c r="E4519" s="3">
        <v>1936</v>
      </c>
      <c r="F4519" s="1" t="s">
        <v>36</v>
      </c>
      <c r="G4519" s="3">
        <v>0</v>
      </c>
      <c r="H4519" s="1">
        <v>0</v>
      </c>
      <c r="I4519" s="1">
        <v>0.67236099999999999</v>
      </c>
    </row>
    <row r="4520" spans="1:9" x14ac:dyDescent="0.25">
      <c r="A4520" s="1">
        <v>2310250021</v>
      </c>
      <c r="B4520" s="1" t="s">
        <v>2633</v>
      </c>
      <c r="C4520" s="1" t="s">
        <v>130</v>
      </c>
      <c r="D4520" s="1" t="s">
        <v>131</v>
      </c>
      <c r="E4520" s="3">
        <v>55</v>
      </c>
      <c r="F4520" s="1" t="s">
        <v>36</v>
      </c>
      <c r="G4520" s="3">
        <v>0</v>
      </c>
      <c r="H4520" s="1">
        <v>0</v>
      </c>
      <c r="I4520" s="1">
        <v>0.58654499999999998</v>
      </c>
    </row>
    <row r="4521" spans="1:9" x14ac:dyDescent="0.25">
      <c r="A4521" s="1">
        <v>2310250021</v>
      </c>
      <c r="B4521" s="1" t="s">
        <v>2633</v>
      </c>
      <c r="C4521" s="1" t="s">
        <v>142</v>
      </c>
      <c r="D4521" s="1" t="s">
        <v>143</v>
      </c>
      <c r="E4521" s="3">
        <v>1936</v>
      </c>
      <c r="F4521" s="1" t="s">
        <v>36</v>
      </c>
      <c r="G4521" s="1">
        <v>0</v>
      </c>
      <c r="H4521" s="3">
        <v>0</v>
      </c>
      <c r="I4521" s="1">
        <v>0.67907499999999998</v>
      </c>
    </row>
    <row r="4522" spans="1:9" x14ac:dyDescent="0.25">
      <c r="A4522" s="1">
        <v>2310250022</v>
      </c>
      <c r="B4522" s="1" t="s">
        <v>2634</v>
      </c>
      <c r="C4522" s="1" t="s">
        <v>130</v>
      </c>
      <c r="D4522" s="1" t="s">
        <v>131</v>
      </c>
      <c r="E4522" s="3">
        <v>1552</v>
      </c>
      <c r="F4522" s="1" t="s">
        <v>36</v>
      </c>
      <c r="G4522" s="1">
        <v>0</v>
      </c>
      <c r="H4522" s="1">
        <v>0</v>
      </c>
      <c r="I4522" s="1">
        <v>0.6</v>
      </c>
    </row>
    <row r="4523" spans="1:9" x14ac:dyDescent="0.25">
      <c r="A4523" s="1">
        <v>2310250022</v>
      </c>
      <c r="B4523" s="1" t="s">
        <v>2634</v>
      </c>
      <c r="C4523" s="1" t="s">
        <v>142</v>
      </c>
      <c r="D4523" s="1" t="s">
        <v>143</v>
      </c>
      <c r="E4523" s="3">
        <v>1936</v>
      </c>
      <c r="F4523" s="1" t="s">
        <v>36</v>
      </c>
      <c r="G4523" s="1">
        <v>0</v>
      </c>
      <c r="H4523" s="1">
        <v>0</v>
      </c>
      <c r="I4523" s="1">
        <v>0.69077999999999995</v>
      </c>
    </row>
    <row r="4524" spans="1:9" x14ac:dyDescent="0.25">
      <c r="A4524" s="1">
        <v>2310250029</v>
      </c>
      <c r="B4524" s="1" t="s">
        <v>2635</v>
      </c>
      <c r="C4524" s="1" t="s">
        <v>130</v>
      </c>
      <c r="D4524" s="1" t="s">
        <v>131</v>
      </c>
      <c r="E4524" s="3">
        <v>592.5</v>
      </c>
      <c r="F4524" s="1" t="s">
        <v>89</v>
      </c>
      <c r="G4524" s="1">
        <v>600</v>
      </c>
      <c r="H4524" s="1">
        <v>0</v>
      </c>
      <c r="I4524" s="1">
        <v>10.510802</v>
      </c>
    </row>
    <row r="4525" spans="1:9" x14ac:dyDescent="0.25">
      <c r="A4525" s="1">
        <v>2310250029</v>
      </c>
      <c r="B4525" s="1" t="s">
        <v>2635</v>
      </c>
      <c r="C4525" s="1" t="s">
        <v>142</v>
      </c>
      <c r="D4525" s="1" t="s">
        <v>143</v>
      </c>
      <c r="E4525" s="3">
        <v>369.43</v>
      </c>
      <c r="F4525" s="1" t="s">
        <v>89</v>
      </c>
      <c r="G4525" s="1">
        <v>0</v>
      </c>
      <c r="H4525" s="1">
        <v>600</v>
      </c>
      <c r="I4525" s="1">
        <v>10.378826999999999</v>
      </c>
    </row>
    <row r="4526" spans="1:9" x14ac:dyDescent="0.25">
      <c r="A4526" s="1">
        <v>2310250030</v>
      </c>
      <c r="B4526" s="1" t="s">
        <v>2636</v>
      </c>
      <c r="C4526" s="1" t="s">
        <v>130</v>
      </c>
      <c r="D4526" s="1" t="s">
        <v>131</v>
      </c>
      <c r="E4526" s="3">
        <v>3674</v>
      </c>
      <c r="F4526" s="1" t="s">
        <v>36</v>
      </c>
      <c r="G4526" s="1">
        <v>0</v>
      </c>
      <c r="H4526" s="3">
        <v>0</v>
      </c>
      <c r="I4526" s="1">
        <v>0.63143400000000005</v>
      </c>
    </row>
    <row r="4527" spans="1:9" x14ac:dyDescent="0.25">
      <c r="A4527" s="1">
        <v>2310250030</v>
      </c>
      <c r="B4527" s="1" t="s">
        <v>2636</v>
      </c>
      <c r="C4527" s="1" t="s">
        <v>142</v>
      </c>
      <c r="D4527" s="1" t="s">
        <v>143</v>
      </c>
      <c r="E4527" s="3">
        <v>1936</v>
      </c>
      <c r="F4527" s="1" t="s">
        <v>36</v>
      </c>
      <c r="G4527" s="1">
        <v>0</v>
      </c>
      <c r="H4527" s="1">
        <v>0</v>
      </c>
      <c r="I4527" s="1">
        <v>0.69906000000000001</v>
      </c>
    </row>
    <row r="4528" spans="1:9" x14ac:dyDescent="0.25">
      <c r="A4528" s="1">
        <v>2310250031</v>
      </c>
      <c r="B4528" s="1" t="s">
        <v>2637</v>
      </c>
      <c r="C4528" s="1" t="s">
        <v>142</v>
      </c>
      <c r="D4528" s="1" t="s">
        <v>143</v>
      </c>
      <c r="E4528" s="3">
        <v>1936</v>
      </c>
      <c r="F4528" s="1" t="s">
        <v>36</v>
      </c>
      <c r="G4528" s="3">
        <v>0</v>
      </c>
      <c r="H4528" s="1">
        <v>0</v>
      </c>
      <c r="I4528" s="1">
        <v>0.65843499999999999</v>
      </c>
    </row>
    <row r="4529" spans="1:9" x14ac:dyDescent="0.25">
      <c r="A4529" s="1">
        <v>2310250032</v>
      </c>
      <c r="B4529" s="1" t="s">
        <v>2638</v>
      </c>
      <c r="C4529" s="1" t="s">
        <v>130</v>
      </c>
      <c r="D4529" s="1" t="s">
        <v>131</v>
      </c>
      <c r="E4529" s="3">
        <v>1946</v>
      </c>
      <c r="F4529" s="1" t="s">
        <v>36</v>
      </c>
      <c r="G4529" s="1">
        <v>0</v>
      </c>
      <c r="H4529" s="1">
        <v>0</v>
      </c>
      <c r="I4529" s="1">
        <v>0.57317099999999999</v>
      </c>
    </row>
    <row r="4530" spans="1:9" x14ac:dyDescent="0.25">
      <c r="A4530" s="1">
        <v>2310250032</v>
      </c>
      <c r="B4530" s="1" t="s">
        <v>2638</v>
      </c>
      <c r="C4530" s="1" t="s">
        <v>142</v>
      </c>
      <c r="D4530" s="1" t="s">
        <v>143</v>
      </c>
      <c r="E4530" s="3">
        <v>1936</v>
      </c>
      <c r="F4530" s="1" t="s">
        <v>36</v>
      </c>
      <c r="G4530" s="1">
        <v>0</v>
      </c>
      <c r="H4530" s="1">
        <v>0</v>
      </c>
      <c r="I4530" s="1">
        <v>0.68687500000000001</v>
      </c>
    </row>
    <row r="4531" spans="1:9" x14ac:dyDescent="0.25">
      <c r="A4531" s="1">
        <v>2310250033</v>
      </c>
      <c r="B4531" s="1" t="s">
        <v>2639</v>
      </c>
      <c r="C4531" s="1" t="s">
        <v>130</v>
      </c>
      <c r="D4531" s="1" t="s">
        <v>131</v>
      </c>
      <c r="E4531" s="3">
        <v>335.8</v>
      </c>
      <c r="F4531" s="1" t="s">
        <v>89</v>
      </c>
      <c r="G4531" s="1">
        <v>0</v>
      </c>
      <c r="H4531" s="1">
        <v>0</v>
      </c>
      <c r="I4531" s="1">
        <v>11.045801000000001</v>
      </c>
    </row>
    <row r="4532" spans="1:9" x14ac:dyDescent="0.25">
      <c r="A4532" s="1">
        <v>2310250034</v>
      </c>
      <c r="B4532" s="1" t="s">
        <v>2640</v>
      </c>
      <c r="C4532" s="1" t="s">
        <v>130</v>
      </c>
      <c r="D4532" s="1" t="s">
        <v>131</v>
      </c>
      <c r="E4532" s="3">
        <v>637.75</v>
      </c>
      <c r="F4532" s="1" t="s">
        <v>89</v>
      </c>
      <c r="G4532" s="1">
        <v>0</v>
      </c>
      <c r="H4532" s="1">
        <v>0</v>
      </c>
      <c r="I4532" s="1">
        <v>11.221733</v>
      </c>
    </row>
    <row r="4533" spans="1:9" x14ac:dyDescent="0.25">
      <c r="A4533" s="1">
        <v>2310250035</v>
      </c>
      <c r="B4533" s="1" t="s">
        <v>2641</v>
      </c>
      <c r="C4533" s="1" t="s">
        <v>130</v>
      </c>
      <c r="D4533" s="1" t="s">
        <v>131</v>
      </c>
      <c r="E4533" s="3">
        <v>311.75</v>
      </c>
      <c r="F4533" s="1" t="s">
        <v>89</v>
      </c>
      <c r="G4533" s="1">
        <v>0</v>
      </c>
      <c r="H4533" s="1">
        <v>0</v>
      </c>
      <c r="I4533" s="1">
        <v>11.079038000000001</v>
      </c>
    </row>
    <row r="4534" spans="1:9" x14ac:dyDescent="0.25">
      <c r="A4534" s="1">
        <v>2310250036</v>
      </c>
      <c r="B4534" s="1" t="s">
        <v>2642</v>
      </c>
      <c r="C4534" s="1" t="s">
        <v>130</v>
      </c>
      <c r="D4534" s="1" t="s">
        <v>131</v>
      </c>
      <c r="E4534" s="1">
        <v>366</v>
      </c>
      <c r="F4534" s="1" t="s">
        <v>89</v>
      </c>
      <c r="G4534" s="1">
        <v>0</v>
      </c>
      <c r="H4534" s="1">
        <v>0</v>
      </c>
      <c r="I4534" s="1">
        <v>12.625055</v>
      </c>
    </row>
    <row r="4535" spans="1:9" x14ac:dyDescent="0.25">
      <c r="A4535" s="1">
        <v>2310250037</v>
      </c>
      <c r="B4535" s="1" t="s">
        <v>2643</v>
      </c>
      <c r="C4535" s="1" t="s">
        <v>130</v>
      </c>
      <c r="D4535" s="1" t="s">
        <v>131</v>
      </c>
      <c r="E4535" s="3">
        <v>410.1</v>
      </c>
      <c r="F4535" s="1" t="s">
        <v>89</v>
      </c>
      <c r="G4535" s="1">
        <v>0</v>
      </c>
      <c r="H4535" s="1">
        <v>0</v>
      </c>
      <c r="I4535" s="1">
        <v>11.394928</v>
      </c>
    </row>
    <row r="4536" spans="1:9" x14ac:dyDescent="0.25">
      <c r="A4536" s="1">
        <v>2310250038</v>
      </c>
      <c r="B4536" s="1" t="s">
        <v>2644</v>
      </c>
      <c r="C4536" s="1" t="s">
        <v>130</v>
      </c>
      <c r="D4536" s="1" t="s">
        <v>131</v>
      </c>
      <c r="E4536" s="1">
        <v>318.5</v>
      </c>
      <c r="F4536" s="1" t="s">
        <v>89</v>
      </c>
      <c r="G4536" s="1">
        <v>0</v>
      </c>
      <c r="H4536" s="1">
        <v>0</v>
      </c>
      <c r="I4536" s="1">
        <v>12.706405</v>
      </c>
    </row>
    <row r="4537" spans="1:9" x14ac:dyDescent="0.25">
      <c r="A4537" s="1">
        <v>2310250039</v>
      </c>
      <c r="B4537" s="1" t="s">
        <v>2645</v>
      </c>
      <c r="C4537" s="1" t="s">
        <v>130</v>
      </c>
      <c r="D4537" s="1" t="s">
        <v>131</v>
      </c>
      <c r="E4537" s="3">
        <v>379</v>
      </c>
      <c r="F4537" s="1" t="s">
        <v>36</v>
      </c>
      <c r="G4537" s="1">
        <v>0</v>
      </c>
      <c r="H4537" s="1">
        <v>0</v>
      </c>
      <c r="I4537" s="1">
        <v>0.64266500000000004</v>
      </c>
    </row>
    <row r="4538" spans="1:9" x14ac:dyDescent="0.25">
      <c r="A4538" s="1">
        <v>2310250040</v>
      </c>
      <c r="B4538" s="1" t="s">
        <v>2646</v>
      </c>
      <c r="C4538" s="1" t="s">
        <v>130</v>
      </c>
      <c r="D4538" s="1" t="s">
        <v>131</v>
      </c>
      <c r="E4538" s="3">
        <v>789</v>
      </c>
      <c r="F4538" s="1" t="s">
        <v>36</v>
      </c>
      <c r="G4538" s="1">
        <v>0</v>
      </c>
      <c r="H4538" s="1">
        <v>0</v>
      </c>
      <c r="I4538" s="1">
        <v>0.53779500000000002</v>
      </c>
    </row>
    <row r="4539" spans="1:9" x14ac:dyDescent="0.25">
      <c r="A4539" s="1">
        <v>2310250041</v>
      </c>
      <c r="B4539" s="1" t="s">
        <v>2647</v>
      </c>
      <c r="C4539" s="1" t="s">
        <v>130</v>
      </c>
      <c r="D4539" s="1" t="s">
        <v>131</v>
      </c>
      <c r="E4539" s="1">
        <v>755</v>
      </c>
      <c r="F4539" s="1" t="s">
        <v>36</v>
      </c>
      <c r="G4539" s="1">
        <v>0</v>
      </c>
      <c r="H4539" s="1">
        <v>0</v>
      </c>
      <c r="I4539" s="1">
        <v>0.54643699999999995</v>
      </c>
    </row>
    <row r="4540" spans="1:9" x14ac:dyDescent="0.25">
      <c r="A4540" s="1">
        <v>2310250042</v>
      </c>
      <c r="B4540" s="1" t="s">
        <v>2648</v>
      </c>
      <c r="C4540" s="1" t="s">
        <v>130</v>
      </c>
      <c r="D4540" s="1" t="s">
        <v>131</v>
      </c>
      <c r="E4540" s="3">
        <v>86</v>
      </c>
      <c r="F4540" s="1" t="s">
        <v>36</v>
      </c>
      <c r="G4540" s="1">
        <v>0</v>
      </c>
      <c r="H4540" s="1">
        <v>0</v>
      </c>
      <c r="I4540" s="1">
        <v>0.62685999999999997</v>
      </c>
    </row>
    <row r="4541" spans="1:9" x14ac:dyDescent="0.25">
      <c r="A4541" s="1">
        <v>2310250043</v>
      </c>
      <c r="B4541" s="1" t="s">
        <v>2649</v>
      </c>
      <c r="C4541" s="1" t="s">
        <v>130</v>
      </c>
      <c r="D4541" s="1" t="s">
        <v>131</v>
      </c>
      <c r="E4541" s="3">
        <v>3679</v>
      </c>
      <c r="F4541" s="1" t="s">
        <v>36</v>
      </c>
      <c r="G4541" s="1">
        <v>0</v>
      </c>
      <c r="H4541" s="1">
        <v>0</v>
      </c>
      <c r="I4541" s="1">
        <v>0.54181800000000002</v>
      </c>
    </row>
    <row r="4542" spans="1:9" x14ac:dyDescent="0.25">
      <c r="A4542" s="1">
        <v>2310250044</v>
      </c>
      <c r="B4542" s="1" t="s">
        <v>2650</v>
      </c>
      <c r="C4542" s="1" t="s">
        <v>130</v>
      </c>
      <c r="D4542" s="1" t="s">
        <v>131</v>
      </c>
      <c r="E4542" s="3">
        <v>1337</v>
      </c>
      <c r="F4542" s="1" t="s">
        <v>36</v>
      </c>
      <c r="G4542" s="1">
        <v>0</v>
      </c>
      <c r="H4542" s="1">
        <v>0</v>
      </c>
      <c r="I4542" s="1">
        <v>0.64519099999999996</v>
      </c>
    </row>
    <row r="4543" spans="1:9" x14ac:dyDescent="0.25">
      <c r="A4543" s="1">
        <v>2310250045</v>
      </c>
      <c r="B4543" s="1" t="s">
        <v>2651</v>
      </c>
      <c r="C4543" s="1" t="s">
        <v>130</v>
      </c>
      <c r="D4543" s="1" t="s">
        <v>131</v>
      </c>
      <c r="E4543" s="1">
        <v>171</v>
      </c>
      <c r="F4543" s="1" t="s">
        <v>36</v>
      </c>
      <c r="G4543" s="1">
        <v>0</v>
      </c>
      <c r="H4543" s="1">
        <v>0</v>
      </c>
      <c r="I4543" s="1">
        <v>0.73345000000000005</v>
      </c>
    </row>
    <row r="4544" spans="1:9" x14ac:dyDescent="0.25">
      <c r="A4544" s="1">
        <v>2310250046</v>
      </c>
      <c r="B4544" s="1" t="s">
        <v>2652</v>
      </c>
      <c r="C4544" s="1" t="s">
        <v>130</v>
      </c>
      <c r="D4544" s="1" t="s">
        <v>131</v>
      </c>
      <c r="E4544" s="3">
        <v>143</v>
      </c>
      <c r="F4544" s="1" t="s">
        <v>36</v>
      </c>
      <c r="G4544" s="1">
        <v>0</v>
      </c>
      <c r="H4544" s="1">
        <v>0</v>
      </c>
      <c r="I4544" s="1">
        <v>0.65027999999999997</v>
      </c>
    </row>
    <row r="4545" spans="1:9" x14ac:dyDescent="0.25">
      <c r="A4545" s="1">
        <v>2310250047</v>
      </c>
      <c r="B4545" s="1" t="s">
        <v>2653</v>
      </c>
      <c r="C4545" s="1" t="s">
        <v>130</v>
      </c>
      <c r="D4545" s="1" t="s">
        <v>131</v>
      </c>
      <c r="E4545" s="1">
        <v>231</v>
      </c>
      <c r="F4545" s="1" t="s">
        <v>36</v>
      </c>
      <c r="G4545" s="1">
        <v>0</v>
      </c>
      <c r="H4545" s="1">
        <v>0</v>
      </c>
      <c r="I4545" s="1">
        <v>0.85800900000000002</v>
      </c>
    </row>
    <row r="4546" spans="1:9" x14ac:dyDescent="0.25">
      <c r="A4546" s="1">
        <v>2310250048</v>
      </c>
      <c r="B4546" s="1" t="s">
        <v>2654</v>
      </c>
      <c r="C4546" s="1" t="s">
        <v>130</v>
      </c>
      <c r="D4546" s="1" t="s">
        <v>131</v>
      </c>
      <c r="E4546" s="3">
        <v>151</v>
      </c>
      <c r="F4546" s="1" t="s">
        <v>36</v>
      </c>
      <c r="G4546" s="1">
        <v>0</v>
      </c>
      <c r="H4546" s="1">
        <v>0</v>
      </c>
      <c r="I4546" s="1">
        <v>0.79059599999999997</v>
      </c>
    </row>
    <row r="4547" spans="1:9" x14ac:dyDescent="0.25">
      <c r="A4547" s="1">
        <v>2310250049</v>
      </c>
      <c r="B4547" s="1" t="s">
        <v>2655</v>
      </c>
      <c r="C4547" s="1" t="s">
        <v>130</v>
      </c>
      <c r="D4547" s="1" t="s">
        <v>131</v>
      </c>
      <c r="E4547" s="3">
        <v>135</v>
      </c>
      <c r="F4547" s="1" t="s">
        <v>36</v>
      </c>
      <c r="G4547" s="1">
        <v>0</v>
      </c>
      <c r="H4547" s="1">
        <v>0</v>
      </c>
      <c r="I4547" s="1">
        <v>0.706148</v>
      </c>
    </row>
    <row r="4548" spans="1:9" x14ac:dyDescent="0.25">
      <c r="A4548" s="1">
        <v>2310280020</v>
      </c>
      <c r="B4548" s="1" t="s">
        <v>2656</v>
      </c>
      <c r="C4548" s="1" t="s">
        <v>130</v>
      </c>
      <c r="D4548" s="1" t="s">
        <v>131</v>
      </c>
      <c r="E4548" s="3">
        <v>8458</v>
      </c>
      <c r="F4548" s="1" t="s">
        <v>36</v>
      </c>
      <c r="G4548" s="1">
        <v>0</v>
      </c>
      <c r="H4548" s="1">
        <v>0</v>
      </c>
      <c r="I4548" s="1">
        <v>0.17993600000000001</v>
      </c>
    </row>
    <row r="4549" spans="1:9" x14ac:dyDescent="0.25">
      <c r="A4549" s="1">
        <v>2310290006</v>
      </c>
      <c r="B4549" s="1" t="s">
        <v>2657</v>
      </c>
      <c r="C4549" s="1" t="s">
        <v>130</v>
      </c>
      <c r="D4549" s="1" t="s">
        <v>131</v>
      </c>
      <c r="E4549" s="3">
        <v>22.21</v>
      </c>
      <c r="F4549" s="1" t="s">
        <v>89</v>
      </c>
      <c r="G4549" s="1">
        <v>0</v>
      </c>
      <c r="H4549" s="1">
        <v>0</v>
      </c>
      <c r="I4549" s="1">
        <v>21.003602000000001</v>
      </c>
    </row>
    <row r="4550" spans="1:9" x14ac:dyDescent="0.25">
      <c r="A4550" s="1">
        <v>2310290007</v>
      </c>
      <c r="B4550" s="1" t="s">
        <v>2658</v>
      </c>
      <c r="C4550" s="1" t="s">
        <v>130</v>
      </c>
      <c r="D4550" s="1" t="s">
        <v>131</v>
      </c>
      <c r="E4550" s="3">
        <v>16.149999999999999</v>
      </c>
      <c r="F4550" s="1" t="s">
        <v>89</v>
      </c>
      <c r="G4550" s="1">
        <v>0</v>
      </c>
      <c r="H4550" s="1">
        <v>0</v>
      </c>
      <c r="I4550" s="1">
        <v>19.715170000000001</v>
      </c>
    </row>
    <row r="4551" spans="1:9" x14ac:dyDescent="0.25">
      <c r="A4551" s="1">
        <v>2310300001</v>
      </c>
      <c r="B4551" s="1" t="s">
        <v>2659</v>
      </c>
      <c r="C4551" s="1" t="s">
        <v>130</v>
      </c>
      <c r="D4551" s="1" t="s">
        <v>131</v>
      </c>
      <c r="E4551" s="1">
        <v>91.308999999999997</v>
      </c>
      <c r="F4551" s="1" t="s">
        <v>89</v>
      </c>
      <c r="G4551" s="1">
        <v>0</v>
      </c>
      <c r="H4551" s="1">
        <v>0</v>
      </c>
      <c r="I4551" s="1">
        <v>7.9375530000000003</v>
      </c>
    </row>
    <row r="4552" spans="1:9" x14ac:dyDescent="0.25">
      <c r="A4552" s="1">
        <v>2310310001</v>
      </c>
      <c r="B4552" s="1" t="s">
        <v>2660</v>
      </c>
      <c r="C4552" s="1" t="s">
        <v>130</v>
      </c>
      <c r="D4552" s="1" t="s">
        <v>131</v>
      </c>
      <c r="E4552" s="3">
        <v>63.8</v>
      </c>
      <c r="F4552" s="1" t="s">
        <v>89</v>
      </c>
      <c r="G4552" s="1">
        <v>0</v>
      </c>
      <c r="H4552" s="3">
        <v>0</v>
      </c>
      <c r="I4552" s="1">
        <v>5.6377740000000003</v>
      </c>
    </row>
    <row r="4553" spans="1:9" x14ac:dyDescent="0.25">
      <c r="A4553" s="1">
        <v>2310310001</v>
      </c>
      <c r="B4553" s="1" t="s">
        <v>2660</v>
      </c>
      <c r="C4553" s="1" t="s">
        <v>142</v>
      </c>
      <c r="D4553" s="1" t="s">
        <v>143</v>
      </c>
      <c r="E4553" s="3">
        <v>436.5</v>
      </c>
      <c r="F4553" s="1" t="s">
        <v>89</v>
      </c>
      <c r="G4553" s="1">
        <v>0</v>
      </c>
      <c r="H4553" s="1">
        <v>0</v>
      </c>
      <c r="I4553" s="1">
        <v>5.637778</v>
      </c>
    </row>
    <row r="4554" spans="1:9" x14ac:dyDescent="0.25">
      <c r="A4554" s="1">
        <v>2310310002</v>
      </c>
      <c r="B4554" s="1" t="s">
        <v>2661</v>
      </c>
      <c r="C4554" s="1" t="s">
        <v>130</v>
      </c>
      <c r="D4554" s="1" t="s">
        <v>131</v>
      </c>
      <c r="E4554" s="1">
        <v>212.4</v>
      </c>
      <c r="F4554" s="1" t="s">
        <v>89</v>
      </c>
      <c r="G4554" s="3">
        <v>0</v>
      </c>
      <c r="H4554" s="3">
        <v>0</v>
      </c>
      <c r="I4554" s="1">
        <v>7.6564500000000004</v>
      </c>
    </row>
    <row r="4555" spans="1:9" x14ac:dyDescent="0.25">
      <c r="A4555" s="1">
        <v>2310310004</v>
      </c>
      <c r="B4555" s="1" t="s">
        <v>2662</v>
      </c>
      <c r="C4555" s="1" t="s">
        <v>130</v>
      </c>
      <c r="D4555" s="1" t="s">
        <v>131</v>
      </c>
      <c r="E4555" s="3">
        <v>1294.75</v>
      </c>
      <c r="F4555" s="1" t="s">
        <v>89</v>
      </c>
      <c r="G4555" s="1">
        <v>0</v>
      </c>
      <c r="H4555" s="1">
        <v>0</v>
      </c>
      <c r="I4555" s="1">
        <v>4.587612</v>
      </c>
    </row>
    <row r="4556" spans="1:9" x14ac:dyDescent="0.25">
      <c r="A4556" s="1">
        <v>2310310063</v>
      </c>
      <c r="B4556" s="1" t="s">
        <v>2663</v>
      </c>
      <c r="C4556" s="1" t="s">
        <v>130</v>
      </c>
      <c r="D4556" s="1" t="s">
        <v>131</v>
      </c>
      <c r="E4556" s="3">
        <v>13792</v>
      </c>
      <c r="F4556" s="1" t="s">
        <v>36</v>
      </c>
      <c r="G4556" s="1">
        <v>0</v>
      </c>
      <c r="H4556" s="1">
        <v>0</v>
      </c>
      <c r="I4556" s="1">
        <v>0.2</v>
      </c>
    </row>
    <row r="4557" spans="1:9" x14ac:dyDescent="0.25">
      <c r="A4557" s="1">
        <v>2310320043</v>
      </c>
      <c r="B4557" s="1" t="s">
        <v>2664</v>
      </c>
      <c r="C4557" s="1" t="s">
        <v>130</v>
      </c>
      <c r="D4557" s="1" t="s">
        <v>131</v>
      </c>
      <c r="E4557" s="3">
        <v>1386</v>
      </c>
      <c r="F4557" s="1" t="s">
        <v>36</v>
      </c>
      <c r="G4557" s="1">
        <v>0</v>
      </c>
      <c r="H4557" s="1">
        <v>0</v>
      </c>
      <c r="I4557" s="1">
        <v>0.68166700000000002</v>
      </c>
    </row>
    <row r="4558" spans="1:9" x14ac:dyDescent="0.25">
      <c r="A4558" s="1">
        <v>2310320088</v>
      </c>
      <c r="B4558" s="1" t="s">
        <v>2665</v>
      </c>
      <c r="C4558" s="1" t="s">
        <v>142</v>
      </c>
      <c r="D4558" s="1" t="s">
        <v>143</v>
      </c>
      <c r="E4558" s="3">
        <v>16116.36</v>
      </c>
      <c r="F4558" s="1" t="s">
        <v>89</v>
      </c>
      <c r="G4558" s="1">
        <v>0</v>
      </c>
      <c r="H4558" s="1">
        <v>0</v>
      </c>
      <c r="I4558" s="1">
        <v>1.4696579999999999</v>
      </c>
    </row>
    <row r="4559" spans="1:9" x14ac:dyDescent="0.25">
      <c r="A4559" s="1">
        <v>2310320089</v>
      </c>
      <c r="B4559" s="1" t="s">
        <v>2666</v>
      </c>
      <c r="C4559" s="1" t="s">
        <v>130</v>
      </c>
      <c r="D4559" s="1" t="s">
        <v>131</v>
      </c>
      <c r="E4559" s="3">
        <v>1884</v>
      </c>
      <c r="F4559" s="1" t="s">
        <v>36</v>
      </c>
      <c r="G4559" s="1">
        <v>0</v>
      </c>
      <c r="H4559" s="1">
        <v>0</v>
      </c>
      <c r="I4559" s="1">
        <v>1.9385140000000001</v>
      </c>
    </row>
    <row r="4560" spans="1:9" x14ac:dyDescent="0.25">
      <c r="A4560" s="1">
        <v>2310320089</v>
      </c>
      <c r="B4560" s="1" t="s">
        <v>2666</v>
      </c>
      <c r="C4560" s="1" t="s">
        <v>167</v>
      </c>
      <c r="D4560" s="1" t="s">
        <v>168</v>
      </c>
      <c r="E4560" s="3">
        <v>1709</v>
      </c>
      <c r="F4560" s="1" t="s">
        <v>36</v>
      </c>
      <c r="G4560" s="1">
        <v>0</v>
      </c>
      <c r="H4560" s="1">
        <v>0</v>
      </c>
      <c r="I4560" s="1">
        <v>1.9385140000000001</v>
      </c>
    </row>
    <row r="4561" spans="1:9" x14ac:dyDescent="0.25">
      <c r="A4561" s="1">
        <v>2310320094</v>
      </c>
      <c r="B4561" s="1" t="s">
        <v>2667</v>
      </c>
      <c r="C4561" s="1" t="s">
        <v>130</v>
      </c>
      <c r="D4561" s="1" t="s">
        <v>131</v>
      </c>
      <c r="E4561" s="1">
        <v>671</v>
      </c>
      <c r="F4561" s="1" t="s">
        <v>36</v>
      </c>
      <c r="G4561" s="1">
        <v>0</v>
      </c>
      <c r="H4561" s="1">
        <v>0</v>
      </c>
      <c r="I4561" s="1">
        <v>3.2696999999999997E-2</v>
      </c>
    </row>
    <row r="4562" spans="1:9" x14ac:dyDescent="0.25">
      <c r="A4562" s="1">
        <v>2310320126</v>
      </c>
      <c r="B4562" s="1" t="s">
        <v>2668</v>
      </c>
      <c r="C4562" s="1" t="s">
        <v>130</v>
      </c>
      <c r="D4562" s="1" t="s">
        <v>131</v>
      </c>
      <c r="E4562" s="3">
        <v>662</v>
      </c>
      <c r="F4562" s="1" t="s">
        <v>36</v>
      </c>
      <c r="G4562" s="1">
        <v>0</v>
      </c>
      <c r="H4562" s="1">
        <v>0</v>
      </c>
      <c r="I4562" s="1">
        <v>0.152644</v>
      </c>
    </row>
    <row r="4563" spans="1:9" x14ac:dyDescent="0.25">
      <c r="A4563" s="1">
        <v>2310320202</v>
      </c>
      <c r="B4563" s="1" t="s">
        <v>2669</v>
      </c>
      <c r="C4563" s="1" t="s">
        <v>130</v>
      </c>
      <c r="D4563" s="1" t="s">
        <v>131</v>
      </c>
      <c r="E4563" s="3">
        <v>9.1999999999999993</v>
      </c>
      <c r="F4563" s="1" t="s">
        <v>89</v>
      </c>
      <c r="G4563" s="1">
        <v>0</v>
      </c>
      <c r="H4563" s="1">
        <v>0</v>
      </c>
      <c r="I4563" s="1">
        <v>25.242391000000001</v>
      </c>
    </row>
    <row r="4564" spans="1:9" x14ac:dyDescent="0.25">
      <c r="A4564" s="1">
        <v>2310320236</v>
      </c>
      <c r="B4564" s="1" t="s">
        <v>2670</v>
      </c>
      <c r="C4564" s="1" t="s">
        <v>130</v>
      </c>
      <c r="D4564" s="1" t="s">
        <v>131</v>
      </c>
      <c r="E4564" s="1">
        <v>263</v>
      </c>
      <c r="F4564" s="1" t="s">
        <v>36</v>
      </c>
      <c r="G4564" s="1">
        <v>0</v>
      </c>
      <c r="H4564" s="1">
        <v>0</v>
      </c>
      <c r="I4564" s="1">
        <v>0.934639</v>
      </c>
    </row>
    <row r="4565" spans="1:9" x14ac:dyDescent="0.25">
      <c r="A4565" s="1">
        <v>2310320237</v>
      </c>
      <c r="B4565" s="1" t="s">
        <v>2671</v>
      </c>
      <c r="C4565" s="1" t="s">
        <v>130</v>
      </c>
      <c r="D4565" s="1" t="s">
        <v>131</v>
      </c>
      <c r="E4565" s="3">
        <v>669</v>
      </c>
      <c r="F4565" s="1" t="s">
        <v>36</v>
      </c>
      <c r="G4565" s="1">
        <v>0</v>
      </c>
      <c r="H4565" s="1">
        <v>0</v>
      </c>
      <c r="I4565" s="1">
        <v>0.93327400000000005</v>
      </c>
    </row>
    <row r="4566" spans="1:9" x14ac:dyDescent="0.25">
      <c r="A4566" s="1">
        <v>2310320241</v>
      </c>
      <c r="B4566" s="1" t="s">
        <v>2672</v>
      </c>
      <c r="C4566" s="1" t="s">
        <v>130</v>
      </c>
      <c r="D4566" s="1" t="s">
        <v>131</v>
      </c>
      <c r="E4566" s="3">
        <v>450</v>
      </c>
      <c r="F4566" s="1" t="s">
        <v>36</v>
      </c>
      <c r="G4566" s="1">
        <v>0</v>
      </c>
      <c r="H4566" s="1">
        <v>0</v>
      </c>
      <c r="I4566" s="1">
        <v>0.28828900000000002</v>
      </c>
    </row>
    <row r="4567" spans="1:9" x14ac:dyDescent="0.25">
      <c r="A4567" s="1">
        <v>2310320242</v>
      </c>
      <c r="B4567" s="1" t="s">
        <v>2673</v>
      </c>
      <c r="C4567" s="1" t="s">
        <v>130</v>
      </c>
      <c r="D4567" s="1" t="s">
        <v>131</v>
      </c>
      <c r="E4567" s="3">
        <v>130</v>
      </c>
      <c r="F4567" s="1" t="s">
        <v>36</v>
      </c>
      <c r="G4567" s="1">
        <v>0</v>
      </c>
      <c r="H4567" s="1">
        <v>0</v>
      </c>
      <c r="I4567" s="1">
        <v>0.288385</v>
      </c>
    </row>
    <row r="4568" spans="1:9" x14ac:dyDescent="0.25">
      <c r="A4568" s="1">
        <v>2310320244</v>
      </c>
      <c r="B4568" s="1" t="s">
        <v>2674</v>
      </c>
      <c r="C4568" s="1" t="s">
        <v>130</v>
      </c>
      <c r="D4568" s="1" t="s">
        <v>131</v>
      </c>
      <c r="E4568" s="1">
        <v>460</v>
      </c>
      <c r="F4568" s="1" t="s">
        <v>36</v>
      </c>
      <c r="G4568" s="1">
        <v>0</v>
      </c>
      <c r="H4568" s="1">
        <v>0</v>
      </c>
      <c r="I4568" s="1">
        <v>0.28828300000000001</v>
      </c>
    </row>
    <row r="4569" spans="1:9" x14ac:dyDescent="0.25">
      <c r="A4569" s="1">
        <v>2310320246</v>
      </c>
      <c r="B4569" s="1" t="s">
        <v>2675</v>
      </c>
      <c r="C4569" s="1" t="s">
        <v>130</v>
      </c>
      <c r="D4569" s="1" t="s">
        <v>131</v>
      </c>
      <c r="E4569" s="3">
        <v>1970</v>
      </c>
      <c r="F4569" s="1" t="s">
        <v>36</v>
      </c>
      <c r="G4569" s="1">
        <v>0</v>
      </c>
      <c r="H4569" s="1">
        <v>0</v>
      </c>
      <c r="I4569" s="1">
        <v>0.28881200000000001</v>
      </c>
    </row>
    <row r="4570" spans="1:9" x14ac:dyDescent="0.25">
      <c r="A4570" s="1">
        <v>2310320284</v>
      </c>
      <c r="B4570" s="1" t="s">
        <v>2676</v>
      </c>
      <c r="C4570" s="1" t="s">
        <v>130</v>
      </c>
      <c r="D4570" s="1" t="s">
        <v>131</v>
      </c>
      <c r="E4570" s="3">
        <v>57</v>
      </c>
      <c r="F4570" s="1" t="s">
        <v>36</v>
      </c>
      <c r="G4570" s="1">
        <v>0</v>
      </c>
      <c r="H4570" s="1">
        <v>0</v>
      </c>
      <c r="I4570" s="1">
        <v>3.1903510000000002</v>
      </c>
    </row>
    <row r="4571" spans="1:9" x14ac:dyDescent="0.25">
      <c r="A4571" s="1">
        <v>2310320326</v>
      </c>
      <c r="B4571" s="1" t="s">
        <v>2677</v>
      </c>
      <c r="C4571" s="1" t="s">
        <v>130</v>
      </c>
      <c r="D4571" s="1" t="s">
        <v>131</v>
      </c>
      <c r="E4571" s="3">
        <v>1195.5</v>
      </c>
      <c r="F4571" s="1" t="s">
        <v>89</v>
      </c>
      <c r="G4571" s="1">
        <v>0</v>
      </c>
      <c r="H4571" s="3">
        <v>2630</v>
      </c>
      <c r="I4571" s="1">
        <v>3.2668840000000001</v>
      </c>
    </row>
    <row r="4572" spans="1:9" x14ac:dyDescent="0.25">
      <c r="A4572" s="1">
        <v>2310320326</v>
      </c>
      <c r="B4572" s="1" t="s">
        <v>2677</v>
      </c>
      <c r="C4572" s="1" t="s">
        <v>142</v>
      </c>
      <c r="D4572" s="1" t="s">
        <v>143</v>
      </c>
      <c r="E4572" s="3">
        <v>1440</v>
      </c>
      <c r="F4572" s="1" t="s">
        <v>89</v>
      </c>
      <c r="G4572" s="1">
        <v>0</v>
      </c>
      <c r="H4572" s="1">
        <v>0</v>
      </c>
      <c r="I4572" s="1">
        <v>3.2668819999999998</v>
      </c>
    </row>
    <row r="4573" spans="1:9" x14ac:dyDescent="0.25">
      <c r="A4573" s="1">
        <v>2310320326</v>
      </c>
      <c r="B4573" s="1" t="s">
        <v>2677</v>
      </c>
      <c r="C4573" s="1" t="s">
        <v>2174</v>
      </c>
      <c r="D4573" s="1" t="s">
        <v>2175</v>
      </c>
      <c r="E4573" s="3">
        <v>820.9</v>
      </c>
      <c r="F4573" s="1" t="s">
        <v>89</v>
      </c>
      <c r="G4573" s="3">
        <v>2630</v>
      </c>
      <c r="H4573" s="1">
        <v>0</v>
      </c>
      <c r="I4573" s="1">
        <v>3.2677429999999998</v>
      </c>
    </row>
    <row r="4574" spans="1:9" x14ac:dyDescent="0.25">
      <c r="A4574" s="1">
        <v>2310320328</v>
      </c>
      <c r="B4574" s="1" t="s">
        <v>2678</v>
      </c>
      <c r="C4574" s="1" t="s">
        <v>130</v>
      </c>
      <c r="D4574" s="1" t="s">
        <v>131</v>
      </c>
      <c r="E4574" s="3">
        <v>63842</v>
      </c>
      <c r="F4574" s="1" t="s">
        <v>36</v>
      </c>
      <c r="G4574" s="1">
        <v>0</v>
      </c>
      <c r="H4574" s="1">
        <v>0</v>
      </c>
      <c r="I4574" s="1">
        <v>8.6595000000000005E-2</v>
      </c>
    </row>
    <row r="4575" spans="1:9" x14ac:dyDescent="0.25">
      <c r="A4575" s="1">
        <v>2310320329</v>
      </c>
      <c r="B4575" s="1" t="s">
        <v>2679</v>
      </c>
      <c r="C4575" s="1" t="s">
        <v>130</v>
      </c>
      <c r="D4575" s="1" t="s">
        <v>131</v>
      </c>
      <c r="E4575" s="3">
        <v>67102</v>
      </c>
      <c r="F4575" s="1" t="s">
        <v>36</v>
      </c>
      <c r="G4575" s="1">
        <v>0</v>
      </c>
      <c r="H4575" s="1">
        <v>0</v>
      </c>
      <c r="I4575" s="1">
        <v>9.4888E-2</v>
      </c>
    </row>
    <row r="4576" spans="1:9" x14ac:dyDescent="0.25">
      <c r="A4576" s="1">
        <v>2310320330</v>
      </c>
      <c r="B4576" s="1" t="s">
        <v>2680</v>
      </c>
      <c r="C4576" s="1" t="s">
        <v>130</v>
      </c>
      <c r="D4576" s="1" t="s">
        <v>131</v>
      </c>
      <c r="E4576" s="3">
        <v>52792</v>
      </c>
      <c r="F4576" s="1" t="s">
        <v>36</v>
      </c>
      <c r="G4576" s="1">
        <v>0</v>
      </c>
      <c r="H4576" s="1">
        <v>0</v>
      </c>
      <c r="I4576" s="1">
        <v>8.5729E-2</v>
      </c>
    </row>
    <row r="4577" spans="1:9" x14ac:dyDescent="0.25">
      <c r="A4577" s="1">
        <v>2310320348</v>
      </c>
      <c r="B4577" s="1" t="s">
        <v>2681</v>
      </c>
      <c r="C4577" s="1" t="s">
        <v>130</v>
      </c>
      <c r="D4577" s="1" t="s">
        <v>131</v>
      </c>
      <c r="E4577" s="3">
        <v>3092</v>
      </c>
      <c r="F4577" s="1" t="s">
        <v>36</v>
      </c>
      <c r="G4577" s="1">
        <v>0</v>
      </c>
      <c r="H4577" s="1">
        <v>0</v>
      </c>
      <c r="I4577" s="1">
        <v>8.7325E-2</v>
      </c>
    </row>
    <row r="4578" spans="1:9" x14ac:dyDescent="0.25">
      <c r="A4578" s="1">
        <v>2310320350</v>
      </c>
      <c r="B4578" s="1" t="s">
        <v>2682</v>
      </c>
      <c r="C4578" s="1" t="s">
        <v>157</v>
      </c>
      <c r="D4578" s="1" t="s">
        <v>158</v>
      </c>
      <c r="E4578" s="3">
        <v>3700</v>
      </c>
      <c r="F4578" s="1" t="s">
        <v>36</v>
      </c>
      <c r="G4578" s="1">
        <v>0</v>
      </c>
      <c r="H4578" s="1">
        <v>0</v>
      </c>
      <c r="I4578" s="1">
        <v>0.99527299999999996</v>
      </c>
    </row>
    <row r="4579" spans="1:9" x14ac:dyDescent="0.25">
      <c r="A4579" s="1">
        <v>2310320352</v>
      </c>
      <c r="B4579" s="1" t="s">
        <v>2683</v>
      </c>
      <c r="C4579" s="1" t="s">
        <v>157</v>
      </c>
      <c r="D4579" s="1" t="s">
        <v>158</v>
      </c>
      <c r="E4579" s="3">
        <v>2946</v>
      </c>
      <c r="F4579" s="1" t="s">
        <v>36</v>
      </c>
      <c r="G4579" s="1">
        <v>0</v>
      </c>
      <c r="H4579" s="1">
        <v>0</v>
      </c>
      <c r="I4579" s="1">
        <v>1.947641</v>
      </c>
    </row>
    <row r="4580" spans="1:9" x14ac:dyDescent="0.25">
      <c r="A4580" s="1">
        <v>2310320356</v>
      </c>
      <c r="B4580" s="1" t="s">
        <v>2684</v>
      </c>
      <c r="C4580" s="1" t="s">
        <v>130</v>
      </c>
      <c r="D4580" s="1" t="s">
        <v>131</v>
      </c>
      <c r="E4580" s="3">
        <v>64.400000000000006</v>
      </c>
      <c r="F4580" s="1" t="s">
        <v>89</v>
      </c>
      <c r="G4580" s="1">
        <v>0</v>
      </c>
      <c r="H4580" s="1">
        <v>0</v>
      </c>
      <c r="I4580" s="1">
        <v>5.2777950000000002</v>
      </c>
    </row>
    <row r="4581" spans="1:9" x14ac:dyDescent="0.25">
      <c r="A4581" s="1">
        <v>2310320356</v>
      </c>
      <c r="B4581" s="1" t="s">
        <v>2684</v>
      </c>
      <c r="C4581" s="1" t="s">
        <v>142</v>
      </c>
      <c r="D4581" s="1" t="s">
        <v>143</v>
      </c>
      <c r="E4581" s="3">
        <v>0.19900000000000001</v>
      </c>
      <c r="F4581" s="1" t="s">
        <v>89</v>
      </c>
      <c r="G4581" s="1">
        <v>0</v>
      </c>
      <c r="H4581" s="1">
        <v>0</v>
      </c>
      <c r="I4581" s="1">
        <v>5.2763819999999999</v>
      </c>
    </row>
    <row r="4582" spans="1:9" x14ac:dyDescent="0.25">
      <c r="A4582" s="1">
        <v>2310320393</v>
      </c>
      <c r="B4582" s="1" t="s">
        <v>2685</v>
      </c>
      <c r="C4582" s="1" t="s">
        <v>130</v>
      </c>
      <c r="D4582" s="1" t="s">
        <v>131</v>
      </c>
      <c r="E4582" s="3">
        <v>625</v>
      </c>
      <c r="F4582" s="1" t="s">
        <v>36</v>
      </c>
      <c r="G4582" s="1">
        <v>0</v>
      </c>
      <c r="H4582" s="1">
        <v>0</v>
      </c>
      <c r="I4582" s="1">
        <v>1.139664</v>
      </c>
    </row>
    <row r="4583" spans="1:9" x14ac:dyDescent="0.25">
      <c r="A4583" s="1">
        <v>2310320399</v>
      </c>
      <c r="B4583" s="1" t="s">
        <v>2686</v>
      </c>
      <c r="C4583" s="1" t="s">
        <v>130</v>
      </c>
      <c r="D4583" s="1" t="s">
        <v>131</v>
      </c>
      <c r="E4583" s="3">
        <v>223</v>
      </c>
      <c r="F4583" s="1" t="s">
        <v>36</v>
      </c>
      <c r="G4583" s="1">
        <v>0</v>
      </c>
      <c r="H4583" s="1">
        <v>0</v>
      </c>
      <c r="I4583" s="1">
        <v>0.93533599999999995</v>
      </c>
    </row>
    <row r="4584" spans="1:9" x14ac:dyDescent="0.25">
      <c r="A4584" s="1">
        <v>2310320405</v>
      </c>
      <c r="B4584" s="1" t="s">
        <v>2687</v>
      </c>
      <c r="C4584" s="1" t="s">
        <v>130</v>
      </c>
      <c r="D4584" s="1" t="s">
        <v>131</v>
      </c>
      <c r="E4584" s="3">
        <v>566</v>
      </c>
      <c r="F4584" s="1" t="s">
        <v>36</v>
      </c>
      <c r="G4584" s="3">
        <v>0</v>
      </c>
      <c r="H4584" s="1">
        <v>0</v>
      </c>
      <c r="I4584" s="1">
        <v>0.80523</v>
      </c>
    </row>
    <row r="4585" spans="1:9" x14ac:dyDescent="0.25">
      <c r="A4585" s="1">
        <v>2310320422</v>
      </c>
      <c r="B4585" s="1" t="s">
        <v>2688</v>
      </c>
      <c r="C4585" s="1" t="s">
        <v>144</v>
      </c>
      <c r="D4585" s="1" t="s">
        <v>145</v>
      </c>
      <c r="E4585" s="3">
        <v>5625</v>
      </c>
      <c r="F4585" s="1" t="s">
        <v>36</v>
      </c>
      <c r="G4585" s="1">
        <v>0</v>
      </c>
      <c r="H4585" s="1">
        <v>0</v>
      </c>
      <c r="I4585" s="1">
        <v>0.16555</v>
      </c>
    </row>
    <row r="4586" spans="1:9" x14ac:dyDescent="0.25">
      <c r="A4586" s="1">
        <v>2310320423</v>
      </c>
      <c r="B4586" s="1" t="s">
        <v>2689</v>
      </c>
      <c r="C4586" s="1" t="s">
        <v>1698</v>
      </c>
      <c r="D4586" s="1" t="s">
        <v>1699</v>
      </c>
      <c r="E4586" s="3">
        <v>62.5</v>
      </c>
      <c r="F4586" s="1" t="s">
        <v>36</v>
      </c>
      <c r="G4586" s="1">
        <v>0</v>
      </c>
      <c r="H4586" s="1">
        <v>0</v>
      </c>
      <c r="I4586" s="1">
        <v>0.25424000000000002</v>
      </c>
    </row>
    <row r="4587" spans="1:9" x14ac:dyDescent="0.25">
      <c r="A4587" s="1">
        <v>2310320424</v>
      </c>
      <c r="B4587" s="1" t="s">
        <v>2690</v>
      </c>
      <c r="C4587" s="1" t="s">
        <v>144</v>
      </c>
      <c r="D4587" s="1" t="s">
        <v>145</v>
      </c>
      <c r="E4587" s="3">
        <v>875</v>
      </c>
      <c r="F4587" s="1" t="s">
        <v>36</v>
      </c>
      <c r="G4587" s="1">
        <v>0</v>
      </c>
      <c r="H4587" s="1">
        <v>0</v>
      </c>
      <c r="I4587" s="1">
        <v>0.20596600000000001</v>
      </c>
    </row>
    <row r="4588" spans="1:9" x14ac:dyDescent="0.25">
      <c r="A4588" s="1">
        <v>2310320462</v>
      </c>
      <c r="B4588" s="1" t="s">
        <v>2691</v>
      </c>
      <c r="C4588" s="1" t="s">
        <v>130</v>
      </c>
      <c r="D4588" s="1" t="s">
        <v>131</v>
      </c>
      <c r="E4588" s="3">
        <v>897</v>
      </c>
      <c r="F4588" s="1" t="s">
        <v>36</v>
      </c>
      <c r="G4588" s="3">
        <v>0</v>
      </c>
      <c r="H4588" s="1">
        <v>0</v>
      </c>
      <c r="I4588" s="1">
        <v>0.52524000000000004</v>
      </c>
    </row>
    <row r="4589" spans="1:9" x14ac:dyDescent="0.25">
      <c r="A4589" s="1">
        <v>2310320465</v>
      </c>
      <c r="B4589" s="1" t="s">
        <v>2692</v>
      </c>
      <c r="C4589" s="1" t="s">
        <v>130</v>
      </c>
      <c r="D4589" s="1" t="s">
        <v>131</v>
      </c>
      <c r="E4589" s="3">
        <v>695</v>
      </c>
      <c r="F4589" s="1" t="s">
        <v>36</v>
      </c>
      <c r="G4589" s="1">
        <v>0</v>
      </c>
      <c r="H4589" s="3">
        <v>0</v>
      </c>
      <c r="I4589" s="1">
        <v>0.52523699999999995</v>
      </c>
    </row>
    <row r="4590" spans="1:9" x14ac:dyDescent="0.25">
      <c r="A4590" s="1">
        <v>2310320502</v>
      </c>
      <c r="B4590" s="1" t="s">
        <v>2693</v>
      </c>
      <c r="C4590" s="1" t="s">
        <v>130</v>
      </c>
      <c r="D4590" s="1" t="s">
        <v>131</v>
      </c>
      <c r="E4590" s="3">
        <v>750</v>
      </c>
      <c r="F4590" s="1" t="s">
        <v>36</v>
      </c>
      <c r="G4590" s="1">
        <v>0</v>
      </c>
      <c r="H4590" s="1">
        <v>0</v>
      </c>
      <c r="I4590" s="1">
        <v>0.93645299999999998</v>
      </c>
    </row>
    <row r="4591" spans="1:9" x14ac:dyDescent="0.25">
      <c r="A4591" s="1">
        <v>2310320506</v>
      </c>
      <c r="B4591" s="1" t="s">
        <v>2694</v>
      </c>
      <c r="C4591" s="1" t="s">
        <v>130</v>
      </c>
      <c r="D4591" s="1" t="s">
        <v>131</v>
      </c>
      <c r="E4591" s="1">
        <v>136</v>
      </c>
      <c r="F4591" s="1" t="s">
        <v>36</v>
      </c>
      <c r="G4591" s="1">
        <v>0</v>
      </c>
      <c r="H4591" s="1">
        <v>0</v>
      </c>
      <c r="I4591" s="1">
        <v>1.605588</v>
      </c>
    </row>
    <row r="4592" spans="1:9" x14ac:dyDescent="0.25">
      <c r="A4592" s="1">
        <v>2310320507</v>
      </c>
      <c r="B4592" s="1" t="s">
        <v>2695</v>
      </c>
      <c r="C4592" s="1" t="s">
        <v>130</v>
      </c>
      <c r="D4592" s="1" t="s">
        <v>131</v>
      </c>
      <c r="E4592" s="1">
        <v>32</v>
      </c>
      <c r="F4592" s="1" t="s">
        <v>89</v>
      </c>
      <c r="G4592" s="1">
        <v>0</v>
      </c>
      <c r="H4592" s="1">
        <v>0</v>
      </c>
      <c r="I4592" s="1">
        <v>9.4671880000000002</v>
      </c>
    </row>
    <row r="4593" spans="1:9" x14ac:dyDescent="0.25">
      <c r="A4593" s="1">
        <v>2310340006</v>
      </c>
      <c r="B4593" s="1" t="s">
        <v>2696</v>
      </c>
      <c r="C4593" s="1" t="s">
        <v>130</v>
      </c>
      <c r="D4593" s="1" t="s">
        <v>131</v>
      </c>
      <c r="E4593" s="3">
        <v>64133</v>
      </c>
      <c r="F4593" s="1" t="s">
        <v>36</v>
      </c>
      <c r="G4593" s="1">
        <v>0</v>
      </c>
      <c r="H4593" s="1">
        <v>0</v>
      </c>
      <c r="I4593" s="1">
        <v>3.4428E-2</v>
      </c>
    </row>
    <row r="4594" spans="1:9" x14ac:dyDescent="0.25">
      <c r="A4594" s="1">
        <v>2310340010</v>
      </c>
      <c r="B4594" s="1" t="s">
        <v>2697</v>
      </c>
      <c r="C4594" s="1" t="s">
        <v>130</v>
      </c>
      <c r="D4594" s="1" t="s">
        <v>131</v>
      </c>
      <c r="E4594" s="3">
        <v>59450</v>
      </c>
      <c r="F4594" s="1" t="s">
        <v>36</v>
      </c>
      <c r="G4594" s="1">
        <v>0</v>
      </c>
      <c r="H4594" s="1">
        <v>0</v>
      </c>
      <c r="I4594" s="1">
        <v>2.9826999999999999E-2</v>
      </c>
    </row>
    <row r="4595" spans="1:9" x14ac:dyDescent="0.25">
      <c r="A4595" s="1">
        <v>2310350020</v>
      </c>
      <c r="B4595" s="1" t="s">
        <v>2698</v>
      </c>
      <c r="C4595" s="1" t="s">
        <v>130</v>
      </c>
      <c r="D4595" s="1" t="s">
        <v>131</v>
      </c>
      <c r="E4595" s="3">
        <v>239994</v>
      </c>
      <c r="F4595" s="1" t="s">
        <v>36</v>
      </c>
      <c r="G4595" s="1">
        <v>0</v>
      </c>
      <c r="H4595" s="1">
        <v>0</v>
      </c>
      <c r="I4595" s="1">
        <v>9.1195999999999999E-2</v>
      </c>
    </row>
    <row r="4596" spans="1:9" x14ac:dyDescent="0.25">
      <c r="A4596" s="1">
        <v>2310350043</v>
      </c>
      <c r="B4596" s="1" t="s">
        <v>2699</v>
      </c>
      <c r="C4596" s="1" t="s">
        <v>130</v>
      </c>
      <c r="D4596" s="1" t="s">
        <v>131</v>
      </c>
      <c r="E4596" s="3">
        <v>112575</v>
      </c>
      <c r="F4596" s="1" t="s">
        <v>36</v>
      </c>
      <c r="G4596" s="1">
        <v>0</v>
      </c>
      <c r="H4596" s="1">
        <v>0</v>
      </c>
      <c r="I4596" s="1">
        <v>9.0518000000000001E-2</v>
      </c>
    </row>
    <row r="4597" spans="1:9" x14ac:dyDescent="0.25">
      <c r="A4597" s="1">
        <v>2310350114</v>
      </c>
      <c r="B4597" s="1" t="s">
        <v>2700</v>
      </c>
      <c r="C4597" s="1" t="s">
        <v>130</v>
      </c>
      <c r="D4597" s="1" t="s">
        <v>131</v>
      </c>
      <c r="E4597" s="1">
        <v>576</v>
      </c>
      <c r="F4597" s="1" t="s">
        <v>36</v>
      </c>
      <c r="G4597" s="1">
        <v>0</v>
      </c>
      <c r="H4597" s="1">
        <v>0</v>
      </c>
      <c r="I4597" s="1">
        <v>6.4687999999999996E-2</v>
      </c>
    </row>
    <row r="4598" spans="1:9" x14ac:dyDescent="0.25">
      <c r="A4598" s="1">
        <v>2310360001</v>
      </c>
      <c r="B4598" s="1" t="s">
        <v>2701</v>
      </c>
      <c r="C4598" s="1" t="s">
        <v>130</v>
      </c>
      <c r="D4598" s="1" t="s">
        <v>131</v>
      </c>
      <c r="E4598" s="3">
        <v>11877</v>
      </c>
      <c r="F4598" s="1" t="s">
        <v>36</v>
      </c>
      <c r="G4598" s="1">
        <v>0</v>
      </c>
      <c r="H4598" s="1">
        <v>0</v>
      </c>
      <c r="I4598" s="1">
        <v>2.4695000000000002E-2</v>
      </c>
    </row>
    <row r="4599" spans="1:9" x14ac:dyDescent="0.25">
      <c r="A4599" s="1">
        <v>2310370007</v>
      </c>
      <c r="B4599" s="1" t="s">
        <v>2702</v>
      </c>
      <c r="C4599" s="1" t="s">
        <v>130</v>
      </c>
      <c r="D4599" s="1" t="s">
        <v>131</v>
      </c>
      <c r="E4599" s="3">
        <v>1750</v>
      </c>
      <c r="F4599" s="1" t="s">
        <v>36</v>
      </c>
      <c r="G4599" s="1">
        <v>0</v>
      </c>
      <c r="H4599" s="1">
        <v>0</v>
      </c>
      <c r="I4599" s="1">
        <v>0.26408599999999999</v>
      </c>
    </row>
    <row r="4600" spans="1:9" x14ac:dyDescent="0.25">
      <c r="A4600" s="1">
        <v>2310370081</v>
      </c>
      <c r="B4600" s="1" t="s">
        <v>2703</v>
      </c>
      <c r="C4600" s="1" t="s">
        <v>130</v>
      </c>
      <c r="D4600" s="1" t="s">
        <v>131</v>
      </c>
      <c r="E4600" s="3">
        <v>21944</v>
      </c>
      <c r="F4600" s="1" t="s">
        <v>36</v>
      </c>
      <c r="G4600" s="1">
        <v>0</v>
      </c>
      <c r="H4600" s="1">
        <v>0</v>
      </c>
      <c r="I4600" s="1">
        <v>0.341777</v>
      </c>
    </row>
    <row r="4601" spans="1:9" x14ac:dyDescent="0.25">
      <c r="A4601" s="1">
        <v>2310370082</v>
      </c>
      <c r="B4601" s="1" t="s">
        <v>2704</v>
      </c>
      <c r="C4601" s="1" t="s">
        <v>130</v>
      </c>
      <c r="D4601" s="1" t="s">
        <v>131</v>
      </c>
      <c r="E4601" s="3">
        <v>4223</v>
      </c>
      <c r="F4601" s="1" t="s">
        <v>36</v>
      </c>
      <c r="G4601" s="1">
        <v>0</v>
      </c>
      <c r="H4601" s="1">
        <v>0</v>
      </c>
      <c r="I4601" s="1">
        <v>0.38459399999999999</v>
      </c>
    </row>
    <row r="4602" spans="1:9" x14ac:dyDescent="0.25">
      <c r="A4602" s="1">
        <v>2310370089</v>
      </c>
      <c r="B4602" s="1" t="s">
        <v>2705</v>
      </c>
      <c r="C4602" s="1" t="s">
        <v>130</v>
      </c>
      <c r="D4602" s="1" t="s">
        <v>131</v>
      </c>
      <c r="E4602" s="3">
        <v>1380</v>
      </c>
      <c r="F4602" s="1" t="s">
        <v>36</v>
      </c>
      <c r="G4602" s="1">
        <v>0</v>
      </c>
      <c r="H4602" s="1">
        <v>0</v>
      </c>
      <c r="I4602" s="1">
        <v>0.32296399999999997</v>
      </c>
    </row>
    <row r="4603" spans="1:9" x14ac:dyDescent="0.25">
      <c r="A4603" s="1">
        <v>2310370101</v>
      </c>
      <c r="B4603" s="1" t="s">
        <v>2706</v>
      </c>
      <c r="C4603" s="1" t="s">
        <v>130</v>
      </c>
      <c r="D4603" s="1" t="s">
        <v>131</v>
      </c>
      <c r="E4603" s="1">
        <v>247</v>
      </c>
      <c r="F4603" s="1" t="s">
        <v>36</v>
      </c>
      <c r="G4603" s="1">
        <v>0</v>
      </c>
      <c r="H4603" s="1">
        <v>0</v>
      </c>
      <c r="I4603" s="1">
        <v>0.36267199999999999</v>
      </c>
    </row>
    <row r="4604" spans="1:9" x14ac:dyDescent="0.25">
      <c r="A4604" s="1">
        <v>2310370101</v>
      </c>
      <c r="B4604" s="1" t="s">
        <v>2706</v>
      </c>
      <c r="C4604" s="1" t="s">
        <v>126</v>
      </c>
      <c r="D4604" s="1" t="s">
        <v>127</v>
      </c>
      <c r="E4604" s="3">
        <v>10790</v>
      </c>
      <c r="F4604" s="1" t="s">
        <v>36</v>
      </c>
      <c r="G4604" s="1">
        <v>0</v>
      </c>
      <c r="H4604" s="1">
        <v>0</v>
      </c>
      <c r="I4604" s="1">
        <v>0.37839200000000001</v>
      </c>
    </row>
    <row r="4605" spans="1:9" x14ac:dyDescent="0.25">
      <c r="A4605" s="1">
        <v>2310370102</v>
      </c>
      <c r="B4605" s="1" t="s">
        <v>2707</v>
      </c>
      <c r="C4605" s="1" t="s">
        <v>130</v>
      </c>
      <c r="D4605" s="1" t="s">
        <v>131</v>
      </c>
      <c r="E4605" s="1">
        <v>20</v>
      </c>
      <c r="F4605" s="1" t="s">
        <v>36</v>
      </c>
      <c r="G4605" s="1">
        <v>0</v>
      </c>
      <c r="H4605" s="1">
        <v>0</v>
      </c>
      <c r="I4605" s="1">
        <v>0.35699999999999998</v>
      </c>
    </row>
    <row r="4606" spans="1:9" x14ac:dyDescent="0.25">
      <c r="A4606" s="1">
        <v>2310370102</v>
      </c>
      <c r="B4606" s="1" t="s">
        <v>2707</v>
      </c>
      <c r="C4606" s="1" t="s">
        <v>126</v>
      </c>
      <c r="D4606" s="1" t="s">
        <v>127</v>
      </c>
      <c r="E4606" s="3">
        <v>2307</v>
      </c>
      <c r="F4606" s="1" t="s">
        <v>36</v>
      </c>
      <c r="G4606" s="1">
        <v>0</v>
      </c>
      <c r="H4606" s="1">
        <v>0</v>
      </c>
      <c r="I4606" s="1">
        <v>0.37625500000000001</v>
      </c>
    </row>
    <row r="4607" spans="1:9" x14ac:dyDescent="0.25">
      <c r="A4607" s="1">
        <v>2310370103</v>
      </c>
      <c r="B4607" s="1" t="s">
        <v>2708</v>
      </c>
      <c r="C4607" s="1" t="s">
        <v>130</v>
      </c>
      <c r="D4607" s="1" t="s">
        <v>131</v>
      </c>
      <c r="E4607" s="1">
        <v>162</v>
      </c>
      <c r="F4607" s="1" t="s">
        <v>36</v>
      </c>
      <c r="G4607" s="1">
        <v>0</v>
      </c>
      <c r="H4607" s="1">
        <v>0</v>
      </c>
      <c r="I4607" s="1">
        <v>0.37296299999999999</v>
      </c>
    </row>
    <row r="4608" spans="1:9" x14ac:dyDescent="0.25">
      <c r="A4608" s="1">
        <v>2310370103</v>
      </c>
      <c r="B4608" s="1" t="s">
        <v>2708</v>
      </c>
      <c r="C4608" s="1" t="s">
        <v>126</v>
      </c>
      <c r="D4608" s="1" t="s">
        <v>127</v>
      </c>
      <c r="E4608" s="3">
        <v>6242</v>
      </c>
      <c r="F4608" s="1" t="s">
        <v>36</v>
      </c>
      <c r="G4608" s="1">
        <v>0</v>
      </c>
      <c r="H4608" s="1">
        <v>0</v>
      </c>
      <c r="I4608" s="1">
        <v>0.37879699999999999</v>
      </c>
    </row>
    <row r="4609" spans="1:9" x14ac:dyDescent="0.25">
      <c r="A4609" s="1">
        <v>2310370104</v>
      </c>
      <c r="B4609" s="1" t="s">
        <v>2709</v>
      </c>
      <c r="C4609" s="1" t="s">
        <v>130</v>
      </c>
      <c r="D4609" s="1" t="s">
        <v>131</v>
      </c>
      <c r="E4609" s="3">
        <v>1911</v>
      </c>
      <c r="F4609" s="1" t="s">
        <v>36</v>
      </c>
      <c r="G4609" s="1">
        <v>0</v>
      </c>
      <c r="H4609" s="1">
        <v>0</v>
      </c>
      <c r="I4609" s="1">
        <v>0.38645200000000002</v>
      </c>
    </row>
    <row r="4610" spans="1:9" x14ac:dyDescent="0.25">
      <c r="A4610" s="1">
        <v>2310370104</v>
      </c>
      <c r="B4610" s="1" t="s">
        <v>2709</v>
      </c>
      <c r="C4610" s="1" t="s">
        <v>126</v>
      </c>
      <c r="D4610" s="1" t="s">
        <v>127</v>
      </c>
      <c r="E4610" s="3">
        <v>4202</v>
      </c>
      <c r="F4610" s="1" t="s">
        <v>36</v>
      </c>
      <c r="G4610" s="1">
        <v>0</v>
      </c>
      <c r="H4610" s="1">
        <v>0</v>
      </c>
      <c r="I4610" s="1">
        <v>0.387465</v>
      </c>
    </row>
    <row r="4611" spans="1:9" x14ac:dyDescent="0.25">
      <c r="A4611" s="1">
        <v>2310370109</v>
      </c>
      <c r="B4611" s="1" t="s">
        <v>2710</v>
      </c>
      <c r="C4611" s="1" t="s">
        <v>130</v>
      </c>
      <c r="D4611" s="1" t="s">
        <v>131</v>
      </c>
      <c r="E4611" s="1">
        <v>470</v>
      </c>
      <c r="F4611" s="1" t="s">
        <v>36</v>
      </c>
      <c r="G4611" s="1">
        <v>0</v>
      </c>
      <c r="H4611" s="1">
        <v>0</v>
      </c>
      <c r="I4611" s="1">
        <v>0.38308500000000001</v>
      </c>
    </row>
    <row r="4612" spans="1:9" x14ac:dyDescent="0.25">
      <c r="A4612" s="1">
        <v>2310370110</v>
      </c>
      <c r="B4612" s="1" t="s">
        <v>2711</v>
      </c>
      <c r="C4612" s="1" t="s">
        <v>130</v>
      </c>
      <c r="D4612" s="1" t="s">
        <v>131</v>
      </c>
      <c r="E4612" s="1">
        <v>470</v>
      </c>
      <c r="F4612" s="1" t="s">
        <v>36</v>
      </c>
      <c r="G4612" s="1">
        <v>0</v>
      </c>
      <c r="H4612" s="1">
        <v>0</v>
      </c>
      <c r="I4612" s="1">
        <v>0.38314900000000002</v>
      </c>
    </row>
    <row r="4613" spans="1:9" x14ac:dyDescent="0.25">
      <c r="A4613" s="1">
        <v>2310370111</v>
      </c>
      <c r="B4613" s="1" t="s">
        <v>2712</v>
      </c>
      <c r="C4613" s="1" t="s">
        <v>130</v>
      </c>
      <c r="D4613" s="1" t="s">
        <v>131</v>
      </c>
      <c r="E4613" s="1">
        <v>470</v>
      </c>
      <c r="F4613" s="1" t="s">
        <v>36</v>
      </c>
      <c r="G4613" s="1">
        <v>0</v>
      </c>
      <c r="H4613" s="1">
        <v>0</v>
      </c>
      <c r="I4613" s="1">
        <v>0.38308500000000001</v>
      </c>
    </row>
    <row r="4614" spans="1:9" x14ac:dyDescent="0.25">
      <c r="A4614" s="1">
        <v>2310370137</v>
      </c>
      <c r="B4614" s="1" t="s">
        <v>2713</v>
      </c>
      <c r="C4614" s="1" t="s">
        <v>130</v>
      </c>
      <c r="D4614" s="1" t="s">
        <v>131</v>
      </c>
      <c r="E4614" s="1">
        <v>784</v>
      </c>
      <c r="F4614" s="1" t="s">
        <v>36</v>
      </c>
      <c r="G4614" s="1">
        <v>0</v>
      </c>
      <c r="H4614" s="1">
        <v>0</v>
      </c>
      <c r="I4614" s="1">
        <v>0.436811</v>
      </c>
    </row>
    <row r="4615" spans="1:9" x14ac:dyDescent="0.25">
      <c r="A4615" s="1">
        <v>2310370138</v>
      </c>
      <c r="B4615" s="1" t="s">
        <v>2714</v>
      </c>
      <c r="C4615" s="1" t="s">
        <v>130</v>
      </c>
      <c r="D4615" s="1" t="s">
        <v>131</v>
      </c>
      <c r="E4615" s="3">
        <v>1068</v>
      </c>
      <c r="F4615" s="1" t="s">
        <v>36</v>
      </c>
      <c r="G4615" s="1">
        <v>0</v>
      </c>
      <c r="H4615" s="1">
        <v>0</v>
      </c>
      <c r="I4615" s="1">
        <v>0.47574899999999998</v>
      </c>
    </row>
    <row r="4616" spans="1:9" x14ac:dyDescent="0.25">
      <c r="A4616" s="1">
        <v>2310370139</v>
      </c>
      <c r="B4616" s="1" t="s">
        <v>2715</v>
      </c>
      <c r="C4616" s="1" t="s">
        <v>130</v>
      </c>
      <c r="D4616" s="1" t="s">
        <v>131</v>
      </c>
      <c r="E4616" s="1">
        <v>727</v>
      </c>
      <c r="F4616" s="1" t="s">
        <v>36</v>
      </c>
      <c r="G4616" s="1">
        <v>0</v>
      </c>
      <c r="H4616" s="1">
        <v>0</v>
      </c>
      <c r="I4616" s="1">
        <v>0.47548800000000002</v>
      </c>
    </row>
    <row r="4617" spans="1:9" x14ac:dyDescent="0.25">
      <c r="A4617" s="1">
        <v>2310390001</v>
      </c>
      <c r="B4617" s="1" t="s">
        <v>2716</v>
      </c>
      <c r="C4617" s="1" t="s">
        <v>157</v>
      </c>
      <c r="D4617" s="1" t="s">
        <v>158</v>
      </c>
      <c r="E4617" s="3">
        <v>3032</v>
      </c>
      <c r="F4617" s="1" t="s">
        <v>36</v>
      </c>
      <c r="G4617" s="1">
        <v>0</v>
      </c>
      <c r="H4617" s="3">
        <v>0</v>
      </c>
      <c r="I4617" s="1">
        <v>0.25872699999999998</v>
      </c>
    </row>
    <row r="4618" spans="1:9" x14ac:dyDescent="0.25">
      <c r="A4618" s="1">
        <v>2310390004</v>
      </c>
      <c r="B4618" s="1" t="s">
        <v>2717</v>
      </c>
      <c r="C4618" s="1" t="s">
        <v>157</v>
      </c>
      <c r="D4618" s="1" t="s">
        <v>158</v>
      </c>
      <c r="E4618" s="1">
        <v>337</v>
      </c>
      <c r="F4618" s="1" t="s">
        <v>36</v>
      </c>
      <c r="G4618" s="1">
        <v>0</v>
      </c>
      <c r="H4618" s="1">
        <v>0</v>
      </c>
      <c r="I4618" s="1">
        <v>7.9614000000000004E-2</v>
      </c>
    </row>
    <row r="4619" spans="1:9" x14ac:dyDescent="0.25">
      <c r="A4619" s="1">
        <v>2310390005</v>
      </c>
      <c r="B4619" s="1" t="s">
        <v>2718</v>
      </c>
      <c r="C4619" s="1" t="s">
        <v>157</v>
      </c>
      <c r="D4619" s="1" t="s">
        <v>158</v>
      </c>
      <c r="E4619" s="3">
        <v>2310</v>
      </c>
      <c r="F4619" s="1" t="s">
        <v>36</v>
      </c>
      <c r="G4619" s="1">
        <v>0</v>
      </c>
      <c r="H4619" s="1">
        <v>0</v>
      </c>
      <c r="I4619" s="1">
        <v>0.31204300000000001</v>
      </c>
    </row>
    <row r="4620" spans="1:9" x14ac:dyDescent="0.25">
      <c r="A4620" s="1">
        <v>2310390007</v>
      </c>
      <c r="B4620" s="1" t="s">
        <v>2719</v>
      </c>
      <c r="C4620" s="1" t="s">
        <v>157</v>
      </c>
      <c r="D4620" s="1" t="s">
        <v>158</v>
      </c>
      <c r="E4620" s="3">
        <v>4100</v>
      </c>
      <c r="F4620" s="1" t="s">
        <v>36</v>
      </c>
      <c r="G4620" s="1">
        <v>0</v>
      </c>
      <c r="H4620" s="1">
        <v>0</v>
      </c>
      <c r="I4620" s="1">
        <v>0.21050199999999999</v>
      </c>
    </row>
    <row r="4621" spans="1:9" x14ac:dyDescent="0.25">
      <c r="A4621" s="1">
        <v>2310390008</v>
      </c>
      <c r="B4621" s="1" t="s">
        <v>2720</v>
      </c>
      <c r="C4621" s="1" t="s">
        <v>157</v>
      </c>
      <c r="D4621" s="1" t="s">
        <v>158</v>
      </c>
      <c r="E4621" s="3">
        <v>3130</v>
      </c>
      <c r="F4621" s="1" t="s">
        <v>36</v>
      </c>
      <c r="G4621" s="1">
        <v>0</v>
      </c>
      <c r="H4621" s="1">
        <v>0</v>
      </c>
      <c r="I4621" s="1">
        <v>0.24021100000000001</v>
      </c>
    </row>
    <row r="4622" spans="1:9" x14ac:dyDescent="0.25">
      <c r="A4622" s="1">
        <v>2310390023</v>
      </c>
      <c r="B4622" s="1" t="s">
        <v>2721</v>
      </c>
      <c r="C4622" s="1" t="s">
        <v>157</v>
      </c>
      <c r="D4622" s="1" t="s">
        <v>158</v>
      </c>
      <c r="E4622" s="1">
        <v>409</v>
      </c>
      <c r="F4622" s="1" t="s">
        <v>36</v>
      </c>
      <c r="G4622" s="3">
        <v>0</v>
      </c>
      <c r="H4622" s="1">
        <v>0</v>
      </c>
      <c r="I4622" s="1">
        <v>0.09</v>
      </c>
    </row>
    <row r="4623" spans="1:9" x14ac:dyDescent="0.25">
      <c r="A4623" s="1">
        <v>2310390029</v>
      </c>
      <c r="B4623" s="1" t="s">
        <v>2722</v>
      </c>
      <c r="C4623" s="1" t="s">
        <v>157</v>
      </c>
      <c r="D4623" s="1" t="s">
        <v>158</v>
      </c>
      <c r="E4623" s="1">
        <v>447</v>
      </c>
      <c r="F4623" s="1" t="s">
        <v>36</v>
      </c>
      <c r="G4623" s="1">
        <v>0</v>
      </c>
      <c r="H4623" s="1">
        <v>0</v>
      </c>
      <c r="I4623" s="1">
        <v>8.6934999999999998E-2</v>
      </c>
    </row>
    <row r="4624" spans="1:9" x14ac:dyDescent="0.25">
      <c r="A4624" s="1">
        <v>2310390030</v>
      </c>
      <c r="B4624" s="1" t="s">
        <v>2723</v>
      </c>
      <c r="C4624" s="1" t="s">
        <v>157</v>
      </c>
      <c r="D4624" s="1" t="s">
        <v>158</v>
      </c>
      <c r="E4624" s="3">
        <v>5676</v>
      </c>
      <c r="F4624" s="1" t="s">
        <v>36</v>
      </c>
      <c r="G4624" s="1">
        <v>0</v>
      </c>
      <c r="H4624" s="1">
        <v>0</v>
      </c>
      <c r="I4624" s="1">
        <v>8.6128999999999997E-2</v>
      </c>
    </row>
    <row r="4625" spans="1:9" x14ac:dyDescent="0.25">
      <c r="A4625" s="1">
        <v>2310390032</v>
      </c>
      <c r="B4625" s="1" t="s">
        <v>2724</v>
      </c>
      <c r="C4625" s="1" t="s">
        <v>157</v>
      </c>
      <c r="D4625" s="1" t="s">
        <v>158</v>
      </c>
      <c r="E4625" s="1">
        <v>803</v>
      </c>
      <c r="F4625" s="1" t="s">
        <v>36</v>
      </c>
      <c r="G4625" s="1">
        <v>0</v>
      </c>
      <c r="H4625" s="1">
        <v>0</v>
      </c>
      <c r="I4625" s="1">
        <v>8.7895000000000001E-2</v>
      </c>
    </row>
    <row r="4626" spans="1:9" x14ac:dyDescent="0.25">
      <c r="A4626" s="1">
        <v>2310390034</v>
      </c>
      <c r="B4626" s="1" t="s">
        <v>2725</v>
      </c>
      <c r="C4626" s="1" t="s">
        <v>157</v>
      </c>
      <c r="D4626" s="1" t="s">
        <v>158</v>
      </c>
      <c r="E4626" s="1">
        <v>575</v>
      </c>
      <c r="F4626" s="1" t="s">
        <v>36</v>
      </c>
      <c r="G4626" s="1">
        <v>0</v>
      </c>
      <c r="H4626" s="1">
        <v>0</v>
      </c>
      <c r="I4626" s="1">
        <v>0.16793</v>
      </c>
    </row>
    <row r="4627" spans="1:9" x14ac:dyDescent="0.25">
      <c r="A4627" s="1">
        <v>2310390035</v>
      </c>
      <c r="B4627" s="1" t="s">
        <v>2726</v>
      </c>
      <c r="C4627" s="1" t="s">
        <v>157</v>
      </c>
      <c r="D4627" s="1" t="s">
        <v>158</v>
      </c>
      <c r="E4627" s="1">
        <v>16</v>
      </c>
      <c r="F4627" s="1" t="s">
        <v>36</v>
      </c>
      <c r="G4627" s="1">
        <v>0</v>
      </c>
      <c r="H4627" s="1">
        <v>0</v>
      </c>
      <c r="I4627" s="1">
        <v>0.1275</v>
      </c>
    </row>
    <row r="4628" spans="1:9" x14ac:dyDescent="0.25">
      <c r="A4628" s="1">
        <v>2310390037</v>
      </c>
      <c r="B4628" s="1" t="s">
        <v>2727</v>
      </c>
      <c r="C4628" s="1" t="s">
        <v>157</v>
      </c>
      <c r="D4628" s="1" t="s">
        <v>158</v>
      </c>
      <c r="E4628" s="1">
        <v>8</v>
      </c>
      <c r="F4628" s="1" t="s">
        <v>36</v>
      </c>
      <c r="G4628" s="1">
        <v>0</v>
      </c>
      <c r="H4628" s="1">
        <v>0</v>
      </c>
      <c r="I4628" s="1">
        <v>0.12</v>
      </c>
    </row>
    <row r="4629" spans="1:9" x14ac:dyDescent="0.25">
      <c r="A4629" s="1">
        <v>2310390038</v>
      </c>
      <c r="B4629" s="1" t="s">
        <v>2728</v>
      </c>
      <c r="C4629" s="1" t="s">
        <v>157</v>
      </c>
      <c r="D4629" s="1" t="s">
        <v>158</v>
      </c>
      <c r="E4629" s="1">
        <v>14</v>
      </c>
      <c r="F4629" s="1" t="s">
        <v>36</v>
      </c>
      <c r="G4629" s="1">
        <v>0</v>
      </c>
      <c r="H4629" s="1">
        <v>0</v>
      </c>
      <c r="I4629" s="1">
        <v>0.12285699999999999</v>
      </c>
    </row>
    <row r="4630" spans="1:9" x14ac:dyDescent="0.25">
      <c r="A4630" s="1">
        <v>2310390039</v>
      </c>
      <c r="B4630" s="1" t="s">
        <v>2729</v>
      </c>
      <c r="C4630" s="1" t="s">
        <v>157</v>
      </c>
      <c r="D4630" s="1" t="s">
        <v>158</v>
      </c>
      <c r="E4630" s="1">
        <v>36</v>
      </c>
      <c r="F4630" s="1" t="s">
        <v>36</v>
      </c>
      <c r="G4630" s="1">
        <v>0</v>
      </c>
      <c r="H4630" s="1">
        <v>0</v>
      </c>
      <c r="I4630" s="1">
        <v>0.13694400000000001</v>
      </c>
    </row>
    <row r="4631" spans="1:9" x14ac:dyDescent="0.25">
      <c r="A4631" s="1">
        <v>2310390041</v>
      </c>
      <c r="B4631" s="1" t="s">
        <v>2730</v>
      </c>
      <c r="C4631" s="1" t="s">
        <v>157</v>
      </c>
      <c r="D4631" s="1" t="s">
        <v>158</v>
      </c>
      <c r="E4631" s="1">
        <v>808</v>
      </c>
      <c r="F4631" s="1" t="s">
        <v>36</v>
      </c>
      <c r="G4631" s="1">
        <v>0</v>
      </c>
      <c r="H4631" s="1">
        <v>0</v>
      </c>
      <c r="I4631" s="1">
        <v>0.20104</v>
      </c>
    </row>
    <row r="4632" spans="1:9" x14ac:dyDescent="0.25">
      <c r="A4632" s="1">
        <v>2310390042</v>
      </c>
      <c r="B4632" s="1" t="s">
        <v>2731</v>
      </c>
      <c r="C4632" s="1" t="s">
        <v>157</v>
      </c>
      <c r="D4632" s="1" t="s">
        <v>158</v>
      </c>
      <c r="E4632" s="1">
        <v>206</v>
      </c>
      <c r="F4632" s="1" t="s">
        <v>36</v>
      </c>
      <c r="G4632" s="1">
        <v>0</v>
      </c>
      <c r="H4632" s="1">
        <v>0</v>
      </c>
      <c r="I4632" s="1">
        <v>0.30859199999999998</v>
      </c>
    </row>
    <row r="4633" spans="1:9" x14ac:dyDescent="0.25">
      <c r="A4633" s="1">
        <v>2310390053</v>
      </c>
      <c r="B4633" s="1" t="s">
        <v>2732</v>
      </c>
      <c r="C4633" s="1" t="s">
        <v>157</v>
      </c>
      <c r="D4633" s="1" t="s">
        <v>158</v>
      </c>
      <c r="E4633" s="1">
        <v>115</v>
      </c>
      <c r="F4633" s="1" t="s">
        <v>36</v>
      </c>
      <c r="G4633" s="1">
        <v>0</v>
      </c>
      <c r="H4633" s="1">
        <v>0</v>
      </c>
      <c r="I4633" s="1">
        <v>3.6989570000000001</v>
      </c>
    </row>
    <row r="4634" spans="1:9" x14ac:dyDescent="0.25">
      <c r="A4634" s="1">
        <v>2310390055</v>
      </c>
      <c r="B4634" s="1" t="s">
        <v>2733</v>
      </c>
      <c r="C4634" s="1" t="s">
        <v>157</v>
      </c>
      <c r="D4634" s="1" t="s">
        <v>158</v>
      </c>
      <c r="E4634" s="3">
        <v>1800</v>
      </c>
      <c r="F4634" s="1" t="s">
        <v>36</v>
      </c>
      <c r="G4634" s="1">
        <v>0</v>
      </c>
      <c r="H4634" s="1">
        <v>0</v>
      </c>
      <c r="I4634" s="1">
        <v>0.120833</v>
      </c>
    </row>
    <row r="4635" spans="1:9" x14ac:dyDescent="0.25">
      <c r="A4635" s="1">
        <v>2310390064</v>
      </c>
      <c r="B4635" s="1" t="s">
        <v>1867</v>
      </c>
      <c r="C4635" s="1" t="s">
        <v>130</v>
      </c>
      <c r="D4635" s="1" t="s">
        <v>131</v>
      </c>
      <c r="E4635" s="3">
        <v>5530</v>
      </c>
      <c r="F4635" s="1" t="s">
        <v>36</v>
      </c>
      <c r="G4635" s="1">
        <v>0</v>
      </c>
      <c r="H4635" s="1">
        <v>0</v>
      </c>
      <c r="I4635" s="1">
        <v>0.113967</v>
      </c>
    </row>
    <row r="4636" spans="1:9" x14ac:dyDescent="0.25">
      <c r="A4636" s="1">
        <v>2310390070</v>
      </c>
      <c r="B4636" s="1" t="s">
        <v>2734</v>
      </c>
      <c r="C4636" s="1" t="s">
        <v>157</v>
      </c>
      <c r="D4636" s="1" t="s">
        <v>158</v>
      </c>
      <c r="E4636" s="1">
        <v>10</v>
      </c>
      <c r="F4636" s="1" t="s">
        <v>36</v>
      </c>
      <c r="G4636" s="1">
        <v>0</v>
      </c>
      <c r="H4636" s="1">
        <v>0</v>
      </c>
      <c r="I4636" s="1">
        <v>3.544</v>
      </c>
    </row>
    <row r="4637" spans="1:9" x14ac:dyDescent="0.25">
      <c r="A4637" s="1">
        <v>2310410001</v>
      </c>
      <c r="B4637" s="1" t="s">
        <v>2735</v>
      </c>
      <c r="C4637" s="1" t="s">
        <v>130</v>
      </c>
      <c r="D4637" s="1" t="s">
        <v>131</v>
      </c>
      <c r="E4637" s="1">
        <v>103</v>
      </c>
      <c r="F4637" s="1" t="s">
        <v>36</v>
      </c>
      <c r="G4637" s="1">
        <v>0</v>
      </c>
      <c r="H4637" s="1">
        <v>0</v>
      </c>
      <c r="I4637" s="1">
        <v>0.25825199999999998</v>
      </c>
    </row>
    <row r="4638" spans="1:9" x14ac:dyDescent="0.25">
      <c r="A4638" s="1">
        <v>2310410012</v>
      </c>
      <c r="B4638" s="1" t="s">
        <v>2736</v>
      </c>
      <c r="C4638" s="1" t="s">
        <v>130</v>
      </c>
      <c r="D4638" s="1" t="s">
        <v>131</v>
      </c>
      <c r="E4638" s="3">
        <v>1055</v>
      </c>
      <c r="F4638" s="1" t="s">
        <v>36</v>
      </c>
      <c r="G4638" s="1">
        <v>0</v>
      </c>
      <c r="H4638" s="1">
        <v>0</v>
      </c>
      <c r="I4638" s="1">
        <v>3.1133549999999999</v>
      </c>
    </row>
    <row r="4639" spans="1:9" x14ac:dyDescent="0.25">
      <c r="A4639" s="1">
        <v>2310410037</v>
      </c>
      <c r="B4639" s="1" t="s">
        <v>2737</v>
      </c>
      <c r="C4639" s="1" t="s">
        <v>130</v>
      </c>
      <c r="D4639" s="1" t="s">
        <v>131</v>
      </c>
      <c r="E4639" s="3">
        <v>37</v>
      </c>
      <c r="F4639" s="1" t="s">
        <v>36</v>
      </c>
      <c r="G4639" s="1">
        <v>0</v>
      </c>
      <c r="H4639" s="1">
        <v>0</v>
      </c>
      <c r="I4639" s="1">
        <v>1.248378</v>
      </c>
    </row>
    <row r="4640" spans="1:9" x14ac:dyDescent="0.25">
      <c r="A4640" s="1">
        <v>2310410044</v>
      </c>
      <c r="B4640" s="1" t="s">
        <v>2738</v>
      </c>
      <c r="C4640" s="1" t="s">
        <v>130</v>
      </c>
      <c r="D4640" s="1" t="s">
        <v>131</v>
      </c>
      <c r="E4640" s="3">
        <v>12</v>
      </c>
      <c r="F4640" s="1" t="s">
        <v>36</v>
      </c>
      <c r="G4640" s="1">
        <v>0</v>
      </c>
      <c r="H4640" s="1">
        <v>0</v>
      </c>
      <c r="I4640" s="1">
        <v>8.42</v>
      </c>
    </row>
    <row r="4641" spans="1:9" x14ac:dyDescent="0.25">
      <c r="A4641" s="1">
        <v>2310440001</v>
      </c>
      <c r="B4641" s="1" t="s">
        <v>2739</v>
      </c>
      <c r="C4641" s="1" t="s">
        <v>130</v>
      </c>
      <c r="D4641" s="1" t="s">
        <v>131</v>
      </c>
      <c r="E4641" s="1">
        <v>225</v>
      </c>
      <c r="F4641" s="1" t="s">
        <v>36</v>
      </c>
      <c r="G4641" s="1">
        <v>0</v>
      </c>
      <c r="H4641" s="1">
        <v>0</v>
      </c>
      <c r="I4641" s="1">
        <v>0.93475600000000003</v>
      </c>
    </row>
    <row r="4642" spans="1:9" x14ac:dyDescent="0.25">
      <c r="A4642" s="1">
        <v>2310440004</v>
      </c>
      <c r="B4642" s="1" t="s">
        <v>2740</v>
      </c>
      <c r="C4642" s="1" t="s">
        <v>130</v>
      </c>
      <c r="D4642" s="1" t="s">
        <v>131</v>
      </c>
      <c r="E4642" s="1">
        <v>329</v>
      </c>
      <c r="F4642" s="1" t="s">
        <v>36</v>
      </c>
      <c r="G4642" s="1">
        <v>0</v>
      </c>
      <c r="H4642" s="1">
        <v>0</v>
      </c>
      <c r="I4642" s="1">
        <v>0.94243200000000005</v>
      </c>
    </row>
    <row r="4643" spans="1:9" x14ac:dyDescent="0.25">
      <c r="A4643" s="1">
        <v>2310440005</v>
      </c>
      <c r="B4643" s="1" t="s">
        <v>2741</v>
      </c>
      <c r="C4643" s="1" t="s">
        <v>130</v>
      </c>
      <c r="D4643" s="1" t="s">
        <v>131</v>
      </c>
      <c r="E4643" s="1">
        <v>79</v>
      </c>
      <c r="F4643" s="1" t="s">
        <v>36</v>
      </c>
      <c r="G4643" s="1">
        <v>0</v>
      </c>
      <c r="H4643" s="1">
        <v>0</v>
      </c>
      <c r="I4643" s="1">
        <v>0.93683499999999997</v>
      </c>
    </row>
    <row r="4644" spans="1:9" x14ac:dyDescent="0.25">
      <c r="A4644" s="1">
        <v>2310440007</v>
      </c>
      <c r="B4644" s="1" t="s">
        <v>2742</v>
      </c>
      <c r="C4644" s="1" t="s">
        <v>130</v>
      </c>
      <c r="D4644" s="1" t="s">
        <v>131</v>
      </c>
      <c r="E4644" s="3">
        <v>180</v>
      </c>
      <c r="F4644" s="1" t="s">
        <v>36</v>
      </c>
      <c r="G4644" s="1">
        <v>0</v>
      </c>
      <c r="H4644" s="1">
        <v>0</v>
      </c>
      <c r="I4644" s="1">
        <v>0.9375</v>
      </c>
    </row>
    <row r="4645" spans="1:9" x14ac:dyDescent="0.25">
      <c r="A4645" s="1">
        <v>2310440008</v>
      </c>
      <c r="B4645" s="1" t="s">
        <v>2743</v>
      </c>
      <c r="C4645" s="1" t="s">
        <v>130</v>
      </c>
      <c r="D4645" s="1" t="s">
        <v>131</v>
      </c>
      <c r="E4645" s="1">
        <v>168</v>
      </c>
      <c r="F4645" s="1" t="s">
        <v>36</v>
      </c>
      <c r="G4645" s="3">
        <v>0</v>
      </c>
      <c r="H4645" s="3">
        <v>0</v>
      </c>
      <c r="I4645" s="1">
        <v>1.035952</v>
      </c>
    </row>
    <row r="4646" spans="1:9" x14ac:dyDescent="0.25">
      <c r="A4646" s="1">
        <v>2310440041</v>
      </c>
      <c r="B4646" s="1" t="s">
        <v>2744</v>
      </c>
      <c r="C4646" s="1" t="s">
        <v>130</v>
      </c>
      <c r="D4646" s="1" t="s">
        <v>131</v>
      </c>
      <c r="E4646" s="1">
        <v>352</v>
      </c>
      <c r="F4646" s="1" t="s">
        <v>36</v>
      </c>
      <c r="G4646" s="1">
        <v>0</v>
      </c>
      <c r="H4646" s="1">
        <v>0</v>
      </c>
      <c r="I4646" s="1">
        <v>0.93374999999999997</v>
      </c>
    </row>
    <row r="4647" spans="1:9" x14ac:dyDescent="0.25">
      <c r="A4647" s="1">
        <v>2310440042</v>
      </c>
      <c r="B4647" s="1" t="s">
        <v>2745</v>
      </c>
      <c r="C4647" s="1" t="s">
        <v>130</v>
      </c>
      <c r="D4647" s="1" t="s">
        <v>131</v>
      </c>
      <c r="E4647" s="1">
        <v>380</v>
      </c>
      <c r="F4647" s="1" t="s">
        <v>36</v>
      </c>
      <c r="G4647" s="1">
        <v>0</v>
      </c>
      <c r="H4647" s="1">
        <v>0</v>
      </c>
      <c r="I4647" s="1">
        <v>0.93352599999999997</v>
      </c>
    </row>
    <row r="4648" spans="1:9" x14ac:dyDescent="0.25">
      <c r="A4648" s="1">
        <v>2310440043</v>
      </c>
      <c r="B4648" s="1" t="s">
        <v>2746</v>
      </c>
      <c r="C4648" s="1" t="s">
        <v>130</v>
      </c>
      <c r="D4648" s="1" t="s">
        <v>131</v>
      </c>
      <c r="E4648" s="3">
        <v>4241</v>
      </c>
      <c r="F4648" s="1" t="s">
        <v>36</v>
      </c>
      <c r="G4648" s="1">
        <v>0</v>
      </c>
      <c r="H4648" s="1">
        <v>0</v>
      </c>
      <c r="I4648" s="1">
        <v>1.0924970000000001</v>
      </c>
    </row>
    <row r="4649" spans="1:9" x14ac:dyDescent="0.25">
      <c r="A4649" s="1">
        <v>2310440044</v>
      </c>
      <c r="B4649" s="1" t="s">
        <v>2747</v>
      </c>
      <c r="C4649" s="1" t="s">
        <v>130</v>
      </c>
      <c r="D4649" s="1" t="s">
        <v>131</v>
      </c>
      <c r="E4649" s="1">
        <v>315</v>
      </c>
      <c r="F4649" s="1" t="s">
        <v>36</v>
      </c>
      <c r="G4649" s="1">
        <v>0</v>
      </c>
      <c r="H4649" s="1">
        <v>0</v>
      </c>
      <c r="I4649" s="1">
        <v>0.92228600000000005</v>
      </c>
    </row>
    <row r="4650" spans="1:9" x14ac:dyDescent="0.25">
      <c r="A4650" s="1">
        <v>2310440045</v>
      </c>
      <c r="B4650" s="1" t="s">
        <v>2748</v>
      </c>
      <c r="C4650" s="1" t="s">
        <v>130</v>
      </c>
      <c r="D4650" s="1" t="s">
        <v>131</v>
      </c>
      <c r="E4650" s="3">
        <v>5</v>
      </c>
      <c r="F4650" s="1" t="s">
        <v>36</v>
      </c>
      <c r="G4650" s="1">
        <v>0</v>
      </c>
      <c r="H4650" s="1">
        <v>0</v>
      </c>
      <c r="I4650" s="1">
        <v>0.86199999999999999</v>
      </c>
    </row>
    <row r="4651" spans="1:9" x14ac:dyDescent="0.25">
      <c r="A4651" s="1">
        <v>2310480033</v>
      </c>
      <c r="B4651" s="1" t="s">
        <v>2749</v>
      </c>
      <c r="C4651" s="1" t="s">
        <v>130</v>
      </c>
      <c r="D4651" s="1" t="s">
        <v>131</v>
      </c>
      <c r="E4651" s="3">
        <v>410</v>
      </c>
      <c r="F4651" s="1" t="s">
        <v>36</v>
      </c>
      <c r="G4651" s="1">
        <v>0</v>
      </c>
      <c r="H4651" s="1">
        <v>0</v>
      </c>
      <c r="I4651" s="1">
        <v>1.5617319999999999</v>
      </c>
    </row>
    <row r="4652" spans="1:9" x14ac:dyDescent="0.25">
      <c r="A4652" s="1">
        <v>2310480058</v>
      </c>
      <c r="B4652" s="1" t="s">
        <v>2750</v>
      </c>
      <c r="C4652" s="1" t="s">
        <v>139</v>
      </c>
      <c r="D4652" s="1" t="s">
        <v>140</v>
      </c>
      <c r="E4652" s="3">
        <v>25265</v>
      </c>
      <c r="F4652" s="1" t="s">
        <v>36</v>
      </c>
      <c r="G4652" s="1">
        <v>0</v>
      </c>
      <c r="H4652" s="1">
        <v>0</v>
      </c>
      <c r="I4652" s="1">
        <v>0.2</v>
      </c>
    </row>
    <row r="4653" spans="1:9" x14ac:dyDescent="0.25">
      <c r="A4653" s="1">
        <v>2320010028</v>
      </c>
      <c r="B4653" s="1" t="s">
        <v>2751</v>
      </c>
      <c r="C4653" s="1" t="s">
        <v>2752</v>
      </c>
      <c r="D4653" s="1" t="s">
        <v>2753</v>
      </c>
      <c r="E4653" s="3">
        <v>5500</v>
      </c>
      <c r="F4653" s="1" t="s">
        <v>36</v>
      </c>
      <c r="G4653" s="1">
        <v>0</v>
      </c>
      <c r="H4653" s="1">
        <v>0</v>
      </c>
      <c r="I4653" s="1">
        <v>0.27898200000000001</v>
      </c>
    </row>
    <row r="4654" spans="1:9" x14ac:dyDescent="0.25">
      <c r="A4654" s="1">
        <v>2320010028</v>
      </c>
      <c r="B4654" s="1" t="s">
        <v>2751</v>
      </c>
      <c r="C4654" s="1" t="s">
        <v>167</v>
      </c>
      <c r="D4654" s="1" t="s">
        <v>168</v>
      </c>
      <c r="E4654" s="3">
        <v>505</v>
      </c>
      <c r="F4654" s="1" t="s">
        <v>36</v>
      </c>
      <c r="G4654" s="1">
        <v>0</v>
      </c>
      <c r="H4654" s="1">
        <v>0</v>
      </c>
      <c r="I4654" s="1">
        <v>0.27897</v>
      </c>
    </row>
    <row r="4655" spans="1:9" x14ac:dyDescent="0.25">
      <c r="A4655" s="1">
        <v>2320010034</v>
      </c>
      <c r="B4655" s="1" t="s">
        <v>2754</v>
      </c>
      <c r="C4655" s="1" t="s">
        <v>167</v>
      </c>
      <c r="D4655" s="1" t="s">
        <v>168</v>
      </c>
      <c r="E4655" s="3">
        <v>8945</v>
      </c>
      <c r="F4655" s="1" t="s">
        <v>36</v>
      </c>
      <c r="G4655" s="1">
        <v>0</v>
      </c>
      <c r="H4655" s="1">
        <v>0</v>
      </c>
      <c r="I4655" s="1">
        <v>0.40124399999999999</v>
      </c>
    </row>
    <row r="4656" spans="1:9" x14ac:dyDescent="0.25">
      <c r="A4656" s="1">
        <v>2320010067</v>
      </c>
      <c r="B4656" s="1" t="s">
        <v>2755</v>
      </c>
      <c r="C4656" s="1" t="s">
        <v>307</v>
      </c>
      <c r="D4656" s="1" t="s">
        <v>308</v>
      </c>
      <c r="E4656" s="3">
        <v>10000</v>
      </c>
      <c r="F4656" s="1" t="s">
        <v>36</v>
      </c>
      <c r="G4656" s="1">
        <v>0</v>
      </c>
      <c r="H4656" s="1">
        <v>0</v>
      </c>
      <c r="I4656" s="1">
        <v>0.221744</v>
      </c>
    </row>
    <row r="4657" spans="1:9" x14ac:dyDescent="0.25">
      <c r="A4657" s="1">
        <v>2320010067</v>
      </c>
      <c r="B4657" s="1" t="s">
        <v>2755</v>
      </c>
      <c r="C4657" s="1" t="s">
        <v>2752</v>
      </c>
      <c r="D4657" s="1" t="s">
        <v>2753</v>
      </c>
      <c r="E4657" s="3">
        <v>4200</v>
      </c>
      <c r="F4657" s="1" t="s">
        <v>36</v>
      </c>
      <c r="G4657" s="1">
        <v>0</v>
      </c>
      <c r="H4657" s="1">
        <v>0</v>
      </c>
      <c r="I4657" s="1">
        <v>0.41474499999999997</v>
      </c>
    </row>
    <row r="4658" spans="1:9" x14ac:dyDescent="0.25">
      <c r="A4658" s="1">
        <v>2320010067</v>
      </c>
      <c r="B4658" s="1" t="s">
        <v>2755</v>
      </c>
      <c r="C4658" s="1" t="s">
        <v>167</v>
      </c>
      <c r="D4658" s="1" t="s">
        <v>168</v>
      </c>
      <c r="E4658" s="1">
        <v>450</v>
      </c>
      <c r="F4658" s="1" t="s">
        <v>36</v>
      </c>
      <c r="G4658" s="1">
        <v>0</v>
      </c>
      <c r="H4658" s="1">
        <v>0</v>
      </c>
      <c r="I4658" s="1">
        <v>0.41475600000000001</v>
      </c>
    </row>
    <row r="4659" spans="1:9" x14ac:dyDescent="0.25">
      <c r="A4659" s="1">
        <v>2320030001</v>
      </c>
      <c r="B4659" s="1" t="s">
        <v>2756</v>
      </c>
      <c r="C4659" s="1" t="s">
        <v>2752</v>
      </c>
      <c r="D4659" s="1" t="s">
        <v>2753</v>
      </c>
      <c r="E4659" s="3">
        <v>114500</v>
      </c>
      <c r="F4659" s="1" t="s">
        <v>36</v>
      </c>
      <c r="G4659" s="1">
        <v>0</v>
      </c>
      <c r="H4659" s="1">
        <v>0</v>
      </c>
      <c r="I4659" s="1">
        <v>5.6570000000000002E-2</v>
      </c>
    </row>
    <row r="4660" spans="1:9" x14ac:dyDescent="0.25">
      <c r="A4660" s="1">
        <v>2320030001</v>
      </c>
      <c r="B4660" s="1" t="s">
        <v>2756</v>
      </c>
      <c r="C4660" s="1" t="s">
        <v>167</v>
      </c>
      <c r="D4660" s="1" t="s">
        <v>168</v>
      </c>
      <c r="E4660" s="3">
        <v>26000</v>
      </c>
      <c r="F4660" s="1" t="s">
        <v>36</v>
      </c>
      <c r="G4660" s="1">
        <v>0</v>
      </c>
      <c r="H4660" s="1">
        <v>0</v>
      </c>
      <c r="I4660" s="1">
        <v>5.6557000000000003E-2</v>
      </c>
    </row>
    <row r="4661" spans="1:9" x14ac:dyDescent="0.25">
      <c r="A4661" s="1">
        <v>2320030002</v>
      </c>
      <c r="B4661" s="1" t="s">
        <v>2757</v>
      </c>
      <c r="C4661" s="1" t="s">
        <v>2752</v>
      </c>
      <c r="D4661" s="1" t="s">
        <v>2753</v>
      </c>
      <c r="E4661" s="3">
        <v>111000</v>
      </c>
      <c r="F4661" s="1" t="s">
        <v>36</v>
      </c>
      <c r="G4661" s="1">
        <v>0</v>
      </c>
      <c r="H4661" s="1">
        <v>0</v>
      </c>
      <c r="I4661" s="1">
        <v>5.6723999999999997E-2</v>
      </c>
    </row>
    <row r="4662" spans="1:9" x14ac:dyDescent="0.25">
      <c r="A4662" s="1">
        <v>2320030002</v>
      </c>
      <c r="B4662" s="1" t="s">
        <v>2757</v>
      </c>
      <c r="C4662" s="1" t="s">
        <v>167</v>
      </c>
      <c r="D4662" s="1" t="s">
        <v>168</v>
      </c>
      <c r="E4662" s="3">
        <v>29000</v>
      </c>
      <c r="F4662" s="1" t="s">
        <v>36</v>
      </c>
      <c r="G4662" s="1">
        <v>0</v>
      </c>
      <c r="H4662" s="1">
        <v>0</v>
      </c>
      <c r="I4662" s="1">
        <v>5.6723999999999997E-2</v>
      </c>
    </row>
    <row r="4663" spans="1:9" x14ac:dyDescent="0.25">
      <c r="A4663" s="1">
        <v>2320040200</v>
      </c>
      <c r="B4663" s="1" t="s">
        <v>2758</v>
      </c>
      <c r="C4663" s="1" t="s">
        <v>130</v>
      </c>
      <c r="D4663" s="1" t="s">
        <v>131</v>
      </c>
      <c r="E4663" s="3">
        <v>16195</v>
      </c>
      <c r="F4663" s="1" t="s">
        <v>36</v>
      </c>
      <c r="G4663" s="1">
        <v>0</v>
      </c>
      <c r="H4663" s="1">
        <v>0</v>
      </c>
      <c r="I4663" s="1">
        <v>0.75145399999999996</v>
      </c>
    </row>
    <row r="4664" spans="1:9" x14ac:dyDescent="0.25">
      <c r="A4664" s="1">
        <v>2320040340</v>
      </c>
      <c r="B4664" s="1" t="s">
        <v>2759</v>
      </c>
      <c r="C4664" s="1" t="s">
        <v>130</v>
      </c>
      <c r="D4664" s="1" t="s">
        <v>131</v>
      </c>
      <c r="E4664" s="3">
        <v>1741</v>
      </c>
      <c r="F4664" s="1" t="s">
        <v>36</v>
      </c>
      <c r="G4664" s="1">
        <v>0</v>
      </c>
      <c r="H4664" s="1">
        <v>0</v>
      </c>
      <c r="I4664" s="1">
        <v>0.78097099999999997</v>
      </c>
    </row>
    <row r="4665" spans="1:9" x14ac:dyDescent="0.25">
      <c r="A4665" s="1">
        <v>2320040404</v>
      </c>
      <c r="B4665" s="1" t="s">
        <v>2760</v>
      </c>
      <c r="C4665" s="1" t="s">
        <v>130</v>
      </c>
      <c r="D4665" s="1" t="s">
        <v>131</v>
      </c>
      <c r="E4665" s="3">
        <v>4123</v>
      </c>
      <c r="F4665" s="1" t="s">
        <v>36</v>
      </c>
      <c r="G4665" s="1">
        <v>0</v>
      </c>
      <c r="H4665" s="1">
        <v>0</v>
      </c>
      <c r="I4665" s="1">
        <v>1.286357</v>
      </c>
    </row>
    <row r="4666" spans="1:9" x14ac:dyDescent="0.25">
      <c r="A4666" s="1">
        <v>2320040429</v>
      </c>
      <c r="B4666" s="1" t="s">
        <v>2761</v>
      </c>
      <c r="C4666" s="1" t="s">
        <v>130</v>
      </c>
      <c r="D4666" s="1" t="s">
        <v>131</v>
      </c>
      <c r="E4666" s="3">
        <v>225</v>
      </c>
      <c r="F4666" s="1" t="s">
        <v>36</v>
      </c>
      <c r="G4666" s="1">
        <v>0</v>
      </c>
      <c r="H4666" s="1">
        <v>0</v>
      </c>
      <c r="I4666" s="1">
        <v>0.216667</v>
      </c>
    </row>
    <row r="4667" spans="1:9" x14ac:dyDescent="0.25">
      <c r="A4667" s="1">
        <v>2320040434</v>
      </c>
      <c r="B4667" s="1" t="s">
        <v>2762</v>
      </c>
      <c r="C4667" s="1" t="s">
        <v>523</v>
      </c>
      <c r="D4667" s="1" t="s">
        <v>524</v>
      </c>
      <c r="E4667" s="1">
        <v>0</v>
      </c>
      <c r="F4667" s="1" t="s">
        <v>36</v>
      </c>
      <c r="G4667" s="1">
        <v>500</v>
      </c>
      <c r="H4667" s="3">
        <v>0</v>
      </c>
      <c r="I4667" s="1">
        <v>1.0510710000000001</v>
      </c>
    </row>
    <row r="4668" spans="1:9" x14ac:dyDescent="0.25">
      <c r="A4668" s="1">
        <v>2320050005</v>
      </c>
      <c r="B4668" s="1" t="s">
        <v>2763</v>
      </c>
      <c r="C4668" s="1" t="s">
        <v>329</v>
      </c>
      <c r="D4668" s="1" t="s">
        <v>330</v>
      </c>
      <c r="E4668" s="3">
        <v>47000</v>
      </c>
      <c r="F4668" s="1" t="s">
        <v>36</v>
      </c>
      <c r="G4668" s="1">
        <v>0</v>
      </c>
      <c r="H4668" s="1">
        <v>0</v>
      </c>
      <c r="I4668" s="1">
        <v>0.162629</v>
      </c>
    </row>
    <row r="4669" spans="1:9" x14ac:dyDescent="0.25">
      <c r="A4669" s="1">
        <v>2320050008</v>
      </c>
      <c r="B4669" s="1" t="s">
        <v>2764</v>
      </c>
      <c r="C4669" s="1" t="s">
        <v>126</v>
      </c>
      <c r="D4669" s="1" t="s">
        <v>127</v>
      </c>
      <c r="E4669" s="3">
        <v>311</v>
      </c>
      <c r="F4669" s="1" t="s">
        <v>36</v>
      </c>
      <c r="G4669" s="1">
        <v>0</v>
      </c>
      <c r="H4669" s="1">
        <v>0</v>
      </c>
      <c r="I4669" s="1">
        <v>9.5883999999999997E-2</v>
      </c>
    </row>
    <row r="4670" spans="1:9" x14ac:dyDescent="0.25">
      <c r="A4670" s="1">
        <v>2320050052</v>
      </c>
      <c r="B4670" s="1" t="s">
        <v>2765</v>
      </c>
      <c r="C4670" s="1" t="s">
        <v>130</v>
      </c>
      <c r="D4670" s="1" t="s">
        <v>131</v>
      </c>
      <c r="E4670" s="3">
        <v>50530</v>
      </c>
      <c r="F4670" s="1" t="s">
        <v>36</v>
      </c>
      <c r="G4670" s="1">
        <v>0</v>
      </c>
      <c r="H4670" s="3">
        <v>0</v>
      </c>
      <c r="I4670" s="1">
        <v>0.16999800000000001</v>
      </c>
    </row>
    <row r="4671" spans="1:9" x14ac:dyDescent="0.25">
      <c r="A4671" s="1">
        <v>2320050052</v>
      </c>
      <c r="B4671" s="1" t="s">
        <v>2765</v>
      </c>
      <c r="C4671" s="1" t="s">
        <v>142</v>
      </c>
      <c r="D4671" s="1" t="s">
        <v>143</v>
      </c>
      <c r="E4671" s="3">
        <v>15251</v>
      </c>
      <c r="F4671" s="1" t="s">
        <v>36</v>
      </c>
      <c r="G4671" s="3">
        <v>0</v>
      </c>
      <c r="H4671" s="1">
        <v>0</v>
      </c>
      <c r="I4671" s="1">
        <v>0.17002200000000001</v>
      </c>
    </row>
    <row r="4672" spans="1:9" x14ac:dyDescent="0.25">
      <c r="A4672" s="1">
        <v>2320050055</v>
      </c>
      <c r="B4672" s="1" t="s">
        <v>2766</v>
      </c>
      <c r="C4672" s="1" t="s">
        <v>130</v>
      </c>
      <c r="D4672" s="1" t="s">
        <v>131</v>
      </c>
      <c r="E4672" s="3">
        <v>10253.995999999999</v>
      </c>
      <c r="F4672" s="1" t="s">
        <v>36</v>
      </c>
      <c r="G4672" s="1">
        <v>0</v>
      </c>
      <c r="H4672" s="1">
        <v>0</v>
      </c>
      <c r="I4672" s="1">
        <v>0.44970399999999999</v>
      </c>
    </row>
    <row r="4673" spans="1:9" x14ac:dyDescent="0.25">
      <c r="A4673" s="1">
        <v>2320050065</v>
      </c>
      <c r="B4673" s="1" t="s">
        <v>2767</v>
      </c>
      <c r="C4673" s="1" t="s">
        <v>130</v>
      </c>
      <c r="D4673" s="1" t="s">
        <v>131</v>
      </c>
      <c r="E4673" s="3">
        <v>260</v>
      </c>
      <c r="F4673" s="1" t="s">
        <v>36</v>
      </c>
      <c r="G4673" s="1">
        <v>0</v>
      </c>
      <c r="H4673" s="1">
        <v>0</v>
      </c>
      <c r="I4673" s="1">
        <v>0.283885</v>
      </c>
    </row>
    <row r="4674" spans="1:9" x14ac:dyDescent="0.25">
      <c r="A4674" s="1">
        <v>2320050073</v>
      </c>
      <c r="B4674" s="1" t="s">
        <v>2768</v>
      </c>
      <c r="C4674" s="1" t="s">
        <v>130</v>
      </c>
      <c r="D4674" s="1" t="s">
        <v>131</v>
      </c>
      <c r="E4674" s="3">
        <v>35726</v>
      </c>
      <c r="F4674" s="1" t="s">
        <v>36</v>
      </c>
      <c r="G4674" s="1">
        <v>0</v>
      </c>
      <c r="H4674" s="1">
        <v>0</v>
      </c>
      <c r="I4674" s="1">
        <v>9.3132999999999994E-2</v>
      </c>
    </row>
    <row r="4675" spans="1:9" x14ac:dyDescent="0.25">
      <c r="A4675" s="1">
        <v>2320050085</v>
      </c>
      <c r="B4675" s="1" t="s">
        <v>2769</v>
      </c>
      <c r="C4675" s="1" t="s">
        <v>130</v>
      </c>
      <c r="D4675" s="1" t="s">
        <v>131</v>
      </c>
      <c r="E4675" s="3">
        <v>8334</v>
      </c>
      <c r="F4675" s="1" t="s">
        <v>36</v>
      </c>
      <c r="G4675" s="1">
        <v>0</v>
      </c>
      <c r="H4675" s="1">
        <v>0</v>
      </c>
      <c r="I4675" s="1">
        <v>0.20197899999999999</v>
      </c>
    </row>
    <row r="4676" spans="1:9" x14ac:dyDescent="0.25">
      <c r="A4676" s="1">
        <v>2320050186</v>
      </c>
      <c r="B4676" s="1" t="s">
        <v>2770</v>
      </c>
      <c r="C4676" s="1" t="s">
        <v>2752</v>
      </c>
      <c r="D4676" s="1" t="s">
        <v>2753</v>
      </c>
      <c r="E4676" s="3">
        <v>1000</v>
      </c>
      <c r="F4676" s="1" t="s">
        <v>36</v>
      </c>
      <c r="G4676" s="1">
        <v>0</v>
      </c>
      <c r="H4676" s="1">
        <v>0</v>
      </c>
      <c r="I4676" s="1">
        <v>0.51146999999999998</v>
      </c>
    </row>
    <row r="4677" spans="1:9" x14ac:dyDescent="0.25">
      <c r="A4677" s="1">
        <v>2320050186</v>
      </c>
      <c r="B4677" s="1" t="s">
        <v>2770</v>
      </c>
      <c r="C4677" s="1" t="s">
        <v>167</v>
      </c>
      <c r="D4677" s="1" t="s">
        <v>168</v>
      </c>
      <c r="E4677" s="3">
        <v>933</v>
      </c>
      <c r="F4677" s="1" t="s">
        <v>36</v>
      </c>
      <c r="G4677" s="1">
        <v>0</v>
      </c>
      <c r="H4677" s="1">
        <v>0</v>
      </c>
      <c r="I4677" s="1">
        <v>0.51146800000000003</v>
      </c>
    </row>
    <row r="4678" spans="1:9" x14ac:dyDescent="0.25">
      <c r="A4678" s="1">
        <v>2320050199</v>
      </c>
      <c r="B4678" s="1" t="s">
        <v>2771</v>
      </c>
      <c r="C4678" s="1" t="s">
        <v>329</v>
      </c>
      <c r="D4678" s="1" t="s">
        <v>330</v>
      </c>
      <c r="E4678" s="3">
        <v>32000</v>
      </c>
      <c r="F4678" s="1" t="s">
        <v>36</v>
      </c>
      <c r="G4678" s="1">
        <v>0</v>
      </c>
      <c r="H4678" s="1">
        <v>0</v>
      </c>
      <c r="I4678" s="1">
        <v>0.87492999999999999</v>
      </c>
    </row>
    <row r="4679" spans="1:9" x14ac:dyDescent="0.25">
      <c r="A4679" s="1">
        <v>2320050205</v>
      </c>
      <c r="B4679" s="1" t="s">
        <v>2772</v>
      </c>
      <c r="C4679" s="1" t="s">
        <v>130</v>
      </c>
      <c r="D4679" s="1" t="s">
        <v>131</v>
      </c>
      <c r="E4679" s="3">
        <v>1673</v>
      </c>
      <c r="F4679" s="1" t="s">
        <v>36</v>
      </c>
      <c r="G4679" s="1">
        <v>0</v>
      </c>
      <c r="H4679" s="3">
        <v>0</v>
      </c>
      <c r="I4679" s="1">
        <v>0.179534</v>
      </c>
    </row>
    <row r="4680" spans="1:9" x14ac:dyDescent="0.25">
      <c r="A4680" s="1">
        <v>2320050205</v>
      </c>
      <c r="B4680" s="1" t="s">
        <v>2772</v>
      </c>
      <c r="C4680" s="1" t="s">
        <v>126</v>
      </c>
      <c r="D4680" s="1" t="s">
        <v>127</v>
      </c>
      <c r="E4680" s="3">
        <v>5750</v>
      </c>
      <c r="F4680" s="1" t="s">
        <v>36</v>
      </c>
      <c r="G4680" s="3">
        <v>0</v>
      </c>
      <c r="H4680" s="1">
        <v>0</v>
      </c>
      <c r="I4680" s="1">
        <v>0.31249700000000002</v>
      </c>
    </row>
    <row r="4681" spans="1:9" x14ac:dyDescent="0.25">
      <c r="A4681" s="1">
        <v>2320050209</v>
      </c>
      <c r="B4681" s="1" t="s">
        <v>2773</v>
      </c>
      <c r="C4681" s="1" t="s">
        <v>2248</v>
      </c>
      <c r="D4681" s="1" t="s">
        <v>2249</v>
      </c>
      <c r="E4681" s="1">
        <v>0</v>
      </c>
      <c r="F4681" s="1" t="s">
        <v>36</v>
      </c>
      <c r="G4681" s="1">
        <v>0</v>
      </c>
      <c r="H4681" s="3">
        <v>31680</v>
      </c>
      <c r="I4681" s="1">
        <v>0.162637</v>
      </c>
    </row>
    <row r="4682" spans="1:9" x14ac:dyDescent="0.25">
      <c r="A4682" s="1">
        <v>2320050309</v>
      </c>
      <c r="B4682" s="1" t="s">
        <v>2774</v>
      </c>
      <c r="C4682" s="1" t="s">
        <v>130</v>
      </c>
      <c r="D4682" s="1" t="s">
        <v>131</v>
      </c>
      <c r="E4682" s="1">
        <v>138</v>
      </c>
      <c r="F4682" s="1" t="s">
        <v>36</v>
      </c>
      <c r="G4682" s="1">
        <v>0</v>
      </c>
      <c r="H4682" s="3">
        <v>0</v>
      </c>
      <c r="I4682" s="1">
        <v>0.89471000000000001</v>
      </c>
    </row>
    <row r="4683" spans="1:9" x14ac:dyDescent="0.25">
      <c r="A4683" s="1">
        <v>2320050311</v>
      </c>
      <c r="B4683" s="1" t="s">
        <v>2775</v>
      </c>
      <c r="C4683" s="1" t="s">
        <v>130</v>
      </c>
      <c r="D4683" s="1" t="s">
        <v>131</v>
      </c>
      <c r="E4683" s="3">
        <v>575</v>
      </c>
      <c r="F4683" s="1" t="s">
        <v>36</v>
      </c>
      <c r="G4683" s="3">
        <v>0</v>
      </c>
      <c r="H4683" s="1">
        <v>0</v>
      </c>
      <c r="I4683" s="1">
        <v>1.931843</v>
      </c>
    </row>
    <row r="4684" spans="1:9" x14ac:dyDescent="0.25">
      <c r="A4684" s="1">
        <v>2320050312</v>
      </c>
      <c r="B4684" s="1" t="s">
        <v>2776</v>
      </c>
      <c r="C4684" s="1" t="s">
        <v>130</v>
      </c>
      <c r="D4684" s="1" t="s">
        <v>131</v>
      </c>
      <c r="E4684" s="1">
        <v>652</v>
      </c>
      <c r="F4684" s="1" t="s">
        <v>36</v>
      </c>
      <c r="G4684" s="1">
        <v>0</v>
      </c>
      <c r="H4684" s="3">
        <v>0</v>
      </c>
      <c r="I4684" s="1">
        <v>0.98187100000000005</v>
      </c>
    </row>
    <row r="4685" spans="1:9" x14ac:dyDescent="0.25">
      <c r="A4685" s="1">
        <v>2320050315</v>
      </c>
      <c r="B4685" s="1" t="s">
        <v>2777</v>
      </c>
      <c r="C4685" s="1" t="s">
        <v>130</v>
      </c>
      <c r="D4685" s="1" t="s">
        <v>131</v>
      </c>
      <c r="E4685" s="3">
        <v>685</v>
      </c>
      <c r="F4685" s="1" t="s">
        <v>36</v>
      </c>
      <c r="G4685" s="3">
        <v>0</v>
      </c>
      <c r="H4685" s="1">
        <v>0</v>
      </c>
      <c r="I4685" s="1">
        <v>1.8448180000000001</v>
      </c>
    </row>
    <row r="4686" spans="1:9" x14ac:dyDescent="0.25">
      <c r="A4686" s="1">
        <v>2320050316</v>
      </c>
      <c r="B4686" s="1" t="s">
        <v>2778</v>
      </c>
      <c r="C4686" s="1" t="s">
        <v>130</v>
      </c>
      <c r="D4686" s="1" t="s">
        <v>131</v>
      </c>
      <c r="E4686" s="1">
        <v>337</v>
      </c>
      <c r="F4686" s="1" t="s">
        <v>36</v>
      </c>
      <c r="G4686" s="1">
        <v>0</v>
      </c>
      <c r="H4686" s="3">
        <v>0</v>
      </c>
      <c r="I4686" s="1">
        <v>4.2124329999999999</v>
      </c>
    </row>
    <row r="4687" spans="1:9" x14ac:dyDescent="0.25">
      <c r="A4687" s="1">
        <v>2320050318</v>
      </c>
      <c r="B4687" s="1" t="s">
        <v>2779</v>
      </c>
      <c r="C4687" s="1" t="s">
        <v>130</v>
      </c>
      <c r="D4687" s="1" t="s">
        <v>131</v>
      </c>
      <c r="E4687" s="3">
        <v>1098</v>
      </c>
      <c r="F4687" s="1" t="s">
        <v>36</v>
      </c>
      <c r="G4687" s="3">
        <v>0</v>
      </c>
      <c r="H4687" s="1">
        <v>0</v>
      </c>
      <c r="I4687" s="1">
        <v>0.59592000000000001</v>
      </c>
    </row>
    <row r="4688" spans="1:9" x14ac:dyDescent="0.25">
      <c r="A4688" s="1">
        <v>2320050320</v>
      </c>
      <c r="B4688" s="1" t="s">
        <v>2780</v>
      </c>
      <c r="C4688" s="1" t="s">
        <v>130</v>
      </c>
      <c r="D4688" s="1" t="s">
        <v>131</v>
      </c>
      <c r="E4688" s="1">
        <v>867</v>
      </c>
      <c r="F4688" s="1" t="s">
        <v>36</v>
      </c>
      <c r="G4688" s="1">
        <v>0</v>
      </c>
      <c r="H4688" s="3">
        <v>0</v>
      </c>
      <c r="I4688" s="1">
        <v>0.15890399999999999</v>
      </c>
    </row>
    <row r="4689" spans="1:9" x14ac:dyDescent="0.25">
      <c r="A4689" s="1">
        <v>2320050321</v>
      </c>
      <c r="B4689" s="1" t="s">
        <v>2781</v>
      </c>
      <c r="C4689" s="1" t="s">
        <v>130</v>
      </c>
      <c r="D4689" s="1" t="s">
        <v>131</v>
      </c>
      <c r="E4689" s="3">
        <v>514</v>
      </c>
      <c r="F4689" s="1" t="s">
        <v>36</v>
      </c>
      <c r="G4689" s="3">
        <v>0</v>
      </c>
      <c r="H4689" s="1">
        <v>0</v>
      </c>
      <c r="I4689" s="1">
        <v>0.695156</v>
      </c>
    </row>
    <row r="4690" spans="1:9" x14ac:dyDescent="0.25">
      <c r="A4690" s="1">
        <v>2320050323</v>
      </c>
      <c r="B4690" s="1" t="s">
        <v>2782</v>
      </c>
      <c r="C4690" s="1" t="s">
        <v>130</v>
      </c>
      <c r="D4690" s="1" t="s">
        <v>131</v>
      </c>
      <c r="E4690" s="3">
        <v>1042</v>
      </c>
      <c r="F4690" s="1" t="s">
        <v>36</v>
      </c>
      <c r="G4690" s="1">
        <v>0</v>
      </c>
      <c r="H4690" s="3">
        <v>0</v>
      </c>
      <c r="I4690" s="1">
        <v>0.15753400000000001</v>
      </c>
    </row>
    <row r="4691" spans="1:9" x14ac:dyDescent="0.25">
      <c r="A4691" s="1">
        <v>2320050364</v>
      </c>
      <c r="B4691" s="1" t="s">
        <v>2783</v>
      </c>
      <c r="C4691" s="1" t="s">
        <v>130</v>
      </c>
      <c r="D4691" s="1" t="s">
        <v>131</v>
      </c>
      <c r="E4691" s="3">
        <v>4500</v>
      </c>
      <c r="F4691" s="1" t="s">
        <v>36</v>
      </c>
      <c r="G4691" s="1">
        <v>0</v>
      </c>
      <c r="H4691" s="1">
        <v>0</v>
      </c>
      <c r="I4691" s="1">
        <v>3.5165000000000002</v>
      </c>
    </row>
    <row r="4692" spans="1:9" x14ac:dyDescent="0.25">
      <c r="A4692" s="1">
        <v>2320050366</v>
      </c>
      <c r="B4692" s="1" t="s">
        <v>2784</v>
      </c>
      <c r="C4692" s="1" t="s">
        <v>130</v>
      </c>
      <c r="D4692" s="1" t="s">
        <v>131</v>
      </c>
      <c r="E4692" s="3">
        <v>5705</v>
      </c>
      <c r="F4692" s="1" t="s">
        <v>36</v>
      </c>
      <c r="G4692" s="1">
        <v>0</v>
      </c>
      <c r="H4692" s="1">
        <v>0</v>
      </c>
      <c r="I4692" s="1">
        <v>0.19805300000000001</v>
      </c>
    </row>
    <row r="4693" spans="1:9" x14ac:dyDescent="0.25">
      <c r="A4693" s="1">
        <v>2320050367</v>
      </c>
      <c r="B4693" s="1" t="s">
        <v>2785</v>
      </c>
      <c r="C4693" s="1" t="s">
        <v>130</v>
      </c>
      <c r="D4693" s="1" t="s">
        <v>131</v>
      </c>
      <c r="E4693" s="3">
        <v>12141</v>
      </c>
      <c r="F4693" s="1" t="s">
        <v>36</v>
      </c>
      <c r="G4693" s="1">
        <v>0</v>
      </c>
      <c r="H4693" s="1">
        <v>0</v>
      </c>
      <c r="I4693" s="1">
        <v>0.18643899999999999</v>
      </c>
    </row>
    <row r="4694" spans="1:9" x14ac:dyDescent="0.25">
      <c r="A4694" s="1">
        <v>2320050368</v>
      </c>
      <c r="B4694" s="1" t="s">
        <v>2786</v>
      </c>
      <c r="C4694" s="1" t="s">
        <v>130</v>
      </c>
      <c r="D4694" s="1" t="s">
        <v>131</v>
      </c>
      <c r="E4694" s="3">
        <v>6037</v>
      </c>
      <c r="F4694" s="1" t="s">
        <v>36</v>
      </c>
      <c r="G4694" s="1">
        <v>0</v>
      </c>
      <c r="H4694" s="1">
        <v>0</v>
      </c>
      <c r="I4694" s="1">
        <v>0.15801100000000001</v>
      </c>
    </row>
    <row r="4695" spans="1:9" x14ac:dyDescent="0.25">
      <c r="A4695" s="1">
        <v>2320050369</v>
      </c>
      <c r="B4695" s="1" t="s">
        <v>2787</v>
      </c>
      <c r="C4695" s="1" t="s">
        <v>130</v>
      </c>
      <c r="D4695" s="1" t="s">
        <v>131</v>
      </c>
      <c r="E4695" s="3">
        <v>2390</v>
      </c>
      <c r="F4695" s="1" t="s">
        <v>36</v>
      </c>
      <c r="G4695" s="1">
        <v>0</v>
      </c>
      <c r="H4695" s="1">
        <v>0</v>
      </c>
      <c r="I4695" s="1">
        <v>0.23521800000000001</v>
      </c>
    </row>
    <row r="4696" spans="1:9" x14ac:dyDescent="0.25">
      <c r="A4696" s="1">
        <v>2320050380</v>
      </c>
      <c r="B4696" s="1" t="s">
        <v>2788</v>
      </c>
      <c r="C4696" s="1" t="s">
        <v>126</v>
      </c>
      <c r="D4696" s="1" t="s">
        <v>127</v>
      </c>
      <c r="E4696" s="3">
        <v>7703</v>
      </c>
      <c r="F4696" s="1" t="s">
        <v>36</v>
      </c>
      <c r="G4696" s="1">
        <v>0</v>
      </c>
      <c r="H4696" s="1">
        <v>0</v>
      </c>
      <c r="I4696" s="1">
        <v>0.55703499999999995</v>
      </c>
    </row>
    <row r="4697" spans="1:9" x14ac:dyDescent="0.25">
      <c r="A4697" s="1">
        <v>2320050410</v>
      </c>
      <c r="B4697" s="1" t="s">
        <v>2789</v>
      </c>
      <c r="C4697" s="1" t="s">
        <v>130</v>
      </c>
      <c r="D4697" s="1" t="s">
        <v>131</v>
      </c>
      <c r="E4697" s="3">
        <v>2037</v>
      </c>
      <c r="F4697" s="1" t="s">
        <v>36</v>
      </c>
      <c r="G4697" s="1">
        <v>0</v>
      </c>
      <c r="H4697" s="1">
        <v>0</v>
      </c>
      <c r="I4697" s="1">
        <v>0.110054</v>
      </c>
    </row>
    <row r="4698" spans="1:9" x14ac:dyDescent="0.25">
      <c r="A4698" s="1">
        <v>2320050436</v>
      </c>
      <c r="B4698" s="1" t="s">
        <v>2790</v>
      </c>
      <c r="C4698" s="1" t="s">
        <v>130</v>
      </c>
      <c r="D4698" s="1" t="s">
        <v>131</v>
      </c>
      <c r="E4698" s="3">
        <v>810</v>
      </c>
      <c r="F4698" s="1" t="s">
        <v>36</v>
      </c>
      <c r="G4698" s="3">
        <v>0</v>
      </c>
      <c r="H4698" s="1">
        <v>0</v>
      </c>
      <c r="I4698" s="1">
        <v>0.25535799999999997</v>
      </c>
    </row>
    <row r="4699" spans="1:9" x14ac:dyDescent="0.25">
      <c r="A4699" s="1">
        <v>2320050446</v>
      </c>
      <c r="B4699" s="1" t="s">
        <v>2791</v>
      </c>
      <c r="C4699" s="1" t="s">
        <v>126</v>
      </c>
      <c r="D4699" s="1" t="s">
        <v>127</v>
      </c>
      <c r="E4699" s="3">
        <v>467</v>
      </c>
      <c r="F4699" s="1" t="s">
        <v>36</v>
      </c>
      <c r="G4699" s="1">
        <v>0</v>
      </c>
      <c r="H4699" s="1">
        <v>0</v>
      </c>
      <c r="I4699" s="1">
        <v>0.32411099999999998</v>
      </c>
    </row>
    <row r="4700" spans="1:9" x14ac:dyDescent="0.25">
      <c r="A4700" s="1">
        <v>2320050488</v>
      </c>
      <c r="B4700" s="1" t="s">
        <v>2792</v>
      </c>
      <c r="C4700" s="1" t="s">
        <v>130</v>
      </c>
      <c r="D4700" s="1" t="s">
        <v>131</v>
      </c>
      <c r="E4700" s="3">
        <v>5374</v>
      </c>
      <c r="F4700" s="1" t="s">
        <v>36</v>
      </c>
      <c r="G4700" s="3">
        <v>0</v>
      </c>
      <c r="H4700" s="1">
        <v>0</v>
      </c>
      <c r="I4700" s="1">
        <v>0.50134500000000004</v>
      </c>
    </row>
    <row r="4701" spans="1:9" x14ac:dyDescent="0.25">
      <c r="A4701" s="1">
        <v>2320050489</v>
      </c>
      <c r="B4701" s="1" t="s">
        <v>2793</v>
      </c>
      <c r="C4701" s="1" t="s">
        <v>130</v>
      </c>
      <c r="D4701" s="1" t="s">
        <v>131</v>
      </c>
      <c r="E4701" s="3">
        <v>4513</v>
      </c>
      <c r="F4701" s="1" t="s">
        <v>36</v>
      </c>
      <c r="G4701" s="1">
        <v>0</v>
      </c>
      <c r="H4701" s="1">
        <v>0</v>
      </c>
      <c r="I4701" s="1">
        <v>0.26994899999999999</v>
      </c>
    </row>
    <row r="4702" spans="1:9" x14ac:dyDescent="0.25">
      <c r="A4702" s="1">
        <v>2320050490</v>
      </c>
      <c r="B4702" s="1" t="s">
        <v>2794</v>
      </c>
      <c r="C4702" s="1" t="s">
        <v>130</v>
      </c>
      <c r="D4702" s="1" t="s">
        <v>131</v>
      </c>
      <c r="E4702" s="3">
        <v>1108</v>
      </c>
      <c r="F4702" s="1" t="s">
        <v>36</v>
      </c>
      <c r="G4702" s="1">
        <v>0</v>
      </c>
      <c r="H4702" s="1">
        <v>0</v>
      </c>
      <c r="I4702" s="1">
        <v>0.371751</v>
      </c>
    </row>
    <row r="4703" spans="1:9" x14ac:dyDescent="0.25">
      <c r="A4703" s="1">
        <v>2320050491</v>
      </c>
      <c r="B4703" s="1" t="s">
        <v>2795</v>
      </c>
      <c r="C4703" s="1" t="s">
        <v>130</v>
      </c>
      <c r="D4703" s="1" t="s">
        <v>131</v>
      </c>
      <c r="E4703" s="3">
        <v>594</v>
      </c>
      <c r="F4703" s="1" t="s">
        <v>36</v>
      </c>
      <c r="G4703" s="1">
        <v>0</v>
      </c>
      <c r="H4703" s="1">
        <v>0</v>
      </c>
      <c r="I4703" s="1">
        <v>0.46365299999999998</v>
      </c>
    </row>
    <row r="4704" spans="1:9" x14ac:dyDescent="0.25">
      <c r="A4704" s="1">
        <v>2320050508</v>
      </c>
      <c r="B4704" s="1" t="s">
        <v>2796</v>
      </c>
      <c r="C4704" s="1" t="s">
        <v>130</v>
      </c>
      <c r="D4704" s="1" t="s">
        <v>131</v>
      </c>
      <c r="E4704" s="3">
        <v>1028</v>
      </c>
      <c r="F4704" s="1" t="s">
        <v>36</v>
      </c>
      <c r="G4704" s="1">
        <v>0</v>
      </c>
      <c r="H4704" s="1">
        <v>0</v>
      </c>
      <c r="I4704" s="1">
        <v>0.55213999999999996</v>
      </c>
    </row>
    <row r="4705" spans="1:9" x14ac:dyDescent="0.25">
      <c r="A4705" s="1">
        <v>2320050508</v>
      </c>
      <c r="B4705" s="1" t="s">
        <v>2796</v>
      </c>
      <c r="C4705" s="1" t="s">
        <v>126</v>
      </c>
      <c r="D4705" s="1" t="s">
        <v>127</v>
      </c>
      <c r="E4705" s="3">
        <v>8774</v>
      </c>
      <c r="F4705" s="1" t="s">
        <v>36</v>
      </c>
      <c r="G4705" s="1">
        <v>0</v>
      </c>
      <c r="H4705" s="1">
        <v>0</v>
      </c>
      <c r="I4705" s="1">
        <v>0.55213199999999996</v>
      </c>
    </row>
    <row r="4706" spans="1:9" x14ac:dyDescent="0.25">
      <c r="A4706" s="1">
        <v>2320050509</v>
      </c>
      <c r="B4706" s="1" t="s">
        <v>2797</v>
      </c>
      <c r="C4706" s="1" t="s">
        <v>126</v>
      </c>
      <c r="D4706" s="1" t="s">
        <v>127</v>
      </c>
      <c r="E4706" s="3">
        <v>3981</v>
      </c>
      <c r="F4706" s="1" t="s">
        <v>36</v>
      </c>
      <c r="G4706" s="1">
        <v>0</v>
      </c>
      <c r="H4706" s="1">
        <v>0</v>
      </c>
      <c r="I4706" s="1">
        <v>0.77585800000000005</v>
      </c>
    </row>
    <row r="4707" spans="1:9" x14ac:dyDescent="0.25">
      <c r="A4707" s="1">
        <v>2320050516</v>
      </c>
      <c r="B4707" s="1" t="s">
        <v>2798</v>
      </c>
      <c r="C4707" s="1" t="s">
        <v>130</v>
      </c>
      <c r="D4707" s="1" t="s">
        <v>131</v>
      </c>
      <c r="E4707" s="3">
        <v>495</v>
      </c>
      <c r="F4707" s="1" t="s">
        <v>36</v>
      </c>
      <c r="G4707" s="1">
        <v>0</v>
      </c>
      <c r="H4707" s="1">
        <v>0</v>
      </c>
      <c r="I4707" s="1">
        <v>9.1172000000000003E-2</v>
      </c>
    </row>
    <row r="4708" spans="1:9" x14ac:dyDescent="0.25">
      <c r="A4708" s="1">
        <v>2320050517</v>
      </c>
      <c r="B4708" s="1" t="s">
        <v>2799</v>
      </c>
      <c r="C4708" s="1" t="s">
        <v>130</v>
      </c>
      <c r="D4708" s="1" t="s">
        <v>131</v>
      </c>
      <c r="E4708" s="3">
        <v>3203</v>
      </c>
      <c r="F4708" s="1" t="s">
        <v>36</v>
      </c>
      <c r="G4708" s="1">
        <v>0</v>
      </c>
      <c r="H4708" s="1">
        <v>0</v>
      </c>
      <c r="I4708" s="1">
        <v>0.41298499999999999</v>
      </c>
    </row>
    <row r="4709" spans="1:9" x14ac:dyDescent="0.25">
      <c r="A4709" s="1">
        <v>2320050518</v>
      </c>
      <c r="B4709" s="1" t="s">
        <v>2800</v>
      </c>
      <c r="C4709" s="1" t="s">
        <v>130</v>
      </c>
      <c r="D4709" s="1" t="s">
        <v>131</v>
      </c>
      <c r="E4709" s="3">
        <v>2017</v>
      </c>
      <c r="F4709" s="1" t="s">
        <v>36</v>
      </c>
      <c r="G4709" s="1">
        <v>0</v>
      </c>
      <c r="H4709" s="1">
        <v>0</v>
      </c>
      <c r="I4709" s="1">
        <v>0.12859699999999999</v>
      </c>
    </row>
    <row r="4710" spans="1:9" x14ac:dyDescent="0.25">
      <c r="A4710" s="1">
        <v>2320050519</v>
      </c>
      <c r="B4710" s="1" t="s">
        <v>2801</v>
      </c>
      <c r="C4710" s="1" t="s">
        <v>130</v>
      </c>
      <c r="D4710" s="1" t="s">
        <v>131</v>
      </c>
      <c r="E4710" s="3">
        <v>3295</v>
      </c>
      <c r="F4710" s="1" t="s">
        <v>36</v>
      </c>
      <c r="G4710" s="1">
        <v>0</v>
      </c>
      <c r="H4710" s="1">
        <v>0</v>
      </c>
      <c r="I4710" s="1">
        <v>8.7780999999999998E-2</v>
      </c>
    </row>
    <row r="4711" spans="1:9" x14ac:dyDescent="0.25">
      <c r="A4711" s="1">
        <v>2320050520</v>
      </c>
      <c r="B4711" s="1" t="s">
        <v>2802</v>
      </c>
      <c r="C4711" s="1" t="s">
        <v>130</v>
      </c>
      <c r="D4711" s="1" t="s">
        <v>131</v>
      </c>
      <c r="E4711" s="3">
        <v>3050</v>
      </c>
      <c r="F4711" s="1" t="s">
        <v>36</v>
      </c>
      <c r="G4711" s="1">
        <v>0</v>
      </c>
      <c r="H4711" s="1">
        <v>0</v>
      </c>
      <c r="I4711" s="1">
        <v>8.7967000000000004E-2</v>
      </c>
    </row>
    <row r="4712" spans="1:9" x14ac:dyDescent="0.25">
      <c r="A4712" s="1">
        <v>2320050521</v>
      </c>
      <c r="B4712" s="1" t="s">
        <v>2803</v>
      </c>
      <c r="C4712" s="1" t="s">
        <v>130</v>
      </c>
      <c r="D4712" s="1" t="s">
        <v>131</v>
      </c>
      <c r="E4712" s="3">
        <v>2354</v>
      </c>
      <c r="F4712" s="1" t="s">
        <v>36</v>
      </c>
      <c r="G4712" s="1">
        <v>0</v>
      </c>
      <c r="H4712" s="1">
        <v>0</v>
      </c>
      <c r="I4712" s="1">
        <v>8.8564000000000004E-2</v>
      </c>
    </row>
    <row r="4713" spans="1:9" x14ac:dyDescent="0.25">
      <c r="A4713" s="1">
        <v>2320050522</v>
      </c>
      <c r="B4713" s="1" t="s">
        <v>2804</v>
      </c>
      <c r="C4713" s="1" t="s">
        <v>130</v>
      </c>
      <c r="D4713" s="1" t="s">
        <v>131</v>
      </c>
      <c r="E4713" s="3">
        <v>844</v>
      </c>
      <c r="F4713" s="1" t="s">
        <v>36</v>
      </c>
      <c r="G4713" s="1">
        <v>0</v>
      </c>
      <c r="H4713" s="1">
        <v>0</v>
      </c>
      <c r="I4713" s="1">
        <v>0.17663499999999999</v>
      </c>
    </row>
    <row r="4714" spans="1:9" x14ac:dyDescent="0.25">
      <c r="A4714" s="1">
        <v>2320050525</v>
      </c>
      <c r="B4714" s="1" t="s">
        <v>2805</v>
      </c>
      <c r="C4714" s="1" t="s">
        <v>130</v>
      </c>
      <c r="D4714" s="1" t="s">
        <v>131</v>
      </c>
      <c r="E4714" s="3">
        <v>15146</v>
      </c>
      <c r="F4714" s="1" t="s">
        <v>36</v>
      </c>
      <c r="G4714" s="1">
        <v>0</v>
      </c>
      <c r="H4714" s="1">
        <v>0</v>
      </c>
      <c r="I4714" s="1">
        <v>6.5809999999999994E-2</v>
      </c>
    </row>
    <row r="4715" spans="1:9" x14ac:dyDescent="0.25">
      <c r="A4715" s="1">
        <v>2320050526</v>
      </c>
      <c r="B4715" s="1" t="s">
        <v>2806</v>
      </c>
      <c r="C4715" s="1" t="s">
        <v>130</v>
      </c>
      <c r="D4715" s="1" t="s">
        <v>131</v>
      </c>
      <c r="E4715" s="3">
        <v>11625</v>
      </c>
      <c r="F4715" s="1" t="s">
        <v>36</v>
      </c>
      <c r="G4715" s="1">
        <v>0</v>
      </c>
      <c r="H4715" s="1">
        <v>0</v>
      </c>
      <c r="I4715" s="1">
        <v>7.2780999999999998E-2</v>
      </c>
    </row>
    <row r="4716" spans="1:9" x14ac:dyDescent="0.25">
      <c r="A4716" s="1">
        <v>2320050527</v>
      </c>
      <c r="B4716" s="1" t="s">
        <v>2807</v>
      </c>
      <c r="C4716" s="1" t="s">
        <v>130</v>
      </c>
      <c r="D4716" s="1" t="s">
        <v>131</v>
      </c>
      <c r="E4716" s="3">
        <v>2850</v>
      </c>
      <c r="F4716" s="1" t="s">
        <v>36</v>
      </c>
      <c r="G4716" s="1">
        <v>0</v>
      </c>
      <c r="H4716" s="1">
        <v>0</v>
      </c>
      <c r="I4716" s="1">
        <v>0.17777499999999999</v>
      </c>
    </row>
    <row r="4717" spans="1:9" x14ac:dyDescent="0.25">
      <c r="A4717" s="1">
        <v>2320050582</v>
      </c>
      <c r="B4717" s="1" t="s">
        <v>2808</v>
      </c>
      <c r="C4717" s="1" t="s">
        <v>130</v>
      </c>
      <c r="D4717" s="1" t="s">
        <v>131</v>
      </c>
      <c r="E4717" s="3">
        <v>8754</v>
      </c>
      <c r="F4717" s="1" t="s">
        <v>36</v>
      </c>
      <c r="G4717" s="1">
        <v>0</v>
      </c>
      <c r="H4717" s="1">
        <v>0</v>
      </c>
      <c r="I4717" s="1">
        <v>0.193801</v>
      </c>
    </row>
    <row r="4718" spans="1:9" x14ac:dyDescent="0.25">
      <c r="A4718" s="1">
        <v>2320050586</v>
      </c>
      <c r="B4718" s="1" t="s">
        <v>2809</v>
      </c>
      <c r="C4718" s="1" t="s">
        <v>130</v>
      </c>
      <c r="D4718" s="1" t="s">
        <v>131</v>
      </c>
      <c r="E4718" s="3">
        <v>1922</v>
      </c>
      <c r="F4718" s="1" t="s">
        <v>36</v>
      </c>
      <c r="G4718" s="1">
        <v>0</v>
      </c>
      <c r="H4718" s="1">
        <v>0</v>
      </c>
      <c r="I4718" s="1">
        <v>0.279173</v>
      </c>
    </row>
    <row r="4719" spans="1:9" x14ac:dyDescent="0.25">
      <c r="A4719" s="1">
        <v>2320050588</v>
      </c>
      <c r="B4719" s="1" t="s">
        <v>2810</v>
      </c>
      <c r="C4719" s="1" t="s">
        <v>130</v>
      </c>
      <c r="D4719" s="1" t="s">
        <v>131</v>
      </c>
      <c r="E4719" s="3">
        <v>3428</v>
      </c>
      <c r="F4719" s="1" t="s">
        <v>36</v>
      </c>
      <c r="G4719" s="1">
        <v>0</v>
      </c>
      <c r="H4719" s="1">
        <v>0</v>
      </c>
      <c r="I4719" s="1">
        <v>0.68322099999999997</v>
      </c>
    </row>
    <row r="4720" spans="1:9" x14ac:dyDescent="0.25">
      <c r="A4720" s="1">
        <v>2320050609</v>
      </c>
      <c r="B4720" s="1" t="s">
        <v>2811</v>
      </c>
      <c r="C4720" s="1" t="s">
        <v>130</v>
      </c>
      <c r="D4720" s="1" t="s">
        <v>131</v>
      </c>
      <c r="E4720" s="3">
        <v>11101</v>
      </c>
      <c r="F4720" s="1" t="s">
        <v>36</v>
      </c>
      <c r="G4720" s="1">
        <v>0</v>
      </c>
      <c r="H4720" s="1">
        <v>0</v>
      </c>
      <c r="I4720" s="1">
        <v>6.4436999999999994E-2</v>
      </c>
    </row>
    <row r="4721" spans="1:9" x14ac:dyDescent="0.25">
      <c r="A4721" s="1">
        <v>2320050610</v>
      </c>
      <c r="B4721" s="1" t="s">
        <v>2812</v>
      </c>
      <c r="C4721" s="1" t="s">
        <v>130</v>
      </c>
      <c r="D4721" s="1" t="s">
        <v>131</v>
      </c>
      <c r="E4721" s="3">
        <v>10800</v>
      </c>
      <c r="F4721" s="1" t="s">
        <v>36</v>
      </c>
      <c r="G4721" s="1">
        <v>700</v>
      </c>
      <c r="H4721" s="1">
        <v>0</v>
      </c>
      <c r="I4721" s="1">
        <v>6.4347000000000001E-2</v>
      </c>
    </row>
    <row r="4722" spans="1:9" x14ac:dyDescent="0.25">
      <c r="A4722" s="1">
        <v>2320050610</v>
      </c>
      <c r="B4722" s="1" t="s">
        <v>2812</v>
      </c>
      <c r="C4722" s="1" t="s">
        <v>142</v>
      </c>
      <c r="D4722" s="1" t="s">
        <v>143</v>
      </c>
      <c r="E4722" s="3">
        <v>0</v>
      </c>
      <c r="F4722" s="1" t="s">
        <v>36</v>
      </c>
      <c r="G4722" s="1">
        <v>0</v>
      </c>
      <c r="H4722" s="1">
        <v>700</v>
      </c>
      <c r="I4722" s="1">
        <v>6.4347000000000001E-2</v>
      </c>
    </row>
    <row r="4723" spans="1:9" x14ac:dyDescent="0.25">
      <c r="A4723" s="1">
        <v>2320050611</v>
      </c>
      <c r="B4723" s="1" t="s">
        <v>2813</v>
      </c>
      <c r="C4723" s="1" t="s">
        <v>130</v>
      </c>
      <c r="D4723" s="1" t="s">
        <v>131</v>
      </c>
      <c r="E4723" s="3">
        <v>2707</v>
      </c>
      <c r="F4723" s="1" t="s">
        <v>36</v>
      </c>
      <c r="G4723" s="1">
        <v>0</v>
      </c>
      <c r="H4723" s="1">
        <v>0</v>
      </c>
      <c r="I4723" s="1">
        <v>8.8593000000000005E-2</v>
      </c>
    </row>
    <row r="4724" spans="1:9" x14ac:dyDescent="0.25">
      <c r="A4724" s="1">
        <v>2320050612</v>
      </c>
      <c r="B4724" s="1" t="s">
        <v>2814</v>
      </c>
      <c r="C4724" s="1" t="s">
        <v>130</v>
      </c>
      <c r="D4724" s="1" t="s">
        <v>131</v>
      </c>
      <c r="E4724" s="3">
        <v>678</v>
      </c>
      <c r="F4724" s="1" t="s">
        <v>36</v>
      </c>
      <c r="G4724" s="1">
        <v>0</v>
      </c>
      <c r="H4724" s="1">
        <v>0</v>
      </c>
      <c r="I4724" s="1">
        <v>0.15771399999999999</v>
      </c>
    </row>
    <row r="4725" spans="1:9" x14ac:dyDescent="0.25">
      <c r="A4725" s="1">
        <v>2320050615</v>
      </c>
      <c r="B4725" s="1" t="s">
        <v>2815</v>
      </c>
      <c r="C4725" s="1" t="s">
        <v>130</v>
      </c>
      <c r="D4725" s="1" t="s">
        <v>131</v>
      </c>
      <c r="E4725" s="1">
        <v>650</v>
      </c>
      <c r="F4725" s="1" t="s">
        <v>36</v>
      </c>
      <c r="G4725" s="1">
        <v>0</v>
      </c>
      <c r="H4725" s="1">
        <v>0</v>
      </c>
      <c r="I4725" s="1">
        <v>0.31706200000000001</v>
      </c>
    </row>
    <row r="4726" spans="1:9" x14ac:dyDescent="0.25">
      <c r="A4726" s="1">
        <v>2320050623</v>
      </c>
      <c r="B4726" s="1" t="s">
        <v>2816</v>
      </c>
      <c r="C4726" s="1" t="s">
        <v>126</v>
      </c>
      <c r="D4726" s="1" t="s">
        <v>127</v>
      </c>
      <c r="E4726" s="3">
        <v>16896</v>
      </c>
      <c r="F4726" s="1" t="s">
        <v>36</v>
      </c>
      <c r="G4726" s="1">
        <v>0</v>
      </c>
      <c r="H4726" s="1">
        <v>0</v>
      </c>
      <c r="I4726" s="1">
        <v>0.11434999999999999</v>
      </c>
    </row>
    <row r="4727" spans="1:9" x14ac:dyDescent="0.25">
      <c r="A4727" s="1">
        <v>2320050624</v>
      </c>
      <c r="B4727" s="1" t="s">
        <v>2817</v>
      </c>
      <c r="C4727" s="1" t="s">
        <v>130</v>
      </c>
      <c r="D4727" s="1" t="s">
        <v>131</v>
      </c>
      <c r="E4727" s="3">
        <v>4938</v>
      </c>
      <c r="F4727" s="1" t="s">
        <v>36</v>
      </c>
      <c r="G4727" s="1">
        <v>0</v>
      </c>
      <c r="H4727" s="1">
        <v>0</v>
      </c>
      <c r="I4727" s="1">
        <v>0.108627</v>
      </c>
    </row>
    <row r="4728" spans="1:9" x14ac:dyDescent="0.25">
      <c r="A4728" s="1">
        <v>2320050624</v>
      </c>
      <c r="B4728" s="1" t="s">
        <v>2817</v>
      </c>
      <c r="C4728" s="1" t="s">
        <v>126</v>
      </c>
      <c r="D4728" s="1" t="s">
        <v>127</v>
      </c>
      <c r="E4728" s="3">
        <v>12960</v>
      </c>
      <c r="F4728" s="1" t="s">
        <v>36</v>
      </c>
      <c r="G4728" s="1">
        <v>0</v>
      </c>
      <c r="H4728" s="1">
        <v>0</v>
      </c>
      <c r="I4728" s="1">
        <v>0.182002</v>
      </c>
    </row>
    <row r="4729" spans="1:9" x14ac:dyDescent="0.25">
      <c r="A4729" s="1">
        <v>2320050640</v>
      </c>
      <c r="B4729" s="1" t="s">
        <v>2818</v>
      </c>
      <c r="C4729" s="1" t="s">
        <v>126</v>
      </c>
      <c r="D4729" s="1" t="s">
        <v>127</v>
      </c>
      <c r="E4729" s="3">
        <v>325</v>
      </c>
      <c r="F4729" s="1" t="s">
        <v>36</v>
      </c>
      <c r="G4729" s="1">
        <v>0</v>
      </c>
      <c r="H4729" s="1">
        <v>0</v>
      </c>
      <c r="I4729" s="1">
        <v>7.7507999999999994E-2</v>
      </c>
    </row>
    <row r="4730" spans="1:9" x14ac:dyDescent="0.25">
      <c r="A4730" s="1">
        <v>2320050648</v>
      </c>
      <c r="B4730" s="1" t="s">
        <v>2819</v>
      </c>
      <c r="C4730" s="1" t="s">
        <v>126</v>
      </c>
      <c r="D4730" s="1" t="s">
        <v>127</v>
      </c>
      <c r="E4730" s="3">
        <v>816</v>
      </c>
      <c r="F4730" s="1" t="s">
        <v>36</v>
      </c>
      <c r="G4730" s="1">
        <v>0</v>
      </c>
      <c r="H4730" s="1">
        <v>0</v>
      </c>
      <c r="I4730" s="1">
        <v>0.13547799999999999</v>
      </c>
    </row>
    <row r="4731" spans="1:9" x14ac:dyDescent="0.25">
      <c r="A4731" s="1">
        <v>2320050668</v>
      </c>
      <c r="B4731" s="1" t="s">
        <v>2820</v>
      </c>
      <c r="C4731" s="1" t="s">
        <v>130</v>
      </c>
      <c r="D4731" s="1" t="s">
        <v>131</v>
      </c>
      <c r="E4731" s="3">
        <v>10330</v>
      </c>
      <c r="F4731" s="1" t="s">
        <v>36</v>
      </c>
      <c r="G4731" s="3">
        <v>0</v>
      </c>
      <c r="H4731" s="1">
        <v>0</v>
      </c>
      <c r="I4731" s="1">
        <v>0.18240400000000001</v>
      </c>
    </row>
    <row r="4732" spans="1:9" x14ac:dyDescent="0.25">
      <c r="A4732" s="1">
        <v>2320050669</v>
      </c>
      <c r="B4732" s="1" t="s">
        <v>2821</v>
      </c>
      <c r="C4732" s="1" t="s">
        <v>130</v>
      </c>
      <c r="D4732" s="1" t="s">
        <v>131</v>
      </c>
      <c r="E4732" s="3">
        <v>30</v>
      </c>
      <c r="F4732" s="1" t="s">
        <v>36</v>
      </c>
      <c r="G4732" s="1">
        <v>0</v>
      </c>
      <c r="H4732" s="1">
        <v>0</v>
      </c>
      <c r="I4732" s="1">
        <v>0.11600000000000001</v>
      </c>
    </row>
    <row r="4733" spans="1:9" x14ac:dyDescent="0.25">
      <c r="A4733" s="1">
        <v>2320050670</v>
      </c>
      <c r="B4733" s="1" t="s">
        <v>2822</v>
      </c>
      <c r="C4733" s="1" t="s">
        <v>130</v>
      </c>
      <c r="D4733" s="1" t="s">
        <v>131</v>
      </c>
      <c r="E4733" s="3">
        <v>17696</v>
      </c>
      <c r="F4733" s="1" t="s">
        <v>36</v>
      </c>
      <c r="G4733" s="1">
        <v>0</v>
      </c>
      <c r="H4733" s="3">
        <v>0</v>
      </c>
      <c r="I4733" s="1">
        <v>0.12150900000000001</v>
      </c>
    </row>
    <row r="4734" spans="1:9" x14ac:dyDescent="0.25">
      <c r="A4734" s="1">
        <v>2320050671</v>
      </c>
      <c r="B4734" s="1" t="s">
        <v>2823</v>
      </c>
      <c r="C4734" s="1" t="s">
        <v>130</v>
      </c>
      <c r="D4734" s="1" t="s">
        <v>131</v>
      </c>
      <c r="E4734" s="3">
        <v>78</v>
      </c>
      <c r="F4734" s="1" t="s">
        <v>36</v>
      </c>
      <c r="G4734" s="3">
        <v>0</v>
      </c>
      <c r="H4734" s="1">
        <v>0</v>
      </c>
      <c r="I4734" s="1">
        <v>0.146282</v>
      </c>
    </row>
    <row r="4735" spans="1:9" x14ac:dyDescent="0.25">
      <c r="A4735" s="1">
        <v>2320050672</v>
      </c>
      <c r="B4735" s="1" t="s">
        <v>2824</v>
      </c>
      <c r="C4735" s="1" t="s">
        <v>130</v>
      </c>
      <c r="D4735" s="1" t="s">
        <v>131</v>
      </c>
      <c r="E4735" s="3">
        <v>4811</v>
      </c>
      <c r="F4735" s="1" t="s">
        <v>36</v>
      </c>
      <c r="G4735" s="3">
        <v>0</v>
      </c>
      <c r="H4735" s="1">
        <v>0</v>
      </c>
      <c r="I4735" s="1">
        <v>0.23352899999999999</v>
      </c>
    </row>
    <row r="4736" spans="1:9" x14ac:dyDescent="0.25">
      <c r="A4736" s="1">
        <v>2320050673</v>
      </c>
      <c r="B4736" s="1" t="s">
        <v>2825</v>
      </c>
      <c r="C4736" s="1" t="s">
        <v>130</v>
      </c>
      <c r="D4736" s="1" t="s">
        <v>131</v>
      </c>
      <c r="E4736" s="3">
        <v>1424</v>
      </c>
      <c r="F4736" s="1" t="s">
        <v>36</v>
      </c>
      <c r="G4736" s="1">
        <v>0</v>
      </c>
      <c r="H4736" s="3">
        <v>0</v>
      </c>
      <c r="I4736" s="1">
        <v>0.33592699999999998</v>
      </c>
    </row>
    <row r="4737" spans="1:9" x14ac:dyDescent="0.25">
      <c r="A4737" s="1">
        <v>2320050679</v>
      </c>
      <c r="B4737" s="1" t="s">
        <v>2826</v>
      </c>
      <c r="C4737" s="1" t="s">
        <v>130</v>
      </c>
      <c r="D4737" s="1" t="s">
        <v>131</v>
      </c>
      <c r="E4737" s="3">
        <v>1389</v>
      </c>
      <c r="F4737" s="1" t="s">
        <v>36</v>
      </c>
      <c r="G4737" s="1">
        <v>0</v>
      </c>
      <c r="H4737" s="1">
        <v>0</v>
      </c>
      <c r="I4737" s="1">
        <v>0.317718</v>
      </c>
    </row>
    <row r="4738" spans="1:9" x14ac:dyDescent="0.25">
      <c r="A4738" s="1">
        <v>2320050685</v>
      </c>
      <c r="B4738" s="1" t="s">
        <v>2827</v>
      </c>
      <c r="C4738" s="1" t="s">
        <v>130</v>
      </c>
      <c r="D4738" s="1" t="s">
        <v>131</v>
      </c>
      <c r="E4738" s="3">
        <v>154</v>
      </c>
      <c r="F4738" s="1" t="s">
        <v>36</v>
      </c>
      <c r="G4738" s="3">
        <v>0</v>
      </c>
      <c r="H4738" s="1">
        <v>0</v>
      </c>
      <c r="I4738" s="1">
        <v>0.28629900000000003</v>
      </c>
    </row>
    <row r="4739" spans="1:9" x14ac:dyDescent="0.25">
      <c r="A4739" s="1">
        <v>2320050685</v>
      </c>
      <c r="B4739" s="1" t="s">
        <v>2827</v>
      </c>
      <c r="C4739" s="1" t="s">
        <v>126</v>
      </c>
      <c r="D4739" s="1" t="s">
        <v>127</v>
      </c>
      <c r="E4739" s="3">
        <v>3956</v>
      </c>
      <c r="F4739" s="1" t="s">
        <v>36</v>
      </c>
      <c r="G4739" s="1">
        <v>0</v>
      </c>
      <c r="H4739" s="3">
        <v>0</v>
      </c>
      <c r="I4739" s="1">
        <v>0.323986</v>
      </c>
    </row>
    <row r="4740" spans="1:9" x14ac:dyDescent="0.25">
      <c r="A4740" s="1">
        <v>2320050697</v>
      </c>
      <c r="B4740" s="1" t="s">
        <v>2828</v>
      </c>
      <c r="C4740" s="1" t="s">
        <v>130</v>
      </c>
      <c r="D4740" s="1" t="s">
        <v>131</v>
      </c>
      <c r="E4740" s="3">
        <v>1900</v>
      </c>
      <c r="F4740" s="1" t="s">
        <v>36</v>
      </c>
      <c r="G4740" s="1">
        <v>0</v>
      </c>
      <c r="H4740" s="3">
        <v>5000</v>
      </c>
      <c r="I4740" s="1">
        <v>0.271511</v>
      </c>
    </row>
    <row r="4741" spans="1:9" x14ac:dyDescent="0.25">
      <c r="A4741" s="1">
        <v>2320050697</v>
      </c>
      <c r="B4741" s="1" t="s">
        <v>2828</v>
      </c>
      <c r="C4741" s="1" t="s">
        <v>126</v>
      </c>
      <c r="D4741" s="1" t="s">
        <v>127</v>
      </c>
      <c r="E4741" s="3">
        <v>2000</v>
      </c>
      <c r="F4741" s="1" t="s">
        <v>36</v>
      </c>
      <c r="G4741" s="1">
        <v>0</v>
      </c>
      <c r="H4741" s="1">
        <v>0</v>
      </c>
      <c r="I4741" s="1">
        <v>0.77181999999999995</v>
      </c>
    </row>
    <row r="4742" spans="1:9" x14ac:dyDescent="0.25">
      <c r="A4742" s="1">
        <v>2320050716</v>
      </c>
      <c r="B4742" s="1" t="s">
        <v>2829</v>
      </c>
      <c r="C4742" s="1" t="s">
        <v>130</v>
      </c>
      <c r="D4742" s="1" t="s">
        <v>131</v>
      </c>
      <c r="E4742" s="3">
        <v>2750</v>
      </c>
      <c r="F4742" s="1" t="s">
        <v>36</v>
      </c>
      <c r="G4742" s="1">
        <v>0</v>
      </c>
      <c r="H4742" s="1">
        <v>0</v>
      </c>
      <c r="I4742" s="1">
        <v>0.36313499999999999</v>
      </c>
    </row>
    <row r="4743" spans="1:9" x14ac:dyDescent="0.25">
      <c r="A4743" s="1">
        <v>2320050720</v>
      </c>
      <c r="B4743" s="1" t="s">
        <v>2830</v>
      </c>
      <c r="C4743" s="1" t="s">
        <v>130</v>
      </c>
      <c r="D4743" s="1" t="s">
        <v>131</v>
      </c>
      <c r="E4743" s="3">
        <v>239</v>
      </c>
      <c r="F4743" s="1" t="s">
        <v>36</v>
      </c>
      <c r="G4743" s="1">
        <v>0</v>
      </c>
      <c r="H4743" s="1">
        <v>0</v>
      </c>
      <c r="I4743" s="1">
        <v>7.4979000000000004E-2</v>
      </c>
    </row>
    <row r="4744" spans="1:9" x14ac:dyDescent="0.25">
      <c r="A4744" s="1">
        <v>2320050720</v>
      </c>
      <c r="B4744" s="1" t="s">
        <v>2830</v>
      </c>
      <c r="C4744" s="1" t="s">
        <v>126</v>
      </c>
      <c r="D4744" s="1" t="s">
        <v>127</v>
      </c>
      <c r="E4744" s="3">
        <v>7765</v>
      </c>
      <c r="F4744" s="1" t="s">
        <v>36</v>
      </c>
      <c r="G4744" s="1">
        <v>0</v>
      </c>
      <c r="H4744" s="1">
        <v>0</v>
      </c>
      <c r="I4744" s="1">
        <v>7.4980000000000005E-2</v>
      </c>
    </row>
    <row r="4745" spans="1:9" x14ac:dyDescent="0.25">
      <c r="A4745" s="1">
        <v>2320050736</v>
      </c>
      <c r="B4745" s="1" t="s">
        <v>2831</v>
      </c>
      <c r="C4745" s="1" t="s">
        <v>130</v>
      </c>
      <c r="D4745" s="1" t="s">
        <v>131</v>
      </c>
      <c r="E4745" s="3">
        <v>8575</v>
      </c>
      <c r="F4745" s="1" t="s">
        <v>36</v>
      </c>
      <c r="G4745" s="1">
        <v>0</v>
      </c>
      <c r="H4745" s="1">
        <v>0</v>
      </c>
      <c r="I4745" s="1">
        <v>0.51433700000000004</v>
      </c>
    </row>
    <row r="4746" spans="1:9" x14ac:dyDescent="0.25">
      <c r="A4746" s="1">
        <v>2320050737</v>
      </c>
      <c r="B4746" s="1" t="s">
        <v>2832</v>
      </c>
      <c r="C4746" s="1" t="s">
        <v>130</v>
      </c>
      <c r="D4746" s="1" t="s">
        <v>131</v>
      </c>
      <c r="E4746" s="3">
        <v>1270</v>
      </c>
      <c r="F4746" s="1" t="s">
        <v>36</v>
      </c>
      <c r="G4746" s="1">
        <v>0</v>
      </c>
      <c r="H4746" s="1">
        <v>0</v>
      </c>
      <c r="I4746" s="1">
        <v>0.969252</v>
      </c>
    </row>
    <row r="4747" spans="1:9" x14ac:dyDescent="0.25">
      <c r="A4747" s="1">
        <v>2320050738</v>
      </c>
      <c r="B4747" s="1" t="s">
        <v>2833</v>
      </c>
      <c r="C4747" s="1" t="s">
        <v>130</v>
      </c>
      <c r="D4747" s="1" t="s">
        <v>131</v>
      </c>
      <c r="E4747" s="3">
        <v>1731</v>
      </c>
      <c r="F4747" s="1" t="s">
        <v>36</v>
      </c>
      <c r="G4747" s="1">
        <v>0</v>
      </c>
      <c r="H4747" s="1">
        <v>0</v>
      </c>
      <c r="I4747" s="1">
        <v>1.2569729999999999</v>
      </c>
    </row>
    <row r="4748" spans="1:9" x14ac:dyDescent="0.25">
      <c r="A4748" s="1">
        <v>2320050739</v>
      </c>
      <c r="B4748" s="1" t="s">
        <v>2834</v>
      </c>
      <c r="C4748" s="1" t="s">
        <v>130</v>
      </c>
      <c r="D4748" s="1" t="s">
        <v>131</v>
      </c>
      <c r="E4748" s="3">
        <v>650</v>
      </c>
      <c r="F4748" s="1" t="s">
        <v>36</v>
      </c>
      <c r="G4748" s="1">
        <v>0</v>
      </c>
      <c r="H4748" s="3">
        <v>0</v>
      </c>
      <c r="I4748" s="1">
        <v>0.84960000000000002</v>
      </c>
    </row>
    <row r="4749" spans="1:9" x14ac:dyDescent="0.25">
      <c r="A4749" s="1">
        <v>2320050740</v>
      </c>
      <c r="B4749" s="1" t="s">
        <v>2835</v>
      </c>
      <c r="C4749" s="1" t="s">
        <v>130</v>
      </c>
      <c r="D4749" s="1" t="s">
        <v>131</v>
      </c>
      <c r="E4749" s="3">
        <v>3079</v>
      </c>
      <c r="F4749" s="1" t="s">
        <v>36</v>
      </c>
      <c r="G4749" s="3">
        <v>0</v>
      </c>
      <c r="H4749" s="1">
        <v>0</v>
      </c>
      <c r="I4749" s="1">
        <v>0.53078599999999998</v>
      </c>
    </row>
    <row r="4750" spans="1:9" x14ac:dyDescent="0.25">
      <c r="A4750" s="1">
        <v>2320050745</v>
      </c>
      <c r="B4750" s="1" t="s">
        <v>2836</v>
      </c>
      <c r="C4750" s="1" t="s">
        <v>130</v>
      </c>
      <c r="D4750" s="1" t="s">
        <v>131</v>
      </c>
      <c r="E4750" s="3">
        <v>7915</v>
      </c>
      <c r="F4750" s="1" t="s">
        <v>36</v>
      </c>
      <c r="G4750" s="1">
        <v>0</v>
      </c>
      <c r="H4750" s="3">
        <v>38500</v>
      </c>
      <c r="I4750" s="1">
        <v>0.33208700000000002</v>
      </c>
    </row>
    <row r="4751" spans="1:9" x14ac:dyDescent="0.25">
      <c r="A4751" s="1">
        <v>2320050745</v>
      </c>
      <c r="B4751" s="1" t="s">
        <v>2836</v>
      </c>
      <c r="C4751" s="1" t="s">
        <v>126</v>
      </c>
      <c r="D4751" s="1" t="s">
        <v>127</v>
      </c>
      <c r="E4751" s="1">
        <v>526</v>
      </c>
      <c r="F4751" s="1" t="s">
        <v>36</v>
      </c>
      <c r="G4751" s="1">
        <v>0</v>
      </c>
      <c r="H4751" s="1">
        <v>0</v>
      </c>
      <c r="I4751" s="1">
        <v>1.3232699999999999</v>
      </c>
    </row>
    <row r="4752" spans="1:9" x14ac:dyDescent="0.25">
      <c r="A4752" s="1">
        <v>2320050746</v>
      </c>
      <c r="B4752" s="1" t="s">
        <v>2837</v>
      </c>
      <c r="C4752" s="1" t="s">
        <v>130</v>
      </c>
      <c r="D4752" s="1" t="s">
        <v>131</v>
      </c>
      <c r="E4752" s="3">
        <v>10000</v>
      </c>
      <c r="F4752" s="1" t="s">
        <v>36</v>
      </c>
      <c r="G4752" s="1">
        <v>0</v>
      </c>
      <c r="H4752" s="1">
        <v>0</v>
      </c>
      <c r="I4752" s="1">
        <v>0.22279299999999999</v>
      </c>
    </row>
    <row r="4753" spans="1:9" x14ac:dyDescent="0.25">
      <c r="A4753" s="1">
        <v>2320050750</v>
      </c>
      <c r="B4753" s="1" t="s">
        <v>2838</v>
      </c>
      <c r="C4753" s="1" t="s">
        <v>126</v>
      </c>
      <c r="D4753" s="1" t="s">
        <v>127</v>
      </c>
      <c r="E4753" s="3">
        <v>5200</v>
      </c>
      <c r="F4753" s="1" t="s">
        <v>36</v>
      </c>
      <c r="G4753" s="1">
        <v>0</v>
      </c>
      <c r="H4753" s="3">
        <v>0</v>
      </c>
      <c r="I4753" s="1">
        <v>0.13798299999999999</v>
      </c>
    </row>
    <row r="4754" spans="1:9" x14ac:dyDescent="0.25">
      <c r="A4754" s="1">
        <v>2320050751</v>
      </c>
      <c r="B4754" s="1" t="s">
        <v>2839</v>
      </c>
      <c r="C4754" s="1" t="s">
        <v>126</v>
      </c>
      <c r="D4754" s="1" t="s">
        <v>127</v>
      </c>
      <c r="E4754" s="3">
        <v>10222</v>
      </c>
      <c r="F4754" s="1" t="s">
        <v>36</v>
      </c>
      <c r="G4754" s="3">
        <v>0</v>
      </c>
      <c r="H4754" s="1">
        <v>0</v>
      </c>
      <c r="I4754" s="1">
        <v>0.344254</v>
      </c>
    </row>
    <row r="4755" spans="1:9" x14ac:dyDescent="0.25">
      <c r="A4755" s="1">
        <v>2320050752</v>
      </c>
      <c r="B4755" s="1" t="s">
        <v>2840</v>
      </c>
      <c r="C4755" s="1" t="s">
        <v>126</v>
      </c>
      <c r="D4755" s="1" t="s">
        <v>127</v>
      </c>
      <c r="E4755" s="3">
        <v>392</v>
      </c>
      <c r="F4755" s="1" t="s">
        <v>36</v>
      </c>
      <c r="G4755" s="1">
        <v>0</v>
      </c>
      <c r="H4755" s="3">
        <v>0</v>
      </c>
      <c r="I4755" s="1">
        <v>0.80563799999999997</v>
      </c>
    </row>
    <row r="4756" spans="1:9" x14ac:dyDescent="0.25">
      <c r="A4756" s="1">
        <v>2320050753</v>
      </c>
      <c r="B4756" s="1" t="s">
        <v>2841</v>
      </c>
      <c r="C4756" s="1" t="s">
        <v>126</v>
      </c>
      <c r="D4756" s="1" t="s">
        <v>127</v>
      </c>
      <c r="E4756" s="3">
        <v>3895</v>
      </c>
      <c r="F4756" s="1" t="s">
        <v>36</v>
      </c>
      <c r="G4756" s="3">
        <v>0</v>
      </c>
      <c r="H4756" s="1">
        <v>0</v>
      </c>
      <c r="I4756" s="1">
        <v>0.37208999999999998</v>
      </c>
    </row>
    <row r="4757" spans="1:9" x14ac:dyDescent="0.25">
      <c r="A4757" s="1">
        <v>2320050754</v>
      </c>
      <c r="B4757" s="1" t="s">
        <v>2842</v>
      </c>
      <c r="C4757" s="1" t="s">
        <v>130</v>
      </c>
      <c r="D4757" s="1" t="s">
        <v>131</v>
      </c>
      <c r="E4757" s="3">
        <v>13071</v>
      </c>
      <c r="F4757" s="1" t="s">
        <v>36</v>
      </c>
      <c r="G4757" s="1">
        <v>0</v>
      </c>
      <c r="H4757" s="3">
        <v>0</v>
      </c>
      <c r="I4757" s="1">
        <v>0.19369400000000001</v>
      </c>
    </row>
    <row r="4758" spans="1:9" x14ac:dyDescent="0.25">
      <c r="A4758" s="1">
        <v>2320050766</v>
      </c>
      <c r="B4758" s="1" t="s">
        <v>2843</v>
      </c>
      <c r="C4758" s="1" t="s">
        <v>130</v>
      </c>
      <c r="D4758" s="1" t="s">
        <v>131</v>
      </c>
      <c r="E4758" s="1">
        <v>39</v>
      </c>
      <c r="F4758" s="1" t="s">
        <v>36</v>
      </c>
      <c r="G4758" s="1">
        <v>0</v>
      </c>
      <c r="H4758" s="1">
        <v>0</v>
      </c>
      <c r="I4758" s="1">
        <v>0.19820499999999999</v>
      </c>
    </row>
    <row r="4759" spans="1:9" x14ac:dyDescent="0.25">
      <c r="A4759" s="1">
        <v>2320050767</v>
      </c>
      <c r="B4759" s="1" t="s">
        <v>2844</v>
      </c>
      <c r="C4759" s="1" t="s">
        <v>130</v>
      </c>
      <c r="D4759" s="1" t="s">
        <v>131</v>
      </c>
      <c r="E4759" s="1">
        <v>743</v>
      </c>
      <c r="F4759" s="1" t="s">
        <v>36</v>
      </c>
      <c r="G4759" s="1">
        <v>0</v>
      </c>
      <c r="H4759" s="1">
        <v>0</v>
      </c>
      <c r="I4759" s="1">
        <v>0.198183</v>
      </c>
    </row>
    <row r="4760" spans="1:9" x14ac:dyDescent="0.25">
      <c r="A4760" s="1">
        <v>2320050768</v>
      </c>
      <c r="B4760" s="1" t="s">
        <v>2845</v>
      </c>
      <c r="C4760" s="1" t="s">
        <v>130</v>
      </c>
      <c r="D4760" s="1" t="s">
        <v>131</v>
      </c>
      <c r="E4760" s="1">
        <v>633</v>
      </c>
      <c r="F4760" s="1" t="s">
        <v>36</v>
      </c>
      <c r="G4760" s="1">
        <v>0</v>
      </c>
      <c r="H4760" s="1">
        <v>0</v>
      </c>
      <c r="I4760" s="1">
        <v>0.198183</v>
      </c>
    </row>
    <row r="4761" spans="1:9" x14ac:dyDescent="0.25">
      <c r="A4761" s="1">
        <v>2320050771</v>
      </c>
      <c r="B4761" s="1" t="s">
        <v>2846</v>
      </c>
      <c r="C4761" s="1" t="s">
        <v>130</v>
      </c>
      <c r="D4761" s="1" t="s">
        <v>131</v>
      </c>
      <c r="E4761" s="3">
        <v>4727</v>
      </c>
      <c r="F4761" s="1" t="s">
        <v>36</v>
      </c>
      <c r="G4761" s="1">
        <v>0</v>
      </c>
      <c r="H4761" s="1">
        <v>0</v>
      </c>
      <c r="I4761" s="1">
        <v>0.237343</v>
      </c>
    </row>
    <row r="4762" spans="1:9" x14ac:dyDescent="0.25">
      <c r="A4762" s="1">
        <v>2320050772</v>
      </c>
      <c r="B4762" s="1" t="s">
        <v>2847</v>
      </c>
      <c r="C4762" s="1" t="s">
        <v>130</v>
      </c>
      <c r="D4762" s="1" t="s">
        <v>131</v>
      </c>
      <c r="E4762" s="3">
        <v>2454</v>
      </c>
      <c r="F4762" s="1" t="s">
        <v>36</v>
      </c>
      <c r="G4762" s="1">
        <v>0</v>
      </c>
      <c r="H4762" s="1">
        <v>0</v>
      </c>
      <c r="I4762" s="1">
        <v>0.26982899999999999</v>
      </c>
    </row>
    <row r="4763" spans="1:9" x14ac:dyDescent="0.25">
      <c r="A4763" s="1">
        <v>2320050773</v>
      </c>
      <c r="B4763" s="1" t="s">
        <v>2848</v>
      </c>
      <c r="C4763" s="1" t="s">
        <v>126</v>
      </c>
      <c r="D4763" s="1" t="s">
        <v>127</v>
      </c>
      <c r="E4763" s="3">
        <v>5085</v>
      </c>
      <c r="F4763" s="1" t="s">
        <v>36</v>
      </c>
      <c r="G4763" s="1">
        <v>0</v>
      </c>
      <c r="H4763" s="1">
        <v>0</v>
      </c>
      <c r="I4763" s="1">
        <v>0.38877899999999999</v>
      </c>
    </row>
    <row r="4764" spans="1:9" x14ac:dyDescent="0.25">
      <c r="A4764" s="1">
        <v>2320050774</v>
      </c>
      <c r="B4764" s="1" t="s">
        <v>2849</v>
      </c>
      <c r="C4764" s="1" t="s">
        <v>126</v>
      </c>
      <c r="D4764" s="1" t="s">
        <v>127</v>
      </c>
      <c r="E4764" s="3">
        <v>4222</v>
      </c>
      <c r="F4764" s="1" t="s">
        <v>36</v>
      </c>
      <c r="G4764" s="1">
        <v>0</v>
      </c>
      <c r="H4764" s="1">
        <v>0</v>
      </c>
      <c r="I4764" s="1">
        <v>0.33026299999999997</v>
      </c>
    </row>
    <row r="4765" spans="1:9" x14ac:dyDescent="0.25">
      <c r="A4765" s="1">
        <v>2320050775</v>
      </c>
      <c r="B4765" s="1" t="s">
        <v>2850</v>
      </c>
      <c r="C4765" s="1" t="s">
        <v>130</v>
      </c>
      <c r="D4765" s="1" t="s">
        <v>131</v>
      </c>
      <c r="E4765" s="1">
        <v>98</v>
      </c>
      <c r="F4765" s="1" t="s">
        <v>36</v>
      </c>
      <c r="G4765" s="1">
        <v>0</v>
      </c>
      <c r="H4765" s="1">
        <v>0</v>
      </c>
      <c r="I4765" s="1">
        <v>0.22418399999999999</v>
      </c>
    </row>
    <row r="4766" spans="1:9" x14ac:dyDescent="0.25">
      <c r="A4766" s="1">
        <v>2320050775</v>
      </c>
      <c r="B4766" s="1" t="s">
        <v>2850</v>
      </c>
      <c r="C4766" s="1" t="s">
        <v>126</v>
      </c>
      <c r="D4766" s="1" t="s">
        <v>127</v>
      </c>
      <c r="E4766" s="3">
        <v>3121</v>
      </c>
      <c r="F4766" s="1" t="s">
        <v>36</v>
      </c>
      <c r="G4766" s="1">
        <v>0</v>
      </c>
      <c r="H4766" s="1">
        <v>0</v>
      </c>
      <c r="I4766" s="1">
        <v>0.38727</v>
      </c>
    </row>
    <row r="4767" spans="1:9" x14ac:dyDescent="0.25">
      <c r="A4767" s="1">
        <v>2320050782</v>
      </c>
      <c r="B4767" s="1" t="s">
        <v>2851</v>
      </c>
      <c r="C4767" s="1" t="s">
        <v>130</v>
      </c>
      <c r="D4767" s="1" t="s">
        <v>131</v>
      </c>
      <c r="E4767" s="3">
        <v>3450</v>
      </c>
      <c r="F4767" s="1" t="s">
        <v>36</v>
      </c>
      <c r="G4767" s="1">
        <v>0</v>
      </c>
      <c r="H4767" s="1">
        <v>0</v>
      </c>
      <c r="I4767" s="1">
        <v>0.61772800000000005</v>
      </c>
    </row>
    <row r="4768" spans="1:9" x14ac:dyDescent="0.25">
      <c r="A4768" s="1">
        <v>2320050782</v>
      </c>
      <c r="B4768" s="1" t="s">
        <v>2851</v>
      </c>
      <c r="C4768" s="1" t="s">
        <v>167</v>
      </c>
      <c r="D4768" s="1" t="s">
        <v>168</v>
      </c>
      <c r="E4768" s="1">
        <v>360</v>
      </c>
      <c r="F4768" s="1" t="s">
        <v>36</v>
      </c>
      <c r="G4768" s="1">
        <v>0</v>
      </c>
      <c r="H4768" s="1">
        <v>0</v>
      </c>
      <c r="I4768" s="1">
        <v>0.626583</v>
      </c>
    </row>
    <row r="4769" spans="1:9" x14ac:dyDescent="0.25">
      <c r="A4769" s="1">
        <v>2320050786</v>
      </c>
      <c r="B4769" s="1" t="s">
        <v>2852</v>
      </c>
      <c r="C4769" s="1" t="s">
        <v>130</v>
      </c>
      <c r="D4769" s="1" t="s">
        <v>131</v>
      </c>
      <c r="E4769" s="1">
        <v>830</v>
      </c>
      <c r="F4769" s="1" t="s">
        <v>36</v>
      </c>
      <c r="G4769" s="1">
        <v>0</v>
      </c>
      <c r="H4769" s="1">
        <v>0</v>
      </c>
      <c r="I4769" s="1">
        <v>0.426205</v>
      </c>
    </row>
    <row r="4770" spans="1:9" x14ac:dyDescent="0.25">
      <c r="A4770" s="1">
        <v>2320050787</v>
      </c>
      <c r="B4770" s="1" t="s">
        <v>2853</v>
      </c>
      <c r="C4770" s="1" t="s">
        <v>130</v>
      </c>
      <c r="D4770" s="1" t="s">
        <v>131</v>
      </c>
      <c r="E4770" s="3">
        <v>1110</v>
      </c>
      <c r="F4770" s="1" t="s">
        <v>36</v>
      </c>
      <c r="G4770" s="1">
        <v>0</v>
      </c>
      <c r="H4770" s="1">
        <v>0</v>
      </c>
      <c r="I4770" s="1">
        <v>0.409937</v>
      </c>
    </row>
    <row r="4771" spans="1:9" x14ac:dyDescent="0.25">
      <c r="A4771" s="1">
        <v>2320050788</v>
      </c>
      <c r="B4771" s="1" t="s">
        <v>2854</v>
      </c>
      <c r="C4771" s="1" t="s">
        <v>130</v>
      </c>
      <c r="D4771" s="1" t="s">
        <v>131</v>
      </c>
      <c r="E4771" s="3">
        <v>954</v>
      </c>
      <c r="F4771" s="1" t="s">
        <v>36</v>
      </c>
      <c r="G4771" s="1">
        <v>0</v>
      </c>
      <c r="H4771" s="1">
        <v>0</v>
      </c>
      <c r="I4771" s="1">
        <v>0.68507300000000004</v>
      </c>
    </row>
    <row r="4772" spans="1:9" x14ac:dyDescent="0.25">
      <c r="A4772" s="1">
        <v>2320050789</v>
      </c>
      <c r="B4772" s="1" t="s">
        <v>2855</v>
      </c>
      <c r="C4772" s="1" t="s">
        <v>130</v>
      </c>
      <c r="D4772" s="1" t="s">
        <v>131</v>
      </c>
      <c r="E4772" s="3">
        <v>1185</v>
      </c>
      <c r="F4772" s="1" t="s">
        <v>36</v>
      </c>
      <c r="G4772" s="1">
        <v>0</v>
      </c>
      <c r="H4772" s="1">
        <v>0</v>
      </c>
      <c r="I4772" s="1">
        <v>0.368143</v>
      </c>
    </row>
    <row r="4773" spans="1:9" x14ac:dyDescent="0.25">
      <c r="A4773" s="1">
        <v>2320050800</v>
      </c>
      <c r="B4773" s="1" t="s">
        <v>2856</v>
      </c>
      <c r="C4773" s="1" t="s">
        <v>130</v>
      </c>
      <c r="D4773" s="1" t="s">
        <v>131</v>
      </c>
      <c r="E4773" s="3">
        <v>3827</v>
      </c>
      <c r="F4773" s="1" t="s">
        <v>36</v>
      </c>
      <c r="G4773" s="1">
        <v>0</v>
      </c>
      <c r="H4773" s="1">
        <v>0</v>
      </c>
      <c r="I4773" s="1">
        <v>0.99814199999999997</v>
      </c>
    </row>
    <row r="4774" spans="1:9" x14ac:dyDescent="0.25">
      <c r="A4774" s="1">
        <v>2320050802</v>
      </c>
      <c r="B4774" s="1" t="s">
        <v>2857</v>
      </c>
      <c r="C4774" s="1" t="s">
        <v>130</v>
      </c>
      <c r="D4774" s="1" t="s">
        <v>131</v>
      </c>
      <c r="E4774" s="3">
        <v>7456</v>
      </c>
      <c r="F4774" s="1" t="s">
        <v>36</v>
      </c>
      <c r="G4774" s="1">
        <v>0</v>
      </c>
      <c r="H4774" s="1">
        <v>0</v>
      </c>
      <c r="I4774" s="1">
        <v>0.134468</v>
      </c>
    </row>
    <row r="4775" spans="1:9" x14ac:dyDescent="0.25">
      <c r="A4775" s="1">
        <v>2320050803</v>
      </c>
      <c r="B4775" s="1" t="s">
        <v>2858</v>
      </c>
      <c r="C4775" s="1" t="s">
        <v>130</v>
      </c>
      <c r="D4775" s="1" t="s">
        <v>131</v>
      </c>
      <c r="E4775" s="3">
        <v>4624</v>
      </c>
      <c r="F4775" s="1" t="s">
        <v>36</v>
      </c>
      <c r="G4775" s="1">
        <v>0</v>
      </c>
      <c r="H4775" s="1">
        <v>0</v>
      </c>
      <c r="I4775" s="1">
        <v>0.13250600000000001</v>
      </c>
    </row>
    <row r="4776" spans="1:9" x14ac:dyDescent="0.25">
      <c r="A4776">
        <v>2320050804</v>
      </c>
      <c r="B4776" t="s">
        <v>2859</v>
      </c>
      <c r="C4776" t="s">
        <v>130</v>
      </c>
      <c r="D4776" t="s">
        <v>131</v>
      </c>
      <c r="E4776" s="2">
        <v>565</v>
      </c>
      <c r="F4776" t="s">
        <v>36</v>
      </c>
      <c r="G4776">
        <v>0</v>
      </c>
      <c r="H4776">
        <v>0</v>
      </c>
      <c r="I4776">
        <v>0.45118599999999998</v>
      </c>
    </row>
    <row r="4777" spans="1:9" x14ac:dyDescent="0.25">
      <c r="A4777">
        <v>2320050805</v>
      </c>
      <c r="B4777" t="s">
        <v>2860</v>
      </c>
      <c r="C4777" t="s">
        <v>130</v>
      </c>
      <c r="D4777" t="s">
        <v>131</v>
      </c>
      <c r="E4777" s="2">
        <v>921</v>
      </c>
      <c r="F4777" t="s">
        <v>36</v>
      </c>
      <c r="G4777">
        <v>0</v>
      </c>
      <c r="H4777" s="2">
        <v>0</v>
      </c>
      <c r="I4777">
        <v>0.30330099999999999</v>
      </c>
    </row>
    <row r="4778" spans="1:9" x14ac:dyDescent="0.25">
      <c r="A4778">
        <v>2320050808</v>
      </c>
      <c r="B4778" t="s">
        <v>2861</v>
      </c>
      <c r="C4778" t="s">
        <v>130</v>
      </c>
      <c r="D4778" t="s">
        <v>131</v>
      </c>
      <c r="E4778" s="2">
        <v>1698</v>
      </c>
      <c r="F4778" t="s">
        <v>36</v>
      </c>
      <c r="G4778">
        <v>0</v>
      </c>
      <c r="H4778">
        <v>0</v>
      </c>
      <c r="I4778">
        <v>0.620035</v>
      </c>
    </row>
    <row r="4779" spans="1:9" x14ac:dyDescent="0.25">
      <c r="A4779">
        <v>2320050809</v>
      </c>
      <c r="B4779" t="s">
        <v>2862</v>
      </c>
      <c r="C4779" t="s">
        <v>130</v>
      </c>
      <c r="D4779" t="s">
        <v>131</v>
      </c>
      <c r="E4779" s="2">
        <v>1619</v>
      </c>
      <c r="F4779" t="s">
        <v>36</v>
      </c>
      <c r="G4779">
        <v>0</v>
      </c>
      <c r="H4779">
        <v>0</v>
      </c>
      <c r="I4779">
        <v>0.58938199999999996</v>
      </c>
    </row>
    <row r="4780" spans="1:9" x14ac:dyDescent="0.25">
      <c r="A4780" s="1">
        <v>2320050809</v>
      </c>
      <c r="B4780" s="1" t="s">
        <v>2862</v>
      </c>
      <c r="C4780" s="1" t="s">
        <v>142</v>
      </c>
      <c r="D4780" s="1" t="s">
        <v>143</v>
      </c>
      <c r="E4780" s="1">
        <v>1E-3</v>
      </c>
      <c r="F4780" s="1" t="s">
        <v>36</v>
      </c>
      <c r="G4780" s="1">
        <v>0</v>
      </c>
      <c r="H4780" s="1">
        <v>0</v>
      </c>
      <c r="I4780" s="3">
        <v>0</v>
      </c>
    </row>
    <row r="4781" spans="1:9" x14ac:dyDescent="0.25">
      <c r="A4781">
        <v>2320050810</v>
      </c>
      <c r="B4781" t="s">
        <v>2863</v>
      </c>
      <c r="C4781" t="s">
        <v>130</v>
      </c>
      <c r="D4781" t="s">
        <v>131</v>
      </c>
      <c r="E4781" s="2">
        <v>1000</v>
      </c>
      <c r="F4781" t="s">
        <v>36</v>
      </c>
      <c r="G4781">
        <v>0</v>
      </c>
      <c r="H4781" s="2">
        <v>0</v>
      </c>
      <c r="I4781">
        <v>0.25713000000000003</v>
      </c>
    </row>
    <row r="4782" spans="1:9" x14ac:dyDescent="0.25">
      <c r="A4782">
        <v>2320050811</v>
      </c>
      <c r="B4782" t="s">
        <v>2864</v>
      </c>
      <c r="C4782" t="s">
        <v>130</v>
      </c>
      <c r="D4782" t="s">
        <v>131</v>
      </c>
      <c r="E4782" s="2">
        <v>1750</v>
      </c>
      <c r="F4782" t="s">
        <v>36</v>
      </c>
      <c r="G4782">
        <v>0</v>
      </c>
      <c r="H4782">
        <v>0</v>
      </c>
      <c r="I4782">
        <v>0.194274</v>
      </c>
    </row>
    <row r="4783" spans="1:9" x14ac:dyDescent="0.25">
      <c r="A4783" s="1">
        <v>2320050817</v>
      </c>
      <c r="B4783" s="1" t="s">
        <v>2865</v>
      </c>
      <c r="C4783" s="1" t="s">
        <v>130</v>
      </c>
      <c r="D4783" s="1" t="s">
        <v>131</v>
      </c>
      <c r="E4783" s="3">
        <v>3181</v>
      </c>
      <c r="F4783" s="1" t="s">
        <v>36</v>
      </c>
      <c r="G4783" s="1">
        <v>0</v>
      </c>
      <c r="H4783" s="1">
        <v>0</v>
      </c>
      <c r="I4783" s="1">
        <v>0.38437900000000003</v>
      </c>
    </row>
    <row r="4784" spans="1:9" x14ac:dyDescent="0.25">
      <c r="A4784" s="1">
        <v>2320050818</v>
      </c>
      <c r="B4784" s="1" t="s">
        <v>32</v>
      </c>
      <c r="C4784" s="1" t="s">
        <v>130</v>
      </c>
      <c r="D4784" s="1" t="s">
        <v>131</v>
      </c>
      <c r="E4784" s="3">
        <v>6200</v>
      </c>
      <c r="F4784" s="1" t="s">
        <v>36</v>
      </c>
      <c r="G4784" s="1">
        <v>0</v>
      </c>
      <c r="H4784" s="3">
        <v>38400</v>
      </c>
      <c r="I4784" s="1">
        <v>0.11834500000000001</v>
      </c>
    </row>
    <row r="4785" spans="1:9" x14ac:dyDescent="0.25">
      <c r="A4785" s="1">
        <v>2320050818</v>
      </c>
      <c r="B4785" s="1" t="s">
        <v>32</v>
      </c>
      <c r="C4785" s="1" t="s">
        <v>142</v>
      </c>
      <c r="D4785" s="1" t="s">
        <v>143</v>
      </c>
      <c r="E4785" s="3">
        <v>14060</v>
      </c>
      <c r="F4785" s="1" t="s">
        <v>36</v>
      </c>
      <c r="G4785" s="1">
        <v>0</v>
      </c>
      <c r="H4785" s="1">
        <v>0</v>
      </c>
      <c r="I4785" s="3">
        <v>0.119445</v>
      </c>
    </row>
    <row r="4786" spans="1:9" x14ac:dyDescent="0.25">
      <c r="A4786" s="1">
        <v>2320050820</v>
      </c>
      <c r="B4786" s="1" t="s">
        <v>2866</v>
      </c>
      <c r="C4786" s="1" t="s">
        <v>130</v>
      </c>
      <c r="D4786" s="1" t="s">
        <v>131</v>
      </c>
      <c r="E4786" s="1">
        <v>500</v>
      </c>
      <c r="F4786" s="1" t="s">
        <v>36</v>
      </c>
      <c r="G4786" s="1">
        <v>0</v>
      </c>
      <c r="H4786" s="1">
        <v>0</v>
      </c>
      <c r="I4786" s="1">
        <v>0.51490000000000002</v>
      </c>
    </row>
    <row r="4787" spans="1:9" x14ac:dyDescent="0.25">
      <c r="A4787">
        <v>2320050821</v>
      </c>
      <c r="B4787" t="s">
        <v>2867</v>
      </c>
      <c r="C4787" t="s">
        <v>130</v>
      </c>
      <c r="D4787" t="s">
        <v>131</v>
      </c>
      <c r="E4787" s="2">
        <v>800</v>
      </c>
      <c r="F4787" t="s">
        <v>36</v>
      </c>
      <c r="G4787">
        <v>0</v>
      </c>
      <c r="H4787">
        <v>0</v>
      </c>
      <c r="I4787">
        <v>0.67106299999999997</v>
      </c>
    </row>
    <row r="4788" spans="1:9" x14ac:dyDescent="0.25">
      <c r="A4788" s="1">
        <v>2320050822</v>
      </c>
      <c r="B4788" s="1" t="s">
        <v>2868</v>
      </c>
      <c r="C4788" s="1" t="s">
        <v>130</v>
      </c>
      <c r="D4788" s="1" t="s">
        <v>131</v>
      </c>
      <c r="E4788" s="3">
        <v>44</v>
      </c>
      <c r="F4788" s="1" t="s">
        <v>36</v>
      </c>
      <c r="G4788" s="1">
        <v>0</v>
      </c>
      <c r="H4788" s="1">
        <v>0</v>
      </c>
      <c r="I4788" s="1">
        <v>0.378409</v>
      </c>
    </row>
    <row r="4789" spans="1:9" x14ac:dyDescent="0.25">
      <c r="A4789" s="1">
        <v>2320050824</v>
      </c>
      <c r="B4789" s="1" t="s">
        <v>2869</v>
      </c>
      <c r="C4789" s="1" t="s">
        <v>130</v>
      </c>
      <c r="D4789" s="1" t="s">
        <v>131</v>
      </c>
      <c r="E4789" s="3">
        <v>50</v>
      </c>
      <c r="F4789" s="1" t="s">
        <v>36</v>
      </c>
      <c r="G4789" s="1">
        <v>0</v>
      </c>
      <c r="H4789" s="1">
        <v>0</v>
      </c>
      <c r="I4789" s="1">
        <v>0.32940000000000003</v>
      </c>
    </row>
    <row r="4790" spans="1:9" x14ac:dyDescent="0.25">
      <c r="A4790" s="1">
        <v>2320050825</v>
      </c>
      <c r="B4790" s="1" t="s">
        <v>2870</v>
      </c>
      <c r="C4790" s="1" t="s">
        <v>130</v>
      </c>
      <c r="D4790" s="1" t="s">
        <v>131</v>
      </c>
      <c r="E4790" s="3">
        <v>49</v>
      </c>
      <c r="F4790" s="1" t="s">
        <v>36</v>
      </c>
      <c r="G4790" s="1">
        <v>0</v>
      </c>
      <c r="H4790" s="1">
        <v>0</v>
      </c>
      <c r="I4790" s="1">
        <v>0.225714</v>
      </c>
    </row>
    <row r="4791" spans="1:9" x14ac:dyDescent="0.25">
      <c r="A4791" s="1">
        <v>2320050826</v>
      </c>
      <c r="B4791" s="1" t="s">
        <v>33</v>
      </c>
      <c r="C4791" s="1" t="s">
        <v>130</v>
      </c>
      <c r="D4791" s="1" t="s">
        <v>131</v>
      </c>
      <c r="E4791" s="3">
        <v>2757</v>
      </c>
      <c r="F4791" s="1" t="s">
        <v>36</v>
      </c>
      <c r="G4791" s="1">
        <v>0</v>
      </c>
      <c r="H4791" s="1">
        <v>0</v>
      </c>
      <c r="I4791" s="1">
        <v>0.46694600000000003</v>
      </c>
    </row>
    <row r="4792" spans="1:9" x14ac:dyDescent="0.25">
      <c r="A4792" s="1">
        <v>2320050826</v>
      </c>
      <c r="B4792" s="1" t="s">
        <v>33</v>
      </c>
      <c r="C4792" s="1" t="s">
        <v>142</v>
      </c>
      <c r="D4792" s="1" t="s">
        <v>143</v>
      </c>
      <c r="E4792" s="1">
        <v>974</v>
      </c>
      <c r="F4792" s="1" t="s">
        <v>36</v>
      </c>
      <c r="G4792" s="1">
        <v>0</v>
      </c>
      <c r="H4792" s="1">
        <v>0</v>
      </c>
      <c r="I4792" s="1">
        <v>0.46584199999999998</v>
      </c>
    </row>
    <row r="4793" spans="1:9" x14ac:dyDescent="0.25">
      <c r="A4793" s="1">
        <v>2320050827</v>
      </c>
      <c r="B4793" s="1" t="s">
        <v>2871</v>
      </c>
      <c r="C4793" s="1" t="s">
        <v>130</v>
      </c>
      <c r="D4793" s="1" t="s">
        <v>131</v>
      </c>
      <c r="E4793" s="3">
        <v>6593</v>
      </c>
      <c r="F4793" s="1" t="s">
        <v>36</v>
      </c>
      <c r="G4793" s="1">
        <v>0</v>
      </c>
      <c r="H4793" s="1">
        <v>0</v>
      </c>
      <c r="I4793" s="1">
        <v>3.8033999999999998E-2</v>
      </c>
    </row>
    <row r="4794" spans="1:9" x14ac:dyDescent="0.25">
      <c r="A4794" s="1">
        <v>2320050828</v>
      </c>
      <c r="B4794" s="1" t="s">
        <v>2872</v>
      </c>
      <c r="C4794" s="1" t="s">
        <v>130</v>
      </c>
      <c r="D4794" s="1" t="s">
        <v>131</v>
      </c>
      <c r="E4794" s="3">
        <v>1273</v>
      </c>
      <c r="F4794" s="1" t="s">
        <v>36</v>
      </c>
      <c r="G4794" s="1">
        <v>0</v>
      </c>
      <c r="H4794" s="1">
        <v>0</v>
      </c>
      <c r="I4794" s="1">
        <v>0.46716400000000002</v>
      </c>
    </row>
    <row r="4795" spans="1:9" x14ac:dyDescent="0.25">
      <c r="A4795" s="1">
        <v>2320050835</v>
      </c>
      <c r="B4795" s="1" t="s">
        <v>2873</v>
      </c>
      <c r="C4795" s="1" t="s">
        <v>130</v>
      </c>
      <c r="D4795" s="1" t="s">
        <v>131</v>
      </c>
      <c r="E4795" s="3">
        <v>3308</v>
      </c>
      <c r="F4795" s="1" t="s">
        <v>36</v>
      </c>
      <c r="G4795" s="1">
        <v>0</v>
      </c>
      <c r="H4795" s="1">
        <v>0</v>
      </c>
      <c r="I4795" s="1">
        <v>9.1704999999999995E-2</v>
      </c>
    </row>
    <row r="4796" spans="1:9" x14ac:dyDescent="0.25">
      <c r="A4796" s="1">
        <v>2320050836</v>
      </c>
      <c r="B4796" s="1" t="s">
        <v>2874</v>
      </c>
      <c r="C4796" s="1" t="s">
        <v>130</v>
      </c>
      <c r="D4796" s="1" t="s">
        <v>131</v>
      </c>
      <c r="E4796" s="3">
        <v>3175</v>
      </c>
      <c r="F4796" s="1" t="s">
        <v>36</v>
      </c>
      <c r="G4796" s="1">
        <v>0</v>
      </c>
      <c r="H4796" s="1">
        <v>0</v>
      </c>
      <c r="I4796" s="1">
        <v>8.9657000000000001E-2</v>
      </c>
    </row>
    <row r="4797" spans="1:9" x14ac:dyDescent="0.25">
      <c r="A4797" s="1">
        <v>2320050837</v>
      </c>
      <c r="B4797" s="1" t="s">
        <v>1313</v>
      </c>
      <c r="C4797" s="1" t="s">
        <v>130</v>
      </c>
      <c r="D4797" s="1" t="s">
        <v>131</v>
      </c>
      <c r="E4797" s="1">
        <v>292</v>
      </c>
      <c r="F4797" s="1" t="s">
        <v>36</v>
      </c>
      <c r="G4797" s="1">
        <v>0</v>
      </c>
      <c r="H4797" s="1">
        <v>0</v>
      </c>
      <c r="I4797" s="1">
        <v>0.25530799999999998</v>
      </c>
    </row>
    <row r="4798" spans="1:9" x14ac:dyDescent="0.25">
      <c r="A4798" s="1">
        <v>2320050839</v>
      </c>
      <c r="B4798" s="1" t="s">
        <v>1308</v>
      </c>
      <c r="C4798" s="1" t="s">
        <v>130</v>
      </c>
      <c r="D4798" s="1" t="s">
        <v>131</v>
      </c>
      <c r="E4798" s="1">
        <v>724</v>
      </c>
      <c r="F4798" s="1" t="s">
        <v>36</v>
      </c>
      <c r="G4798" s="1">
        <v>0</v>
      </c>
      <c r="H4798" s="1">
        <v>0</v>
      </c>
      <c r="I4798" s="1">
        <v>0.25428200000000001</v>
      </c>
    </row>
    <row r="4799" spans="1:9" x14ac:dyDescent="0.25">
      <c r="A4799" s="1">
        <v>2320050840</v>
      </c>
      <c r="B4799" s="1" t="s">
        <v>1318</v>
      </c>
      <c r="C4799" s="1" t="s">
        <v>130</v>
      </c>
      <c r="D4799" s="1" t="s">
        <v>131</v>
      </c>
      <c r="E4799" s="3">
        <v>1230</v>
      </c>
      <c r="F4799" s="1" t="s">
        <v>36</v>
      </c>
      <c r="G4799" s="1">
        <v>0</v>
      </c>
      <c r="H4799" s="1">
        <v>0</v>
      </c>
      <c r="I4799" s="1">
        <v>0.24015400000000001</v>
      </c>
    </row>
    <row r="4800" spans="1:9" x14ac:dyDescent="0.25">
      <c r="A4800" s="1">
        <v>2320050841</v>
      </c>
      <c r="B4800" s="1" t="s">
        <v>1314</v>
      </c>
      <c r="C4800" s="1" t="s">
        <v>130</v>
      </c>
      <c r="D4800" s="1" t="s">
        <v>131</v>
      </c>
      <c r="E4800" s="1">
        <v>229</v>
      </c>
      <c r="F4800" s="1" t="s">
        <v>36</v>
      </c>
      <c r="G4800" s="1">
        <v>0</v>
      </c>
      <c r="H4800" s="1">
        <v>0</v>
      </c>
      <c r="I4800" s="1">
        <v>0.25061099999999997</v>
      </c>
    </row>
    <row r="4801" spans="1:9" x14ac:dyDescent="0.25">
      <c r="A4801" s="1">
        <v>2320050842</v>
      </c>
      <c r="B4801" s="1" t="s">
        <v>1309</v>
      </c>
      <c r="C4801" s="1" t="s">
        <v>130</v>
      </c>
      <c r="D4801" s="1" t="s">
        <v>131</v>
      </c>
      <c r="E4801" s="3">
        <v>1276</v>
      </c>
      <c r="F4801" s="1" t="s">
        <v>36</v>
      </c>
      <c r="G4801" s="1">
        <v>0</v>
      </c>
      <c r="H4801" s="1">
        <v>0</v>
      </c>
      <c r="I4801" s="1">
        <v>0.21419299999999999</v>
      </c>
    </row>
    <row r="4802" spans="1:9" x14ac:dyDescent="0.25">
      <c r="A4802" s="1">
        <v>2320050843</v>
      </c>
      <c r="B4802" s="1" t="s">
        <v>1319</v>
      </c>
      <c r="C4802" s="1" t="s">
        <v>130</v>
      </c>
      <c r="D4802" s="1" t="s">
        <v>131</v>
      </c>
      <c r="E4802" s="3">
        <v>675</v>
      </c>
      <c r="F4802" s="1" t="s">
        <v>36</v>
      </c>
      <c r="G4802" s="1">
        <v>0</v>
      </c>
      <c r="H4802" s="1">
        <v>0</v>
      </c>
      <c r="I4802" s="1">
        <v>0.286607</v>
      </c>
    </row>
    <row r="4803" spans="1:9" x14ac:dyDescent="0.25">
      <c r="A4803" s="1">
        <v>2320050844</v>
      </c>
      <c r="B4803" s="1" t="s">
        <v>2875</v>
      </c>
      <c r="C4803" s="1" t="s">
        <v>307</v>
      </c>
      <c r="D4803" s="1" t="s">
        <v>308</v>
      </c>
      <c r="E4803" s="3">
        <v>5000</v>
      </c>
      <c r="F4803" s="1" t="s">
        <v>36</v>
      </c>
      <c r="G4803" s="1">
        <v>0</v>
      </c>
      <c r="H4803" s="1">
        <v>0</v>
      </c>
      <c r="I4803" s="1">
        <v>0.16092000000000001</v>
      </c>
    </row>
    <row r="4804" spans="1:9" x14ac:dyDescent="0.25">
      <c r="A4804" s="1">
        <v>2320050844</v>
      </c>
      <c r="B4804" s="1" t="s">
        <v>2875</v>
      </c>
      <c r="C4804" s="1" t="s">
        <v>130</v>
      </c>
      <c r="D4804" s="1" t="s">
        <v>131</v>
      </c>
      <c r="E4804" s="3">
        <v>1344</v>
      </c>
      <c r="F4804" s="1" t="s">
        <v>36</v>
      </c>
      <c r="G4804" s="1">
        <v>0</v>
      </c>
      <c r="H4804" s="1">
        <v>0</v>
      </c>
      <c r="I4804" s="1">
        <v>0.19045400000000001</v>
      </c>
    </row>
    <row r="4805" spans="1:9" x14ac:dyDescent="0.25">
      <c r="A4805" s="1">
        <v>2320050845</v>
      </c>
      <c r="B4805" s="1" t="s">
        <v>2876</v>
      </c>
      <c r="C4805" s="1" t="s">
        <v>130</v>
      </c>
      <c r="D4805" s="1" t="s">
        <v>131</v>
      </c>
      <c r="E4805" s="3">
        <v>2166</v>
      </c>
      <c r="F4805" s="1" t="s">
        <v>36</v>
      </c>
      <c r="G4805" s="1">
        <v>0</v>
      </c>
      <c r="H4805" s="3">
        <v>0</v>
      </c>
      <c r="I4805" s="1">
        <v>0.193749</v>
      </c>
    </row>
    <row r="4806" spans="1:9" x14ac:dyDescent="0.25">
      <c r="A4806" s="1">
        <v>2320060004</v>
      </c>
      <c r="B4806" s="1" t="s">
        <v>2877</v>
      </c>
      <c r="C4806" s="1" t="s">
        <v>130</v>
      </c>
      <c r="D4806" s="1" t="s">
        <v>131</v>
      </c>
      <c r="E4806" s="3">
        <v>1612</v>
      </c>
      <c r="F4806" s="1" t="s">
        <v>36</v>
      </c>
      <c r="G4806" s="3">
        <v>0</v>
      </c>
      <c r="H4806" s="1">
        <v>0</v>
      </c>
      <c r="I4806" s="1">
        <v>1.344125</v>
      </c>
    </row>
    <row r="4807" spans="1:9" x14ac:dyDescent="0.25">
      <c r="A4807" s="1">
        <v>2320060004</v>
      </c>
      <c r="B4807" s="1" t="s">
        <v>2877</v>
      </c>
      <c r="C4807" s="1" t="s">
        <v>1698</v>
      </c>
      <c r="D4807" s="1" t="s">
        <v>1699</v>
      </c>
      <c r="E4807" s="3">
        <v>2915</v>
      </c>
      <c r="F4807" s="1" t="s">
        <v>36</v>
      </c>
      <c r="G4807" s="1">
        <v>0</v>
      </c>
      <c r="H4807" s="1">
        <v>0</v>
      </c>
      <c r="I4807" s="1">
        <v>1.34413</v>
      </c>
    </row>
    <row r="4808" spans="1:9" x14ac:dyDescent="0.25">
      <c r="A4808" s="1">
        <v>2320060005</v>
      </c>
      <c r="B4808" s="1" t="s">
        <v>2878</v>
      </c>
      <c r="C4808" s="1" t="s">
        <v>130</v>
      </c>
      <c r="D4808" s="1" t="s">
        <v>131</v>
      </c>
      <c r="E4808" s="3">
        <v>715</v>
      </c>
      <c r="F4808" s="1" t="s">
        <v>36</v>
      </c>
      <c r="G4808" s="1">
        <v>0</v>
      </c>
      <c r="H4808" s="1">
        <v>0</v>
      </c>
      <c r="I4808" s="1">
        <v>0.73499300000000001</v>
      </c>
    </row>
    <row r="4809" spans="1:9" x14ac:dyDescent="0.25">
      <c r="A4809" s="1">
        <v>2320060005</v>
      </c>
      <c r="B4809" s="1" t="s">
        <v>2878</v>
      </c>
      <c r="C4809" s="1" t="s">
        <v>1698</v>
      </c>
      <c r="D4809" s="1" t="s">
        <v>1699</v>
      </c>
      <c r="E4809" s="3">
        <v>1344</v>
      </c>
      <c r="F4809" s="1" t="s">
        <v>36</v>
      </c>
      <c r="G4809" s="1">
        <v>0</v>
      </c>
      <c r="H4809" s="1">
        <v>0</v>
      </c>
      <c r="I4809" s="1">
        <v>0.73497800000000002</v>
      </c>
    </row>
    <row r="4810" spans="1:9" x14ac:dyDescent="0.25">
      <c r="A4810" s="1">
        <v>2320060006</v>
      </c>
      <c r="B4810" s="1" t="s">
        <v>2879</v>
      </c>
      <c r="C4810" s="1" t="s">
        <v>130</v>
      </c>
      <c r="D4810" s="1" t="s">
        <v>131</v>
      </c>
      <c r="E4810" s="3">
        <v>1033</v>
      </c>
      <c r="F4810" s="1" t="s">
        <v>36</v>
      </c>
      <c r="G4810" s="1">
        <v>0</v>
      </c>
      <c r="H4810" s="1">
        <v>0</v>
      </c>
      <c r="I4810" s="1">
        <v>0.78367900000000001</v>
      </c>
    </row>
    <row r="4811" spans="1:9" x14ac:dyDescent="0.25">
      <c r="A4811" s="1">
        <v>2320060007</v>
      </c>
      <c r="B4811" s="1" t="s">
        <v>2880</v>
      </c>
      <c r="C4811" s="1" t="s">
        <v>130</v>
      </c>
      <c r="D4811" s="1" t="s">
        <v>131</v>
      </c>
      <c r="E4811" s="3">
        <v>1508.48</v>
      </c>
      <c r="F4811" s="1" t="s">
        <v>36</v>
      </c>
      <c r="G4811" s="1">
        <v>0</v>
      </c>
      <c r="H4811" s="1">
        <v>0</v>
      </c>
      <c r="I4811" s="1">
        <v>0.788748</v>
      </c>
    </row>
    <row r="4812" spans="1:9" x14ac:dyDescent="0.25">
      <c r="A4812" s="1">
        <v>2320060007</v>
      </c>
      <c r="B4812" s="1" t="s">
        <v>2880</v>
      </c>
      <c r="C4812" s="1" t="s">
        <v>1698</v>
      </c>
      <c r="D4812" s="1" t="s">
        <v>1699</v>
      </c>
      <c r="E4812" s="1">
        <v>0.52</v>
      </c>
      <c r="F4812" s="1" t="s">
        <v>36</v>
      </c>
      <c r="G4812" s="1">
        <v>0</v>
      </c>
      <c r="H4812" s="1">
        <v>0</v>
      </c>
      <c r="I4812" s="1">
        <v>0.788462</v>
      </c>
    </row>
    <row r="4813" spans="1:9" x14ac:dyDescent="0.25">
      <c r="A4813" s="1">
        <v>2320060008</v>
      </c>
      <c r="B4813" s="1" t="s">
        <v>2881</v>
      </c>
      <c r="C4813" s="1" t="s">
        <v>130</v>
      </c>
      <c r="D4813" s="1" t="s">
        <v>131</v>
      </c>
      <c r="E4813" s="1">
        <v>856</v>
      </c>
      <c r="F4813" s="1" t="s">
        <v>36</v>
      </c>
      <c r="G4813" s="1">
        <v>0</v>
      </c>
      <c r="H4813" s="1">
        <v>0</v>
      </c>
      <c r="I4813" s="1">
        <v>0.281308</v>
      </c>
    </row>
    <row r="4814" spans="1:9" x14ac:dyDescent="0.25">
      <c r="A4814" s="1">
        <v>2320060009</v>
      </c>
      <c r="B4814" s="1" t="s">
        <v>2882</v>
      </c>
      <c r="C4814" s="1" t="s">
        <v>130</v>
      </c>
      <c r="D4814" s="1" t="s">
        <v>131</v>
      </c>
      <c r="E4814" s="1">
        <v>699</v>
      </c>
      <c r="F4814" s="1" t="s">
        <v>36</v>
      </c>
      <c r="G4814" s="1">
        <v>0</v>
      </c>
      <c r="H4814" s="1">
        <v>0</v>
      </c>
      <c r="I4814" s="1">
        <v>0.59865500000000005</v>
      </c>
    </row>
    <row r="4815" spans="1:9" x14ac:dyDescent="0.25">
      <c r="A4815" s="1">
        <v>2320060010</v>
      </c>
      <c r="B4815" s="1" t="s">
        <v>2883</v>
      </c>
      <c r="C4815" s="1" t="s">
        <v>130</v>
      </c>
      <c r="D4815" s="1" t="s">
        <v>131</v>
      </c>
      <c r="E4815" s="1">
        <v>809</v>
      </c>
      <c r="F4815" s="1" t="s">
        <v>36</v>
      </c>
      <c r="G4815" s="1">
        <v>0</v>
      </c>
      <c r="H4815" s="1">
        <v>0</v>
      </c>
      <c r="I4815" s="1">
        <v>0.65069200000000005</v>
      </c>
    </row>
    <row r="4816" spans="1:9" x14ac:dyDescent="0.25">
      <c r="A4816" s="1">
        <v>2320060011</v>
      </c>
      <c r="B4816" s="1" t="s">
        <v>2884</v>
      </c>
      <c r="C4816" s="1" t="s">
        <v>130</v>
      </c>
      <c r="D4816" s="1" t="s">
        <v>131</v>
      </c>
      <c r="E4816" s="1">
        <v>947</v>
      </c>
      <c r="F4816" s="1" t="s">
        <v>36</v>
      </c>
      <c r="G4816" s="1">
        <v>0</v>
      </c>
      <c r="H4816" s="1">
        <v>0</v>
      </c>
      <c r="I4816" s="1">
        <v>0.70299900000000004</v>
      </c>
    </row>
    <row r="4817" spans="1:9" x14ac:dyDescent="0.25">
      <c r="A4817" s="1">
        <v>2320060015</v>
      </c>
      <c r="B4817" s="1" t="s">
        <v>2885</v>
      </c>
      <c r="C4817" s="1" t="s">
        <v>130</v>
      </c>
      <c r="D4817" s="1" t="s">
        <v>131</v>
      </c>
      <c r="E4817" s="3">
        <v>842</v>
      </c>
      <c r="F4817" s="1" t="s">
        <v>36</v>
      </c>
      <c r="G4817" s="1">
        <v>0</v>
      </c>
      <c r="H4817" s="1">
        <v>0</v>
      </c>
      <c r="I4817" s="1">
        <v>0.225629</v>
      </c>
    </row>
    <row r="4818" spans="1:9" x14ac:dyDescent="0.25">
      <c r="A4818" s="1">
        <v>2320060015</v>
      </c>
      <c r="B4818" s="1" t="s">
        <v>2885</v>
      </c>
      <c r="C4818" s="1" t="s">
        <v>1698</v>
      </c>
      <c r="D4818" s="1" t="s">
        <v>1699</v>
      </c>
      <c r="E4818" s="1">
        <v>326</v>
      </c>
      <c r="F4818" s="1" t="s">
        <v>36</v>
      </c>
      <c r="G4818" s="1">
        <v>0</v>
      </c>
      <c r="H4818" s="1">
        <v>0</v>
      </c>
      <c r="I4818" s="1">
        <v>0.22561300000000001</v>
      </c>
    </row>
    <row r="4819" spans="1:9" x14ac:dyDescent="0.25">
      <c r="A4819" s="1">
        <v>2320060016</v>
      </c>
      <c r="B4819" s="1" t="s">
        <v>2886</v>
      </c>
      <c r="C4819" s="1" t="s">
        <v>130</v>
      </c>
      <c r="D4819" s="1" t="s">
        <v>131</v>
      </c>
      <c r="E4819" s="3">
        <v>1048</v>
      </c>
      <c r="F4819" s="1" t="s">
        <v>36</v>
      </c>
      <c r="G4819" s="1">
        <v>0</v>
      </c>
      <c r="H4819" s="1">
        <v>0</v>
      </c>
      <c r="I4819" s="1">
        <v>0.67267200000000005</v>
      </c>
    </row>
    <row r="4820" spans="1:9" x14ac:dyDescent="0.25">
      <c r="A4820" s="1">
        <v>2320060017</v>
      </c>
      <c r="B4820" s="1" t="s">
        <v>2887</v>
      </c>
      <c r="C4820" s="1" t="s">
        <v>130</v>
      </c>
      <c r="D4820" s="1" t="s">
        <v>131</v>
      </c>
      <c r="E4820" s="3">
        <v>1146</v>
      </c>
      <c r="F4820" s="1" t="s">
        <v>36</v>
      </c>
      <c r="G4820" s="1">
        <v>0</v>
      </c>
      <c r="H4820" s="1">
        <v>0</v>
      </c>
      <c r="I4820" s="1">
        <v>0.25583800000000001</v>
      </c>
    </row>
    <row r="4821" spans="1:9" x14ac:dyDescent="0.25">
      <c r="A4821" s="1">
        <v>2320060017</v>
      </c>
      <c r="B4821" s="1" t="s">
        <v>2887</v>
      </c>
      <c r="C4821" s="1" t="s">
        <v>1698</v>
      </c>
      <c r="D4821" s="1" t="s">
        <v>1699</v>
      </c>
      <c r="E4821" s="1">
        <v>32</v>
      </c>
      <c r="F4821" s="1" t="s">
        <v>36</v>
      </c>
      <c r="G4821" s="1">
        <v>0</v>
      </c>
      <c r="H4821" s="1">
        <v>0</v>
      </c>
      <c r="I4821" s="1">
        <v>0.255938</v>
      </c>
    </row>
    <row r="4822" spans="1:9" x14ac:dyDescent="0.25">
      <c r="A4822" s="1">
        <v>2320060019</v>
      </c>
      <c r="B4822" s="1" t="s">
        <v>2888</v>
      </c>
      <c r="C4822" s="1" t="s">
        <v>130</v>
      </c>
      <c r="D4822" s="1" t="s">
        <v>131</v>
      </c>
      <c r="E4822" s="3">
        <v>1980</v>
      </c>
      <c r="F4822" s="1" t="s">
        <v>36</v>
      </c>
      <c r="G4822" s="1">
        <v>0</v>
      </c>
      <c r="H4822" s="1">
        <v>0</v>
      </c>
      <c r="I4822" s="1">
        <v>1.0411109999999999</v>
      </c>
    </row>
    <row r="4823" spans="1:9" x14ac:dyDescent="0.25">
      <c r="A4823" s="1">
        <v>2320070048</v>
      </c>
      <c r="B4823" s="1" t="s">
        <v>2889</v>
      </c>
      <c r="C4823" s="1" t="s">
        <v>130</v>
      </c>
      <c r="D4823" s="1" t="s">
        <v>131</v>
      </c>
      <c r="E4823" s="3">
        <v>32100</v>
      </c>
      <c r="F4823" s="1" t="s">
        <v>36</v>
      </c>
      <c r="G4823" s="1">
        <v>0</v>
      </c>
      <c r="H4823" s="1">
        <v>0</v>
      </c>
      <c r="I4823" s="1">
        <v>1.8658000000000001E-2</v>
      </c>
    </row>
    <row r="4824" spans="1:9" x14ac:dyDescent="0.25">
      <c r="A4824" s="1">
        <v>2320070132</v>
      </c>
      <c r="B4824" s="1" t="s">
        <v>2890</v>
      </c>
      <c r="C4824" s="1" t="s">
        <v>130</v>
      </c>
      <c r="D4824" s="1" t="s">
        <v>131</v>
      </c>
      <c r="E4824" s="3">
        <v>611900</v>
      </c>
      <c r="F4824" s="1" t="s">
        <v>36</v>
      </c>
      <c r="G4824" s="1">
        <v>0</v>
      </c>
      <c r="H4824" s="1">
        <v>0</v>
      </c>
      <c r="I4824" s="1">
        <v>4.9230000000000003E-3</v>
      </c>
    </row>
    <row r="4825" spans="1:9" x14ac:dyDescent="0.25">
      <c r="A4825" s="1">
        <v>2320070183</v>
      </c>
      <c r="B4825" s="1" t="s">
        <v>2891</v>
      </c>
      <c r="C4825" s="1" t="s">
        <v>130</v>
      </c>
      <c r="D4825" s="1" t="s">
        <v>131</v>
      </c>
      <c r="E4825" s="3">
        <v>815</v>
      </c>
      <c r="F4825" s="1" t="s">
        <v>36</v>
      </c>
      <c r="G4825" s="1">
        <v>0</v>
      </c>
      <c r="H4825" s="1">
        <v>0</v>
      </c>
      <c r="I4825" s="1">
        <v>0.160748</v>
      </c>
    </row>
    <row r="4826" spans="1:9" x14ac:dyDescent="0.25">
      <c r="A4826" s="1">
        <v>2320070184</v>
      </c>
      <c r="B4826" s="1" t="s">
        <v>2892</v>
      </c>
      <c r="C4826" s="1" t="s">
        <v>130</v>
      </c>
      <c r="D4826" s="1" t="s">
        <v>131</v>
      </c>
      <c r="E4826" s="3">
        <v>228</v>
      </c>
      <c r="F4826" s="1" t="s">
        <v>36</v>
      </c>
      <c r="G4826" s="1">
        <v>0</v>
      </c>
      <c r="H4826" s="1">
        <v>0</v>
      </c>
      <c r="I4826" s="1">
        <v>6.8904000000000007E-2</v>
      </c>
    </row>
    <row r="4827" spans="1:9" x14ac:dyDescent="0.25">
      <c r="A4827" s="1">
        <v>2320070187</v>
      </c>
      <c r="B4827" s="1" t="s">
        <v>2893</v>
      </c>
      <c r="C4827" s="1" t="s">
        <v>130</v>
      </c>
      <c r="D4827" s="1" t="s">
        <v>131</v>
      </c>
      <c r="E4827" s="3">
        <v>670</v>
      </c>
      <c r="F4827" s="1" t="s">
        <v>36</v>
      </c>
      <c r="G4827" s="1">
        <v>0</v>
      </c>
      <c r="H4827" s="1">
        <v>0</v>
      </c>
      <c r="I4827" s="1">
        <v>8.4044999999999995E-2</v>
      </c>
    </row>
    <row r="4828" spans="1:9" x14ac:dyDescent="0.25">
      <c r="A4828" s="1">
        <v>2320070195</v>
      </c>
      <c r="B4828" s="1" t="s">
        <v>2894</v>
      </c>
      <c r="C4828" s="1" t="s">
        <v>130</v>
      </c>
      <c r="D4828" s="1" t="s">
        <v>131</v>
      </c>
      <c r="E4828" s="1">
        <v>299</v>
      </c>
      <c r="F4828" s="1" t="s">
        <v>36</v>
      </c>
      <c r="G4828" s="1">
        <v>0</v>
      </c>
      <c r="H4828" s="1">
        <v>0</v>
      </c>
      <c r="I4828" s="1">
        <v>0.49882900000000002</v>
      </c>
    </row>
    <row r="4829" spans="1:9" x14ac:dyDescent="0.25">
      <c r="A4829" s="1">
        <v>2320070215</v>
      </c>
      <c r="B4829" s="1" t="s">
        <v>2895</v>
      </c>
      <c r="C4829" s="1" t="s">
        <v>130</v>
      </c>
      <c r="D4829" s="1" t="s">
        <v>131</v>
      </c>
      <c r="E4829" s="3">
        <v>36768</v>
      </c>
      <c r="F4829" s="1" t="s">
        <v>36</v>
      </c>
      <c r="G4829" s="1">
        <v>0</v>
      </c>
      <c r="H4829" s="1">
        <v>0</v>
      </c>
      <c r="I4829" s="1">
        <v>3.124E-2</v>
      </c>
    </row>
    <row r="4830" spans="1:9" x14ac:dyDescent="0.25">
      <c r="A4830" s="1">
        <v>2320070279</v>
      </c>
      <c r="B4830" s="1" t="s">
        <v>2896</v>
      </c>
      <c r="C4830" s="1" t="s">
        <v>130</v>
      </c>
      <c r="D4830" s="1" t="s">
        <v>131</v>
      </c>
      <c r="E4830" s="3">
        <v>39011</v>
      </c>
      <c r="F4830" s="1" t="s">
        <v>36</v>
      </c>
      <c r="G4830" s="1">
        <v>0</v>
      </c>
      <c r="H4830" s="1">
        <v>0</v>
      </c>
      <c r="I4830" s="1">
        <v>0.12231</v>
      </c>
    </row>
    <row r="4831" spans="1:9" x14ac:dyDescent="0.25">
      <c r="A4831" s="1">
        <v>2320070339</v>
      </c>
      <c r="B4831" s="1" t="s">
        <v>2897</v>
      </c>
      <c r="C4831" s="1" t="s">
        <v>130</v>
      </c>
      <c r="D4831" s="1" t="s">
        <v>131</v>
      </c>
      <c r="E4831" s="3">
        <v>2592</v>
      </c>
      <c r="F4831" s="1" t="s">
        <v>36</v>
      </c>
      <c r="G4831" s="1">
        <v>0</v>
      </c>
      <c r="H4831" s="1">
        <v>0</v>
      </c>
      <c r="I4831" s="1">
        <v>0.115255</v>
      </c>
    </row>
    <row r="4832" spans="1:9" x14ac:dyDescent="0.25">
      <c r="A4832" s="1">
        <v>2320070339</v>
      </c>
      <c r="B4832" s="1" t="s">
        <v>2897</v>
      </c>
      <c r="C4832" s="1" t="s">
        <v>144</v>
      </c>
      <c r="D4832" s="1" t="s">
        <v>145</v>
      </c>
      <c r="E4832" s="3">
        <v>1200</v>
      </c>
      <c r="F4832" s="1" t="s">
        <v>36</v>
      </c>
      <c r="G4832" s="1">
        <v>0</v>
      </c>
      <c r="H4832" s="1">
        <v>0</v>
      </c>
      <c r="I4832" s="1">
        <v>0.11525000000000001</v>
      </c>
    </row>
    <row r="4833" spans="1:9" x14ac:dyDescent="0.25">
      <c r="A4833" s="1">
        <v>2320070345</v>
      </c>
      <c r="B4833" s="1" t="s">
        <v>2898</v>
      </c>
      <c r="C4833" s="1" t="s">
        <v>130</v>
      </c>
      <c r="D4833" s="1" t="s">
        <v>131</v>
      </c>
      <c r="E4833" s="3">
        <v>5523</v>
      </c>
      <c r="F4833" s="1" t="s">
        <v>36</v>
      </c>
      <c r="G4833" s="1">
        <v>0</v>
      </c>
      <c r="H4833" s="1">
        <v>0</v>
      </c>
      <c r="I4833" s="1">
        <v>0.124056</v>
      </c>
    </row>
    <row r="4834" spans="1:9" x14ac:dyDescent="0.25">
      <c r="A4834" s="1">
        <v>2320070346</v>
      </c>
      <c r="B4834" s="1" t="s">
        <v>2899</v>
      </c>
      <c r="C4834" s="1" t="s">
        <v>130</v>
      </c>
      <c r="D4834" s="1" t="s">
        <v>131</v>
      </c>
      <c r="E4834" s="3">
        <v>6194</v>
      </c>
      <c r="F4834" s="1" t="s">
        <v>36</v>
      </c>
      <c r="G4834" s="1">
        <v>0</v>
      </c>
      <c r="H4834" s="1">
        <v>0</v>
      </c>
      <c r="I4834" s="1">
        <v>0.12046800000000001</v>
      </c>
    </row>
    <row r="4835" spans="1:9" x14ac:dyDescent="0.25">
      <c r="A4835" s="1">
        <v>2320070347</v>
      </c>
      <c r="B4835" s="1" t="s">
        <v>2900</v>
      </c>
      <c r="C4835" s="1" t="s">
        <v>130</v>
      </c>
      <c r="D4835" s="1" t="s">
        <v>131</v>
      </c>
      <c r="E4835" s="3">
        <v>7467</v>
      </c>
      <c r="F4835" s="1" t="s">
        <v>36</v>
      </c>
      <c r="G4835" s="1">
        <v>0</v>
      </c>
      <c r="H4835" s="1">
        <v>0</v>
      </c>
      <c r="I4835" s="1">
        <v>0.117534</v>
      </c>
    </row>
    <row r="4836" spans="1:9" x14ac:dyDescent="0.25">
      <c r="A4836" s="1">
        <v>2320070348</v>
      </c>
      <c r="B4836" s="1" t="s">
        <v>2901</v>
      </c>
      <c r="C4836" s="1" t="s">
        <v>130</v>
      </c>
      <c r="D4836" s="1" t="s">
        <v>131</v>
      </c>
      <c r="E4836" s="3">
        <v>5549</v>
      </c>
      <c r="F4836" s="1" t="s">
        <v>36</v>
      </c>
      <c r="G4836" s="3">
        <v>0</v>
      </c>
      <c r="H4836" s="1">
        <v>0</v>
      </c>
      <c r="I4836" s="1">
        <v>0.15156800000000001</v>
      </c>
    </row>
    <row r="4837" spans="1:9" x14ac:dyDescent="0.25">
      <c r="A4837" s="1">
        <v>2320070349</v>
      </c>
      <c r="B4837" s="1" t="s">
        <v>2902</v>
      </c>
      <c r="C4837" s="1" t="s">
        <v>130</v>
      </c>
      <c r="D4837" s="1" t="s">
        <v>131</v>
      </c>
      <c r="E4837" s="3">
        <v>1437</v>
      </c>
      <c r="F4837" s="1" t="s">
        <v>36</v>
      </c>
      <c r="G4837" s="3">
        <v>0</v>
      </c>
      <c r="H4837" s="1">
        <v>0</v>
      </c>
      <c r="I4837" s="1">
        <v>0.22499</v>
      </c>
    </row>
    <row r="4838" spans="1:9" x14ac:dyDescent="0.25">
      <c r="A4838" s="1">
        <v>2320070353</v>
      </c>
      <c r="B4838" s="1" t="s">
        <v>2903</v>
      </c>
      <c r="C4838" s="1" t="s">
        <v>130</v>
      </c>
      <c r="D4838" s="1" t="s">
        <v>131</v>
      </c>
      <c r="E4838" s="3">
        <v>3908</v>
      </c>
      <c r="F4838" s="1" t="s">
        <v>36</v>
      </c>
      <c r="G4838" s="3">
        <v>0</v>
      </c>
      <c r="H4838" s="1">
        <v>0</v>
      </c>
      <c r="I4838" s="1">
        <v>0.120325</v>
      </c>
    </row>
    <row r="4839" spans="1:9" x14ac:dyDescent="0.25">
      <c r="A4839" s="1">
        <v>2320070354</v>
      </c>
      <c r="B4839" s="1" t="s">
        <v>2904</v>
      </c>
      <c r="C4839" s="1" t="s">
        <v>199</v>
      </c>
      <c r="D4839" s="1" t="s">
        <v>200</v>
      </c>
      <c r="E4839" s="3">
        <v>2000</v>
      </c>
      <c r="F4839" s="1" t="s">
        <v>36</v>
      </c>
      <c r="G4839" s="1">
        <v>0</v>
      </c>
      <c r="H4839" s="3">
        <v>2000</v>
      </c>
      <c r="I4839" s="1">
        <v>0.108885</v>
      </c>
    </row>
    <row r="4840" spans="1:9" x14ac:dyDescent="0.25">
      <c r="A4840" s="1">
        <v>2320070354</v>
      </c>
      <c r="B4840" s="1" t="s">
        <v>2904</v>
      </c>
      <c r="C4840" s="1" t="s">
        <v>130</v>
      </c>
      <c r="D4840" s="1" t="s">
        <v>131</v>
      </c>
      <c r="E4840" s="3">
        <v>7107</v>
      </c>
      <c r="F4840" s="1" t="s">
        <v>36</v>
      </c>
      <c r="G4840" s="3">
        <v>2000</v>
      </c>
      <c r="H4840" s="1">
        <v>0</v>
      </c>
      <c r="I4840" s="1">
        <v>0.10888299999999999</v>
      </c>
    </row>
    <row r="4841" spans="1:9" x14ac:dyDescent="0.25">
      <c r="A4841" s="1">
        <v>2320070354</v>
      </c>
      <c r="B4841" s="1" t="s">
        <v>2904</v>
      </c>
      <c r="C4841" s="1" t="s">
        <v>144</v>
      </c>
      <c r="D4841" s="1" t="s">
        <v>145</v>
      </c>
      <c r="E4841" s="1">
        <v>3</v>
      </c>
      <c r="F4841" s="1" t="s">
        <v>36</v>
      </c>
      <c r="G4841" s="1">
        <v>0</v>
      </c>
      <c r="H4841" s="1">
        <v>0</v>
      </c>
      <c r="I4841" s="1">
        <v>0.106667</v>
      </c>
    </row>
    <row r="4842" spans="1:9" x14ac:dyDescent="0.25">
      <c r="A4842" s="1">
        <v>2320070355</v>
      </c>
      <c r="B4842" s="1" t="s">
        <v>2905</v>
      </c>
      <c r="C4842" s="1" t="s">
        <v>130</v>
      </c>
      <c r="D4842" s="1" t="s">
        <v>131</v>
      </c>
      <c r="E4842" s="3">
        <v>3881</v>
      </c>
      <c r="F4842" s="1" t="s">
        <v>36</v>
      </c>
      <c r="G4842" s="1">
        <v>0</v>
      </c>
      <c r="H4842" s="1">
        <v>0</v>
      </c>
      <c r="I4842" s="1">
        <v>0.15001300000000001</v>
      </c>
    </row>
    <row r="4843" spans="1:9" x14ac:dyDescent="0.25">
      <c r="A4843" s="1">
        <v>2320070356</v>
      </c>
      <c r="B4843" s="1" t="s">
        <v>2906</v>
      </c>
      <c r="C4843" s="1" t="s">
        <v>130</v>
      </c>
      <c r="D4843" s="1" t="s">
        <v>131</v>
      </c>
      <c r="E4843" s="3">
        <v>3129</v>
      </c>
      <c r="F4843" s="1" t="s">
        <v>36</v>
      </c>
      <c r="G4843" s="1">
        <v>0</v>
      </c>
      <c r="H4843" s="1">
        <v>0</v>
      </c>
      <c r="I4843" s="1">
        <v>0.106657</v>
      </c>
    </row>
    <row r="4844" spans="1:9" x14ac:dyDescent="0.25">
      <c r="A4844" s="1">
        <v>2320070359</v>
      </c>
      <c r="B4844" s="1" t="s">
        <v>2907</v>
      </c>
      <c r="C4844" s="1" t="s">
        <v>130</v>
      </c>
      <c r="D4844" s="1" t="s">
        <v>131</v>
      </c>
      <c r="E4844" s="3">
        <v>2314</v>
      </c>
      <c r="F4844" s="1" t="s">
        <v>36</v>
      </c>
      <c r="G4844" s="1">
        <v>0</v>
      </c>
      <c r="H4844" s="1">
        <v>0</v>
      </c>
      <c r="I4844" s="1">
        <v>0.106223</v>
      </c>
    </row>
    <row r="4845" spans="1:9" x14ac:dyDescent="0.25">
      <c r="A4845" s="1">
        <v>2320070362</v>
      </c>
      <c r="B4845" s="1" t="s">
        <v>2908</v>
      </c>
      <c r="C4845" s="1" t="s">
        <v>130</v>
      </c>
      <c r="D4845" s="1" t="s">
        <v>131</v>
      </c>
      <c r="E4845" s="1">
        <v>800</v>
      </c>
      <c r="F4845" s="1" t="s">
        <v>36</v>
      </c>
      <c r="G4845" s="1">
        <v>0</v>
      </c>
      <c r="H4845" s="1">
        <v>0</v>
      </c>
      <c r="I4845" s="1">
        <v>0.111275</v>
      </c>
    </row>
    <row r="4846" spans="1:9" x14ac:dyDescent="0.25">
      <c r="A4846" s="1">
        <v>2320070365</v>
      </c>
      <c r="B4846" s="1" t="s">
        <v>2909</v>
      </c>
      <c r="C4846" s="1" t="s">
        <v>130</v>
      </c>
      <c r="D4846" s="1" t="s">
        <v>131</v>
      </c>
      <c r="E4846" s="3">
        <v>1000</v>
      </c>
      <c r="F4846" s="1" t="s">
        <v>36</v>
      </c>
      <c r="G4846" s="1">
        <v>0</v>
      </c>
      <c r="H4846" s="1">
        <v>0</v>
      </c>
      <c r="I4846" s="1">
        <v>0.31079000000000001</v>
      </c>
    </row>
    <row r="4847" spans="1:9" x14ac:dyDescent="0.25">
      <c r="A4847" s="1">
        <v>2320070365</v>
      </c>
      <c r="B4847" s="1" t="s">
        <v>2909</v>
      </c>
      <c r="C4847" s="1" t="s">
        <v>144</v>
      </c>
      <c r="D4847" s="1" t="s">
        <v>145</v>
      </c>
      <c r="E4847" s="3">
        <v>1000</v>
      </c>
      <c r="F4847" s="1" t="s">
        <v>36</v>
      </c>
      <c r="G4847" s="1">
        <v>0</v>
      </c>
      <c r="H4847" s="1">
        <v>0</v>
      </c>
      <c r="I4847" s="1">
        <v>0.31080000000000002</v>
      </c>
    </row>
    <row r="4848" spans="1:9" x14ac:dyDescent="0.25">
      <c r="A4848" s="1">
        <v>2320070371</v>
      </c>
      <c r="B4848" s="1" t="s">
        <v>2910</v>
      </c>
      <c r="C4848" s="1" t="s">
        <v>130</v>
      </c>
      <c r="D4848" s="1" t="s">
        <v>131</v>
      </c>
      <c r="E4848" s="3">
        <v>1122</v>
      </c>
      <c r="F4848" s="1" t="s">
        <v>36</v>
      </c>
      <c r="G4848" s="1">
        <v>0</v>
      </c>
      <c r="H4848" s="1">
        <v>0</v>
      </c>
      <c r="I4848" s="1">
        <v>0.196515</v>
      </c>
    </row>
    <row r="4849" spans="1:9" x14ac:dyDescent="0.25">
      <c r="A4849" s="1">
        <v>2320070372</v>
      </c>
      <c r="B4849" s="1" t="s">
        <v>2911</v>
      </c>
      <c r="C4849" s="1" t="s">
        <v>130</v>
      </c>
      <c r="D4849" s="1" t="s">
        <v>131</v>
      </c>
      <c r="E4849" s="3">
        <v>408</v>
      </c>
      <c r="F4849" s="1" t="s">
        <v>36</v>
      </c>
      <c r="G4849" s="1">
        <v>0</v>
      </c>
      <c r="H4849" s="1">
        <v>0</v>
      </c>
      <c r="I4849" s="1">
        <v>0.1075</v>
      </c>
    </row>
    <row r="4850" spans="1:9" x14ac:dyDescent="0.25">
      <c r="A4850" s="1">
        <v>2320070373</v>
      </c>
      <c r="B4850" s="1" t="s">
        <v>2912</v>
      </c>
      <c r="C4850" s="1" t="s">
        <v>130</v>
      </c>
      <c r="D4850" s="1" t="s">
        <v>131</v>
      </c>
      <c r="E4850" s="1">
        <v>730</v>
      </c>
      <c r="F4850" s="1" t="s">
        <v>36</v>
      </c>
      <c r="G4850" s="1">
        <v>0</v>
      </c>
      <c r="H4850" s="1">
        <v>0</v>
      </c>
      <c r="I4850" s="1">
        <v>8.1219E-2</v>
      </c>
    </row>
    <row r="4851" spans="1:9" x14ac:dyDescent="0.25">
      <c r="A4851" s="1">
        <v>2320070374</v>
      </c>
      <c r="B4851" s="1" t="s">
        <v>2913</v>
      </c>
      <c r="C4851" s="1" t="s">
        <v>130</v>
      </c>
      <c r="D4851" s="1" t="s">
        <v>131</v>
      </c>
      <c r="E4851" s="1">
        <v>950</v>
      </c>
      <c r="F4851" s="1" t="s">
        <v>36</v>
      </c>
      <c r="G4851" s="1">
        <v>0</v>
      </c>
      <c r="H4851" s="1">
        <v>0</v>
      </c>
      <c r="I4851" s="1">
        <v>0.14937900000000001</v>
      </c>
    </row>
    <row r="4852" spans="1:9" x14ac:dyDescent="0.25">
      <c r="A4852" s="1">
        <v>2320070394</v>
      </c>
      <c r="B4852" s="1" t="s">
        <v>2914</v>
      </c>
      <c r="C4852" s="1" t="s">
        <v>130</v>
      </c>
      <c r="D4852" s="1" t="s">
        <v>131</v>
      </c>
      <c r="E4852" s="3">
        <v>3800</v>
      </c>
      <c r="F4852" s="1" t="s">
        <v>36</v>
      </c>
      <c r="G4852" s="1">
        <v>0</v>
      </c>
      <c r="H4852" s="1">
        <v>0</v>
      </c>
      <c r="I4852" s="1">
        <v>7.1300000000000002E-2</v>
      </c>
    </row>
    <row r="4853" spans="1:9" x14ac:dyDescent="0.25">
      <c r="A4853" s="1">
        <v>2320070395</v>
      </c>
      <c r="B4853" s="1" t="s">
        <v>2915</v>
      </c>
      <c r="C4853" s="1" t="s">
        <v>130</v>
      </c>
      <c r="D4853" s="1" t="s">
        <v>131</v>
      </c>
      <c r="E4853" s="3">
        <v>7960</v>
      </c>
      <c r="F4853" s="1" t="s">
        <v>36</v>
      </c>
      <c r="G4853" s="1">
        <v>0</v>
      </c>
      <c r="H4853" s="1">
        <v>0</v>
      </c>
      <c r="I4853" s="1">
        <v>0.11683</v>
      </c>
    </row>
    <row r="4854" spans="1:9" x14ac:dyDescent="0.25">
      <c r="A4854" s="1">
        <v>2320070407</v>
      </c>
      <c r="B4854" s="1" t="s">
        <v>2916</v>
      </c>
      <c r="C4854" s="1" t="s">
        <v>130</v>
      </c>
      <c r="D4854" s="1" t="s">
        <v>131</v>
      </c>
      <c r="E4854" s="3">
        <v>8436</v>
      </c>
      <c r="F4854" s="1" t="s">
        <v>36</v>
      </c>
      <c r="G4854" s="1">
        <v>0</v>
      </c>
      <c r="H4854" s="1">
        <v>0</v>
      </c>
      <c r="I4854" s="1">
        <v>8.6063000000000001E-2</v>
      </c>
    </row>
    <row r="4855" spans="1:9" x14ac:dyDescent="0.25">
      <c r="A4855" s="1">
        <v>2320070407</v>
      </c>
      <c r="B4855" s="1" t="s">
        <v>2916</v>
      </c>
      <c r="C4855" s="1" t="s">
        <v>144</v>
      </c>
      <c r="D4855" s="1" t="s">
        <v>145</v>
      </c>
      <c r="E4855" s="1">
        <v>36</v>
      </c>
      <c r="F4855" s="1" t="s">
        <v>36</v>
      </c>
      <c r="G4855" s="1">
        <v>0</v>
      </c>
      <c r="H4855" s="1">
        <v>0</v>
      </c>
      <c r="I4855" s="1">
        <v>8.6110999999999993E-2</v>
      </c>
    </row>
    <row r="4856" spans="1:9" x14ac:dyDescent="0.25">
      <c r="A4856" s="1">
        <v>2320070476</v>
      </c>
      <c r="B4856" s="1" t="s">
        <v>2917</v>
      </c>
      <c r="C4856" s="1" t="s">
        <v>130</v>
      </c>
      <c r="D4856" s="1" t="s">
        <v>131</v>
      </c>
      <c r="E4856" s="3">
        <v>3406</v>
      </c>
      <c r="F4856" s="1" t="s">
        <v>36</v>
      </c>
      <c r="G4856" s="1">
        <v>0</v>
      </c>
      <c r="H4856" s="1">
        <v>0</v>
      </c>
      <c r="I4856" s="1">
        <v>6.0719000000000002E-2</v>
      </c>
    </row>
    <row r="4857" spans="1:9" x14ac:dyDescent="0.25">
      <c r="A4857" s="1">
        <v>2320070514</v>
      </c>
      <c r="B4857" s="1" t="s">
        <v>2918</v>
      </c>
      <c r="C4857" s="1" t="s">
        <v>130</v>
      </c>
      <c r="D4857" s="1" t="s">
        <v>131</v>
      </c>
      <c r="E4857" s="3">
        <v>1180</v>
      </c>
      <c r="F4857" s="1" t="s">
        <v>36</v>
      </c>
      <c r="G4857" s="1">
        <v>0</v>
      </c>
      <c r="H4857" s="1">
        <v>0</v>
      </c>
      <c r="I4857" s="1">
        <v>9.8533999999999997E-2</v>
      </c>
    </row>
    <row r="4858" spans="1:9" x14ac:dyDescent="0.25">
      <c r="A4858" s="1">
        <v>2320070515</v>
      </c>
      <c r="B4858" s="1" t="s">
        <v>2919</v>
      </c>
      <c r="C4858" s="1" t="s">
        <v>130</v>
      </c>
      <c r="D4858" s="1" t="s">
        <v>131</v>
      </c>
      <c r="E4858" s="3">
        <v>1180</v>
      </c>
      <c r="F4858" s="1" t="s">
        <v>36</v>
      </c>
      <c r="G4858" s="1">
        <v>0</v>
      </c>
      <c r="H4858" s="1">
        <v>0</v>
      </c>
      <c r="I4858" s="1">
        <v>9.7364000000000006E-2</v>
      </c>
    </row>
    <row r="4859" spans="1:9" x14ac:dyDescent="0.25">
      <c r="A4859" s="1">
        <v>2320070516</v>
      </c>
      <c r="B4859" s="1" t="s">
        <v>2920</v>
      </c>
      <c r="C4859" s="1" t="s">
        <v>130</v>
      </c>
      <c r="D4859" s="1" t="s">
        <v>131</v>
      </c>
      <c r="E4859" s="3">
        <v>1180</v>
      </c>
      <c r="F4859" s="1" t="s">
        <v>36</v>
      </c>
      <c r="G4859" s="1">
        <v>0</v>
      </c>
      <c r="H4859" s="1">
        <v>0</v>
      </c>
      <c r="I4859" s="1">
        <v>0.110068</v>
      </c>
    </row>
    <row r="4860" spans="1:9" x14ac:dyDescent="0.25">
      <c r="A4860" s="1">
        <v>2320070517</v>
      </c>
      <c r="B4860" s="1" t="s">
        <v>2921</v>
      </c>
      <c r="C4860" s="1" t="s">
        <v>130</v>
      </c>
      <c r="D4860" s="1" t="s">
        <v>131</v>
      </c>
      <c r="E4860" s="3">
        <v>1180</v>
      </c>
      <c r="F4860" s="1" t="s">
        <v>36</v>
      </c>
      <c r="G4860" s="1">
        <v>0</v>
      </c>
      <c r="H4860" s="1">
        <v>0</v>
      </c>
      <c r="I4860" s="1">
        <v>9.9703E-2</v>
      </c>
    </row>
    <row r="4861" spans="1:9" x14ac:dyDescent="0.25">
      <c r="A4861" s="1">
        <v>2320070518</v>
      </c>
      <c r="B4861" s="1" t="s">
        <v>2922</v>
      </c>
      <c r="C4861" s="1" t="s">
        <v>130</v>
      </c>
      <c r="D4861" s="1" t="s">
        <v>131</v>
      </c>
      <c r="E4861" s="3">
        <v>1180</v>
      </c>
      <c r="F4861" s="1" t="s">
        <v>36</v>
      </c>
      <c r="G4861" s="1">
        <v>0</v>
      </c>
      <c r="H4861" s="1">
        <v>0</v>
      </c>
      <c r="I4861" s="1">
        <v>9.9728999999999998E-2</v>
      </c>
    </row>
    <row r="4862" spans="1:9" x14ac:dyDescent="0.25">
      <c r="A4862" s="1">
        <v>2320070519</v>
      </c>
      <c r="B4862" s="1" t="s">
        <v>2923</v>
      </c>
      <c r="C4862" s="1" t="s">
        <v>130</v>
      </c>
      <c r="D4862" s="1" t="s">
        <v>131</v>
      </c>
      <c r="E4862" s="3">
        <v>1180</v>
      </c>
      <c r="F4862" s="1" t="s">
        <v>36</v>
      </c>
      <c r="G4862" s="1">
        <v>0</v>
      </c>
      <c r="H4862" s="1">
        <v>0</v>
      </c>
      <c r="I4862" s="1">
        <v>0.10681400000000001</v>
      </c>
    </row>
    <row r="4863" spans="1:9" x14ac:dyDescent="0.25">
      <c r="A4863" s="1">
        <v>2320070520</v>
      </c>
      <c r="B4863" s="1" t="s">
        <v>2924</v>
      </c>
      <c r="C4863" s="1" t="s">
        <v>130</v>
      </c>
      <c r="D4863" s="1" t="s">
        <v>131</v>
      </c>
      <c r="E4863" s="3">
        <v>3250</v>
      </c>
      <c r="F4863" s="1" t="s">
        <v>36</v>
      </c>
      <c r="G4863" s="1">
        <v>0</v>
      </c>
      <c r="H4863" s="1">
        <v>0</v>
      </c>
      <c r="I4863" s="1">
        <v>0.328511</v>
      </c>
    </row>
    <row r="4864" spans="1:9" x14ac:dyDescent="0.25">
      <c r="A4864" s="1">
        <v>2320070521</v>
      </c>
      <c r="B4864" s="1" t="s">
        <v>2925</v>
      </c>
      <c r="C4864" s="1" t="s">
        <v>130</v>
      </c>
      <c r="D4864" s="1" t="s">
        <v>131</v>
      </c>
      <c r="E4864" s="3">
        <v>3250</v>
      </c>
      <c r="F4864" s="1" t="s">
        <v>36</v>
      </c>
      <c r="G4864" s="1">
        <v>0</v>
      </c>
      <c r="H4864" s="1">
        <v>0</v>
      </c>
      <c r="I4864" s="1">
        <v>0.32706800000000003</v>
      </c>
    </row>
    <row r="4865" spans="1:9" x14ac:dyDescent="0.25">
      <c r="A4865" s="1">
        <v>2320070522</v>
      </c>
      <c r="B4865" s="1" t="s">
        <v>2926</v>
      </c>
      <c r="C4865" s="1" t="s">
        <v>130</v>
      </c>
      <c r="D4865" s="1" t="s">
        <v>131</v>
      </c>
      <c r="E4865" s="3">
        <v>3250</v>
      </c>
      <c r="F4865" s="1" t="s">
        <v>36</v>
      </c>
      <c r="G4865" s="1">
        <v>0</v>
      </c>
      <c r="H4865" s="1">
        <v>0</v>
      </c>
      <c r="I4865" s="1">
        <v>0.32706499999999999</v>
      </c>
    </row>
    <row r="4866" spans="1:9" x14ac:dyDescent="0.25">
      <c r="A4866" s="1">
        <v>2320070523</v>
      </c>
      <c r="B4866" s="1" t="s">
        <v>2927</v>
      </c>
      <c r="C4866" s="1" t="s">
        <v>130</v>
      </c>
      <c r="D4866" s="1" t="s">
        <v>131</v>
      </c>
      <c r="E4866" s="3">
        <v>3250</v>
      </c>
      <c r="F4866" s="1" t="s">
        <v>36</v>
      </c>
      <c r="G4866" s="1">
        <v>0</v>
      </c>
      <c r="H4866" s="1">
        <v>0</v>
      </c>
      <c r="I4866" s="1">
        <v>0.33865800000000001</v>
      </c>
    </row>
    <row r="4867" spans="1:9" x14ac:dyDescent="0.25">
      <c r="A4867" s="1">
        <v>2320070524</v>
      </c>
      <c r="B4867" s="1" t="s">
        <v>2928</v>
      </c>
      <c r="C4867" s="1" t="s">
        <v>130</v>
      </c>
      <c r="D4867" s="1" t="s">
        <v>131</v>
      </c>
      <c r="E4867" s="3">
        <v>3250</v>
      </c>
      <c r="F4867" s="1" t="s">
        <v>36</v>
      </c>
      <c r="G4867" s="1">
        <v>0</v>
      </c>
      <c r="H4867" s="1">
        <v>0</v>
      </c>
      <c r="I4867" s="1">
        <v>0.33865800000000001</v>
      </c>
    </row>
    <row r="4868" spans="1:9" x14ac:dyDescent="0.25">
      <c r="A4868" s="1">
        <v>2320070525</v>
      </c>
      <c r="B4868" s="1" t="s">
        <v>2929</v>
      </c>
      <c r="C4868" s="1" t="s">
        <v>130</v>
      </c>
      <c r="D4868" s="1" t="s">
        <v>131</v>
      </c>
      <c r="E4868" s="3">
        <v>3250</v>
      </c>
      <c r="F4868" s="1" t="s">
        <v>36</v>
      </c>
      <c r="G4868" s="1">
        <v>0</v>
      </c>
      <c r="H4868" s="1">
        <v>0</v>
      </c>
      <c r="I4868" s="1">
        <v>0.32743699999999998</v>
      </c>
    </row>
    <row r="4869" spans="1:9" x14ac:dyDescent="0.25">
      <c r="A4869" s="1">
        <v>2320070571</v>
      </c>
      <c r="B4869" s="1" t="s">
        <v>2930</v>
      </c>
      <c r="C4869" s="1" t="s">
        <v>130</v>
      </c>
      <c r="D4869" s="1" t="s">
        <v>131</v>
      </c>
      <c r="E4869" s="3">
        <v>1442</v>
      </c>
      <c r="F4869" s="1" t="s">
        <v>36</v>
      </c>
      <c r="G4869" s="1">
        <v>0</v>
      </c>
      <c r="H4869" s="1">
        <v>0</v>
      </c>
      <c r="I4869" s="1">
        <v>6.9452E-2</v>
      </c>
    </row>
    <row r="4870" spans="1:9" x14ac:dyDescent="0.25">
      <c r="A4870" s="1">
        <v>2320070591</v>
      </c>
      <c r="B4870" s="1" t="s">
        <v>2931</v>
      </c>
      <c r="C4870" s="1" t="s">
        <v>130</v>
      </c>
      <c r="D4870" s="1" t="s">
        <v>131</v>
      </c>
      <c r="E4870" s="3">
        <v>8092</v>
      </c>
      <c r="F4870" s="1" t="s">
        <v>36</v>
      </c>
      <c r="G4870" s="1">
        <v>0</v>
      </c>
      <c r="H4870" s="1">
        <v>0</v>
      </c>
      <c r="I4870" s="1">
        <v>7.1561E-2</v>
      </c>
    </row>
    <row r="4871" spans="1:9" x14ac:dyDescent="0.25">
      <c r="A4871" s="1">
        <v>2320070592</v>
      </c>
      <c r="B4871" s="1" t="s">
        <v>2932</v>
      </c>
      <c r="C4871" s="1" t="s">
        <v>130</v>
      </c>
      <c r="D4871" s="1" t="s">
        <v>131</v>
      </c>
      <c r="E4871" s="3">
        <v>4500</v>
      </c>
      <c r="F4871" s="1" t="s">
        <v>36</v>
      </c>
      <c r="G4871" s="1">
        <v>0</v>
      </c>
      <c r="H4871" s="1">
        <v>0</v>
      </c>
      <c r="I4871" s="1">
        <v>6.9070999999999994E-2</v>
      </c>
    </row>
    <row r="4872" spans="1:9" x14ac:dyDescent="0.25">
      <c r="A4872" s="1">
        <v>2320070657</v>
      </c>
      <c r="B4872" s="1" t="s">
        <v>2933</v>
      </c>
      <c r="C4872" s="1" t="s">
        <v>1480</v>
      </c>
      <c r="D4872" s="1" t="s">
        <v>1481</v>
      </c>
      <c r="E4872" s="3">
        <v>1</v>
      </c>
      <c r="F4872" s="1" t="s">
        <v>36</v>
      </c>
      <c r="G4872" s="1">
        <v>0</v>
      </c>
      <c r="H4872" s="1">
        <v>0</v>
      </c>
      <c r="I4872" s="1">
        <v>0.44</v>
      </c>
    </row>
    <row r="4873" spans="1:9" x14ac:dyDescent="0.25">
      <c r="A4873" s="1">
        <v>2320070682</v>
      </c>
      <c r="B4873" s="1" t="s">
        <v>2934</v>
      </c>
      <c r="C4873" s="1" t="s">
        <v>130</v>
      </c>
      <c r="D4873" s="1" t="s">
        <v>131</v>
      </c>
      <c r="E4873" s="3">
        <v>720</v>
      </c>
      <c r="F4873" s="1" t="s">
        <v>36</v>
      </c>
      <c r="G4873" s="1">
        <v>0</v>
      </c>
      <c r="H4873" s="1">
        <v>0</v>
      </c>
      <c r="I4873" s="1">
        <v>0.160028</v>
      </c>
    </row>
    <row r="4874" spans="1:9" x14ac:dyDescent="0.25">
      <c r="A4874" s="1">
        <v>2320070685</v>
      </c>
      <c r="B4874" s="1" t="s">
        <v>2935</v>
      </c>
      <c r="C4874" s="1" t="s">
        <v>130</v>
      </c>
      <c r="D4874" s="1" t="s">
        <v>131</v>
      </c>
      <c r="E4874" s="3">
        <v>1093</v>
      </c>
      <c r="F4874" s="1" t="s">
        <v>36</v>
      </c>
      <c r="G4874" s="1">
        <v>0</v>
      </c>
      <c r="H4874" s="1">
        <v>0</v>
      </c>
      <c r="I4874" s="1">
        <v>0.114995</v>
      </c>
    </row>
    <row r="4875" spans="1:9" x14ac:dyDescent="0.25">
      <c r="A4875" s="1">
        <v>2320070772</v>
      </c>
      <c r="B4875" s="1" t="s">
        <v>2936</v>
      </c>
      <c r="C4875" s="1" t="s">
        <v>130</v>
      </c>
      <c r="D4875" s="1" t="s">
        <v>131</v>
      </c>
      <c r="E4875" s="3">
        <v>7500</v>
      </c>
      <c r="F4875" s="1" t="s">
        <v>36</v>
      </c>
      <c r="G4875" s="1">
        <v>0</v>
      </c>
      <c r="H4875" s="1">
        <v>0</v>
      </c>
      <c r="I4875" s="1">
        <v>0.23216100000000001</v>
      </c>
    </row>
    <row r="4876" spans="1:9" x14ac:dyDescent="0.25">
      <c r="A4876" s="1">
        <v>2320070971</v>
      </c>
      <c r="B4876" s="1" t="s">
        <v>2937</v>
      </c>
      <c r="C4876" s="1" t="s">
        <v>130</v>
      </c>
      <c r="D4876" s="1" t="s">
        <v>131</v>
      </c>
      <c r="E4876" s="3">
        <v>18280</v>
      </c>
      <c r="F4876" s="1" t="s">
        <v>36</v>
      </c>
      <c r="G4876" s="1">
        <v>0</v>
      </c>
      <c r="H4876" s="1">
        <v>0</v>
      </c>
      <c r="I4876" s="1">
        <v>6.3299999999999995E-2</v>
      </c>
    </row>
    <row r="4877" spans="1:9" x14ac:dyDescent="0.25">
      <c r="A4877" s="1">
        <v>2320070977</v>
      </c>
      <c r="B4877" s="1" t="s">
        <v>2938</v>
      </c>
      <c r="C4877" s="1" t="s">
        <v>130</v>
      </c>
      <c r="D4877" s="1" t="s">
        <v>131</v>
      </c>
      <c r="E4877" s="3">
        <v>602</v>
      </c>
      <c r="F4877" s="1" t="s">
        <v>36</v>
      </c>
      <c r="G4877" s="1">
        <v>0</v>
      </c>
      <c r="H4877" s="1">
        <v>0</v>
      </c>
      <c r="I4877" s="1">
        <v>0.160748</v>
      </c>
    </row>
    <row r="4878" spans="1:9" x14ac:dyDescent="0.25">
      <c r="A4878" s="1">
        <v>2320070978</v>
      </c>
      <c r="B4878" s="1" t="s">
        <v>2939</v>
      </c>
      <c r="C4878" s="1" t="s">
        <v>130</v>
      </c>
      <c r="D4878" s="1" t="s">
        <v>131</v>
      </c>
      <c r="E4878" s="3">
        <v>5309</v>
      </c>
      <c r="F4878" s="1" t="s">
        <v>36</v>
      </c>
      <c r="G4878" s="1">
        <v>0</v>
      </c>
      <c r="H4878" s="1">
        <v>0</v>
      </c>
      <c r="I4878" s="1">
        <v>0.143927</v>
      </c>
    </row>
    <row r="4879" spans="1:9" x14ac:dyDescent="0.25">
      <c r="A4879" s="1">
        <v>2320071029</v>
      </c>
      <c r="B4879" s="1" t="s">
        <v>2940</v>
      </c>
      <c r="C4879" s="1" t="s">
        <v>130</v>
      </c>
      <c r="D4879" s="1" t="s">
        <v>131</v>
      </c>
      <c r="E4879" s="3">
        <v>1430</v>
      </c>
      <c r="F4879" s="1" t="s">
        <v>36</v>
      </c>
      <c r="G4879" s="1">
        <v>0</v>
      </c>
      <c r="H4879" s="1">
        <v>0</v>
      </c>
      <c r="I4879" s="1">
        <v>0.25185299999999999</v>
      </c>
    </row>
    <row r="4880" spans="1:9" x14ac:dyDescent="0.25">
      <c r="A4880" s="1">
        <v>2320071169</v>
      </c>
      <c r="B4880" s="1" t="s">
        <v>2941</v>
      </c>
      <c r="C4880" s="1" t="s">
        <v>130</v>
      </c>
      <c r="D4880" s="1" t="s">
        <v>131</v>
      </c>
      <c r="E4880" s="3">
        <v>605</v>
      </c>
      <c r="F4880" s="1" t="s">
        <v>36</v>
      </c>
      <c r="G4880" s="1">
        <v>0</v>
      </c>
      <c r="H4880" s="1">
        <v>0</v>
      </c>
      <c r="I4880" s="1">
        <v>0.15664500000000001</v>
      </c>
    </row>
    <row r="4881" spans="1:9" x14ac:dyDescent="0.25">
      <c r="A4881" s="1">
        <v>2320071170</v>
      </c>
      <c r="B4881" s="1" t="s">
        <v>2942</v>
      </c>
      <c r="C4881" s="1" t="s">
        <v>130</v>
      </c>
      <c r="D4881" s="1" t="s">
        <v>131</v>
      </c>
      <c r="E4881" s="3">
        <v>2631</v>
      </c>
      <c r="F4881" s="1" t="s">
        <v>36</v>
      </c>
      <c r="G4881" s="3">
        <v>0</v>
      </c>
      <c r="H4881" s="1">
        <v>0</v>
      </c>
      <c r="I4881" s="1">
        <v>0.16075300000000001</v>
      </c>
    </row>
    <row r="4882" spans="1:9" x14ac:dyDescent="0.25">
      <c r="A4882" s="1">
        <v>2320071173</v>
      </c>
      <c r="B4882" s="1" t="s">
        <v>2943</v>
      </c>
      <c r="C4882" s="1" t="s">
        <v>130</v>
      </c>
      <c r="D4882" s="1" t="s">
        <v>131</v>
      </c>
      <c r="E4882" s="3">
        <v>4534</v>
      </c>
      <c r="F4882" s="1" t="s">
        <v>36</v>
      </c>
      <c r="G4882" s="1">
        <v>0</v>
      </c>
      <c r="H4882" s="3">
        <v>0</v>
      </c>
      <c r="I4882" s="1">
        <v>0.107084</v>
      </c>
    </row>
    <row r="4883" spans="1:9" x14ac:dyDescent="0.25">
      <c r="A4883" s="1">
        <v>2320071180</v>
      </c>
      <c r="B4883" s="1" t="s">
        <v>2944</v>
      </c>
      <c r="C4883" s="1" t="s">
        <v>130</v>
      </c>
      <c r="D4883" s="1" t="s">
        <v>131</v>
      </c>
      <c r="E4883" s="3">
        <v>23215</v>
      </c>
      <c r="F4883" s="1" t="s">
        <v>36</v>
      </c>
      <c r="G4883" s="1">
        <v>0</v>
      </c>
      <c r="H4883" s="1">
        <v>0</v>
      </c>
      <c r="I4883" s="1">
        <v>0.10181999999999999</v>
      </c>
    </row>
    <row r="4884" spans="1:9" x14ac:dyDescent="0.25">
      <c r="A4884" s="1">
        <v>2320071254</v>
      </c>
      <c r="B4884" s="1" t="s">
        <v>2945</v>
      </c>
      <c r="C4884" s="1" t="s">
        <v>130</v>
      </c>
      <c r="D4884" s="1" t="s">
        <v>131</v>
      </c>
      <c r="E4884" s="3">
        <v>4612</v>
      </c>
      <c r="F4884" s="1" t="s">
        <v>36</v>
      </c>
      <c r="G4884" s="1">
        <v>0</v>
      </c>
      <c r="H4884" s="1">
        <v>0</v>
      </c>
      <c r="I4884" s="1">
        <v>3.0613999999999999E-2</v>
      </c>
    </row>
    <row r="4885" spans="1:9" x14ac:dyDescent="0.25">
      <c r="A4885" s="1">
        <v>2320071291</v>
      </c>
      <c r="B4885" s="1" t="s">
        <v>2946</v>
      </c>
      <c r="C4885" s="1" t="s">
        <v>130</v>
      </c>
      <c r="D4885" s="1" t="s">
        <v>131</v>
      </c>
      <c r="E4885" s="3">
        <v>149000</v>
      </c>
      <c r="F4885" s="1" t="s">
        <v>36</v>
      </c>
      <c r="G4885" s="1">
        <v>0</v>
      </c>
      <c r="H4885" s="1">
        <v>0</v>
      </c>
      <c r="I4885" s="1">
        <v>2.6433999999999999E-2</v>
      </c>
    </row>
    <row r="4886" spans="1:9" x14ac:dyDescent="0.25">
      <c r="A4886" s="1">
        <v>2320071295</v>
      </c>
      <c r="B4886" s="1" t="s">
        <v>2947</v>
      </c>
      <c r="C4886" s="1" t="s">
        <v>2248</v>
      </c>
      <c r="D4886" s="1" t="s">
        <v>2249</v>
      </c>
      <c r="E4886" s="3">
        <v>0</v>
      </c>
      <c r="F4886" s="1" t="s">
        <v>36</v>
      </c>
      <c r="G4886" s="1">
        <v>0</v>
      </c>
      <c r="H4886" s="1">
        <v>420</v>
      </c>
      <c r="I4886" s="1">
        <v>8.2106999999999999E-2</v>
      </c>
    </row>
    <row r="4887" spans="1:9" x14ac:dyDescent="0.25">
      <c r="A4887" s="1">
        <v>2320071300</v>
      </c>
      <c r="B4887" s="1" t="s">
        <v>2948</v>
      </c>
      <c r="C4887" s="1" t="s">
        <v>130</v>
      </c>
      <c r="D4887" s="1" t="s">
        <v>131</v>
      </c>
      <c r="E4887" s="3">
        <v>109882</v>
      </c>
      <c r="F4887" s="1" t="s">
        <v>36</v>
      </c>
      <c r="G4887" s="1">
        <v>0</v>
      </c>
      <c r="H4887" s="1">
        <v>0</v>
      </c>
      <c r="I4887" s="1">
        <v>3.8462999999999997E-2</v>
      </c>
    </row>
    <row r="4888" spans="1:9" x14ac:dyDescent="0.25">
      <c r="A4888" s="1">
        <v>2320071335</v>
      </c>
      <c r="B4888" s="1" t="s">
        <v>2949</v>
      </c>
      <c r="C4888" s="1" t="s">
        <v>130</v>
      </c>
      <c r="D4888" s="1" t="s">
        <v>131</v>
      </c>
      <c r="E4888" s="3">
        <v>4133</v>
      </c>
      <c r="F4888" s="1" t="s">
        <v>36</v>
      </c>
      <c r="G4888" s="1">
        <v>0</v>
      </c>
      <c r="H4888" s="1">
        <v>0</v>
      </c>
      <c r="I4888" s="1">
        <v>0.17092199999999999</v>
      </c>
    </row>
    <row r="4889" spans="1:9" x14ac:dyDescent="0.25">
      <c r="A4889" s="1">
        <v>2320071336</v>
      </c>
      <c r="B4889" s="1" t="s">
        <v>2950</v>
      </c>
      <c r="C4889" s="1" t="s">
        <v>130</v>
      </c>
      <c r="D4889" s="1" t="s">
        <v>131</v>
      </c>
      <c r="E4889" s="3">
        <v>3100</v>
      </c>
      <c r="F4889" s="1" t="s">
        <v>36</v>
      </c>
      <c r="G4889" s="1">
        <v>0</v>
      </c>
      <c r="H4889" s="1">
        <v>0</v>
      </c>
      <c r="I4889" s="1">
        <v>9.3210000000000001E-2</v>
      </c>
    </row>
    <row r="4890" spans="1:9" x14ac:dyDescent="0.25">
      <c r="A4890" s="1">
        <v>2320071341</v>
      </c>
      <c r="B4890" s="1" t="s">
        <v>2951</v>
      </c>
      <c r="C4890" s="1" t="s">
        <v>130</v>
      </c>
      <c r="D4890" s="1" t="s">
        <v>131</v>
      </c>
      <c r="E4890" s="3">
        <v>33859</v>
      </c>
      <c r="F4890" s="1" t="s">
        <v>36</v>
      </c>
      <c r="G4890" s="1">
        <v>0</v>
      </c>
      <c r="H4890" s="1">
        <v>0</v>
      </c>
      <c r="I4890" s="1">
        <v>8.1961999999999993E-2</v>
      </c>
    </row>
    <row r="4891" spans="1:9" x14ac:dyDescent="0.25">
      <c r="A4891" s="1">
        <v>2320071358</v>
      </c>
      <c r="B4891" s="1" t="s">
        <v>2952</v>
      </c>
      <c r="C4891" s="1" t="s">
        <v>130</v>
      </c>
      <c r="D4891" s="1" t="s">
        <v>131</v>
      </c>
      <c r="E4891" s="3">
        <v>1600</v>
      </c>
      <c r="F4891" s="1" t="s">
        <v>36</v>
      </c>
      <c r="G4891" s="1">
        <v>0</v>
      </c>
      <c r="H4891" s="1">
        <v>0</v>
      </c>
      <c r="I4891" s="1">
        <v>0.30275600000000003</v>
      </c>
    </row>
    <row r="4892" spans="1:9" x14ac:dyDescent="0.25">
      <c r="A4892" s="1">
        <v>2320071359</v>
      </c>
      <c r="B4892" s="1" t="s">
        <v>2953</v>
      </c>
      <c r="C4892" s="1" t="s">
        <v>130</v>
      </c>
      <c r="D4892" s="1" t="s">
        <v>131</v>
      </c>
      <c r="E4892" s="3">
        <v>1600</v>
      </c>
      <c r="F4892" s="1" t="s">
        <v>36</v>
      </c>
      <c r="G4892" s="1">
        <v>0</v>
      </c>
      <c r="H4892" s="1">
        <v>0</v>
      </c>
      <c r="I4892" s="1">
        <v>0.30275600000000003</v>
      </c>
    </row>
    <row r="4893" spans="1:9" x14ac:dyDescent="0.25">
      <c r="A4893" s="1">
        <v>2320071360</v>
      </c>
      <c r="B4893" s="1" t="s">
        <v>2954</v>
      </c>
      <c r="C4893" s="1" t="s">
        <v>130</v>
      </c>
      <c r="D4893" s="1" t="s">
        <v>131</v>
      </c>
      <c r="E4893" s="3">
        <v>1600</v>
      </c>
      <c r="F4893" s="1" t="s">
        <v>36</v>
      </c>
      <c r="G4893" s="1">
        <v>0</v>
      </c>
      <c r="H4893" s="1">
        <v>0</v>
      </c>
      <c r="I4893" s="1">
        <v>0.30275600000000003</v>
      </c>
    </row>
    <row r="4894" spans="1:9" x14ac:dyDescent="0.25">
      <c r="A4894" s="1">
        <v>2320071361</v>
      </c>
      <c r="B4894" s="1" t="s">
        <v>2955</v>
      </c>
      <c r="C4894" s="1" t="s">
        <v>130</v>
      </c>
      <c r="D4894" s="1" t="s">
        <v>131</v>
      </c>
      <c r="E4894" s="3">
        <v>1600</v>
      </c>
      <c r="F4894" s="1" t="s">
        <v>36</v>
      </c>
      <c r="G4894" s="1">
        <v>0</v>
      </c>
      <c r="H4894" s="1">
        <v>0</v>
      </c>
      <c r="I4894" s="1">
        <v>0.30275600000000003</v>
      </c>
    </row>
    <row r="4895" spans="1:9" x14ac:dyDescent="0.25">
      <c r="A4895" s="1">
        <v>2320071362</v>
      </c>
      <c r="B4895" s="1" t="s">
        <v>2956</v>
      </c>
      <c r="C4895" s="1" t="s">
        <v>130</v>
      </c>
      <c r="D4895" s="1" t="s">
        <v>131</v>
      </c>
      <c r="E4895" s="3">
        <v>1600</v>
      </c>
      <c r="F4895" s="1" t="s">
        <v>36</v>
      </c>
      <c r="G4895" s="1">
        <v>0</v>
      </c>
      <c r="H4895" s="1">
        <v>0</v>
      </c>
      <c r="I4895" s="1">
        <v>0.30275600000000003</v>
      </c>
    </row>
    <row r="4896" spans="1:9" x14ac:dyDescent="0.25">
      <c r="A4896" s="1">
        <v>2320071363</v>
      </c>
      <c r="B4896" s="1" t="s">
        <v>2957</v>
      </c>
      <c r="C4896" s="1" t="s">
        <v>130</v>
      </c>
      <c r="D4896" s="1" t="s">
        <v>131</v>
      </c>
      <c r="E4896" s="3">
        <v>1600</v>
      </c>
      <c r="F4896" s="1" t="s">
        <v>36</v>
      </c>
      <c r="G4896" s="1">
        <v>0</v>
      </c>
      <c r="H4896" s="1">
        <v>0</v>
      </c>
      <c r="I4896" s="1">
        <v>0.30388799999999999</v>
      </c>
    </row>
    <row r="4897" spans="1:9" x14ac:dyDescent="0.25">
      <c r="A4897" s="1">
        <v>2320071371</v>
      </c>
      <c r="B4897" s="1" t="s">
        <v>2958</v>
      </c>
      <c r="C4897" s="1" t="s">
        <v>130</v>
      </c>
      <c r="D4897" s="1" t="s">
        <v>131</v>
      </c>
      <c r="E4897" s="3">
        <v>4069</v>
      </c>
      <c r="F4897" s="1" t="s">
        <v>36</v>
      </c>
      <c r="G4897" s="1">
        <v>0</v>
      </c>
      <c r="H4897" s="3">
        <v>0</v>
      </c>
      <c r="I4897" s="1">
        <v>8.9189000000000004E-2</v>
      </c>
    </row>
    <row r="4898" spans="1:9" x14ac:dyDescent="0.25">
      <c r="A4898" s="1">
        <v>2320071372</v>
      </c>
      <c r="B4898" s="1" t="s">
        <v>2959</v>
      </c>
      <c r="C4898" s="1" t="s">
        <v>130</v>
      </c>
      <c r="D4898" s="1" t="s">
        <v>131</v>
      </c>
      <c r="E4898" s="3">
        <v>3121</v>
      </c>
      <c r="F4898" s="1" t="s">
        <v>36</v>
      </c>
      <c r="G4898" s="3">
        <v>0</v>
      </c>
      <c r="H4898" s="1">
        <v>0</v>
      </c>
      <c r="I4898" s="1">
        <v>0.104293</v>
      </c>
    </row>
    <row r="4899" spans="1:9" x14ac:dyDescent="0.25">
      <c r="A4899" s="1">
        <v>2320071375</v>
      </c>
      <c r="B4899" s="1" t="s">
        <v>2960</v>
      </c>
      <c r="C4899" s="1" t="s">
        <v>307</v>
      </c>
      <c r="D4899" s="1" t="s">
        <v>308</v>
      </c>
      <c r="E4899" s="3">
        <v>2800</v>
      </c>
      <c r="F4899" s="1" t="s">
        <v>36</v>
      </c>
      <c r="G4899" s="1">
        <v>0</v>
      </c>
      <c r="H4899" s="3">
        <v>0</v>
      </c>
      <c r="I4899" s="1">
        <v>0.10835699999999999</v>
      </c>
    </row>
    <row r="4900" spans="1:9" x14ac:dyDescent="0.25">
      <c r="A4900" s="1">
        <v>2320071375</v>
      </c>
      <c r="B4900" s="1" t="s">
        <v>2960</v>
      </c>
      <c r="C4900" s="1" t="s">
        <v>130</v>
      </c>
      <c r="D4900" s="1" t="s">
        <v>131</v>
      </c>
      <c r="E4900" s="3">
        <v>385</v>
      </c>
      <c r="F4900" s="1" t="s">
        <v>36</v>
      </c>
      <c r="G4900" s="3">
        <v>0</v>
      </c>
      <c r="H4900" s="1">
        <v>0</v>
      </c>
      <c r="I4900" s="1">
        <v>0.22922100000000001</v>
      </c>
    </row>
    <row r="4901" spans="1:9" x14ac:dyDescent="0.25">
      <c r="A4901">
        <v>2320071447</v>
      </c>
      <c r="B4901" t="s">
        <v>2961</v>
      </c>
      <c r="C4901" t="s">
        <v>130</v>
      </c>
      <c r="D4901" t="s">
        <v>131</v>
      </c>
      <c r="E4901" s="2">
        <v>1200</v>
      </c>
      <c r="F4901" t="s">
        <v>36</v>
      </c>
      <c r="G4901" s="2">
        <v>0</v>
      </c>
      <c r="H4901">
        <v>0</v>
      </c>
      <c r="I4901">
        <v>9.3583E-2</v>
      </c>
    </row>
    <row r="4902" spans="1:9" x14ac:dyDescent="0.25">
      <c r="A4902" s="1">
        <v>2320071448</v>
      </c>
      <c r="B4902" s="1" t="s">
        <v>2962</v>
      </c>
      <c r="C4902" s="1" t="s">
        <v>130</v>
      </c>
      <c r="D4902" s="1" t="s">
        <v>131</v>
      </c>
      <c r="E4902" s="3">
        <v>800</v>
      </c>
      <c r="F4902" s="1" t="s">
        <v>36</v>
      </c>
      <c r="G4902" s="1">
        <v>0</v>
      </c>
      <c r="H4902" s="1">
        <v>0</v>
      </c>
      <c r="I4902" s="1">
        <v>9.3575000000000005E-2</v>
      </c>
    </row>
    <row r="4903" spans="1:9" x14ac:dyDescent="0.25">
      <c r="A4903" s="1">
        <v>2320071449</v>
      </c>
      <c r="B4903" s="1" t="s">
        <v>2963</v>
      </c>
      <c r="C4903" s="1" t="s">
        <v>130</v>
      </c>
      <c r="D4903" s="1" t="s">
        <v>131</v>
      </c>
      <c r="E4903" s="3">
        <v>1200</v>
      </c>
      <c r="F4903" s="1" t="s">
        <v>36</v>
      </c>
      <c r="G4903" s="1">
        <v>0</v>
      </c>
      <c r="H4903" s="1">
        <v>0</v>
      </c>
      <c r="I4903" s="1">
        <v>9.3583E-2</v>
      </c>
    </row>
    <row r="4904" spans="1:9" x14ac:dyDescent="0.25">
      <c r="A4904" s="1">
        <v>2320071457</v>
      </c>
      <c r="B4904" s="1" t="s">
        <v>2964</v>
      </c>
      <c r="C4904" s="1" t="s">
        <v>130</v>
      </c>
      <c r="D4904" s="1" t="s">
        <v>131</v>
      </c>
      <c r="E4904" s="3">
        <v>4346</v>
      </c>
      <c r="F4904" s="1" t="s">
        <v>36</v>
      </c>
      <c r="G4904" s="1">
        <v>0</v>
      </c>
      <c r="H4904" s="1">
        <v>0</v>
      </c>
      <c r="I4904" s="1">
        <v>0.12723699999999999</v>
      </c>
    </row>
    <row r="4905" spans="1:9" x14ac:dyDescent="0.25">
      <c r="A4905" s="1">
        <v>2320071458</v>
      </c>
      <c r="B4905" s="1" t="s">
        <v>2965</v>
      </c>
      <c r="C4905" s="1" t="s">
        <v>130</v>
      </c>
      <c r="D4905" s="1" t="s">
        <v>131</v>
      </c>
      <c r="E4905" s="3">
        <v>1450</v>
      </c>
      <c r="F4905" s="1" t="s">
        <v>36</v>
      </c>
      <c r="G4905" s="1">
        <v>0</v>
      </c>
      <c r="H4905" s="1">
        <v>0</v>
      </c>
      <c r="I4905" s="1">
        <v>0.13020000000000001</v>
      </c>
    </row>
    <row r="4906" spans="1:9" x14ac:dyDescent="0.25">
      <c r="A4906" s="1">
        <v>2320071459</v>
      </c>
      <c r="B4906" s="1" t="s">
        <v>2966</v>
      </c>
      <c r="C4906" s="1" t="s">
        <v>130</v>
      </c>
      <c r="D4906" s="1" t="s">
        <v>131</v>
      </c>
      <c r="E4906" s="3">
        <v>1300</v>
      </c>
      <c r="F4906" s="1" t="s">
        <v>36</v>
      </c>
      <c r="G4906" s="1">
        <v>0</v>
      </c>
      <c r="H4906" s="1">
        <v>0</v>
      </c>
      <c r="I4906" s="1">
        <v>0.13020000000000001</v>
      </c>
    </row>
    <row r="4907" spans="1:9" x14ac:dyDescent="0.25">
      <c r="A4907" s="1">
        <v>2320071460</v>
      </c>
      <c r="B4907" s="1" t="s">
        <v>2967</v>
      </c>
      <c r="C4907" s="1" t="s">
        <v>130</v>
      </c>
      <c r="D4907" s="1" t="s">
        <v>131</v>
      </c>
      <c r="E4907" s="3">
        <v>38000</v>
      </c>
      <c r="F4907" s="1" t="s">
        <v>36</v>
      </c>
      <c r="G4907" s="1">
        <v>0</v>
      </c>
      <c r="H4907" s="1">
        <v>0</v>
      </c>
      <c r="I4907" s="1">
        <v>2.598E-3</v>
      </c>
    </row>
    <row r="4908" spans="1:9" x14ac:dyDescent="0.25">
      <c r="A4908" s="1">
        <v>2320071461</v>
      </c>
      <c r="B4908" s="1" t="s">
        <v>2968</v>
      </c>
      <c r="C4908" s="1" t="s">
        <v>130</v>
      </c>
      <c r="D4908" s="1" t="s">
        <v>131</v>
      </c>
      <c r="E4908" s="3">
        <v>31900</v>
      </c>
      <c r="F4908" s="1" t="s">
        <v>36</v>
      </c>
      <c r="G4908" s="1">
        <v>0</v>
      </c>
      <c r="H4908" s="1">
        <v>0</v>
      </c>
      <c r="I4908" s="1">
        <v>3.1350000000000002E-3</v>
      </c>
    </row>
    <row r="4909" spans="1:9" x14ac:dyDescent="0.25">
      <c r="A4909" s="1">
        <v>2320071462</v>
      </c>
      <c r="B4909" s="1" t="s">
        <v>2969</v>
      </c>
      <c r="C4909" s="1" t="s">
        <v>130</v>
      </c>
      <c r="D4909" s="1" t="s">
        <v>131</v>
      </c>
      <c r="E4909" s="3">
        <v>3000</v>
      </c>
      <c r="F4909" s="1" t="s">
        <v>36</v>
      </c>
      <c r="G4909" s="1">
        <v>0</v>
      </c>
      <c r="H4909" s="1">
        <v>0</v>
      </c>
      <c r="I4909" s="1">
        <v>2.153E-3</v>
      </c>
    </row>
    <row r="4910" spans="1:9" x14ac:dyDescent="0.25">
      <c r="A4910" s="1">
        <v>2320071463</v>
      </c>
      <c r="B4910" s="1" t="s">
        <v>2970</v>
      </c>
      <c r="C4910" s="1" t="s">
        <v>130</v>
      </c>
      <c r="D4910" s="1" t="s">
        <v>131</v>
      </c>
      <c r="E4910" s="3">
        <v>27000</v>
      </c>
      <c r="F4910" s="1" t="s">
        <v>36</v>
      </c>
      <c r="G4910" s="1">
        <v>0</v>
      </c>
      <c r="H4910" s="1">
        <v>0</v>
      </c>
      <c r="I4910" s="1">
        <v>2.797E-3</v>
      </c>
    </row>
    <row r="4911" spans="1:9" x14ac:dyDescent="0.25">
      <c r="A4911" s="1">
        <v>2320071464</v>
      </c>
      <c r="B4911" s="1" t="s">
        <v>2971</v>
      </c>
      <c r="C4911" s="1" t="s">
        <v>130</v>
      </c>
      <c r="D4911" s="1" t="s">
        <v>131</v>
      </c>
      <c r="E4911" s="3">
        <v>11000</v>
      </c>
      <c r="F4911" s="1" t="s">
        <v>36</v>
      </c>
      <c r="G4911" s="1">
        <v>0</v>
      </c>
      <c r="H4911" s="1">
        <v>0</v>
      </c>
      <c r="I4911" s="1">
        <v>2.1580000000000002E-3</v>
      </c>
    </row>
    <row r="4912" spans="1:9" x14ac:dyDescent="0.25">
      <c r="A4912" s="1">
        <v>2320071465</v>
      </c>
      <c r="B4912" s="1" t="s">
        <v>2972</v>
      </c>
      <c r="C4912" s="1" t="s">
        <v>130</v>
      </c>
      <c r="D4912" s="1" t="s">
        <v>131</v>
      </c>
      <c r="E4912" s="3">
        <v>10900</v>
      </c>
      <c r="F4912" s="1" t="s">
        <v>36</v>
      </c>
      <c r="G4912" s="1">
        <v>0</v>
      </c>
      <c r="H4912" s="1">
        <v>0</v>
      </c>
      <c r="I4912" s="1">
        <v>2.1589999999999999E-3</v>
      </c>
    </row>
    <row r="4913" spans="1:9" x14ac:dyDescent="0.25">
      <c r="A4913" s="1">
        <v>2320071466</v>
      </c>
      <c r="B4913" s="1" t="s">
        <v>2973</v>
      </c>
      <c r="C4913" s="1" t="s">
        <v>130</v>
      </c>
      <c r="D4913" s="1" t="s">
        <v>131</v>
      </c>
      <c r="E4913" s="3">
        <v>21000</v>
      </c>
      <c r="F4913" s="1" t="s">
        <v>36</v>
      </c>
      <c r="G4913" s="1">
        <v>0</v>
      </c>
      <c r="H4913" s="1">
        <v>0</v>
      </c>
      <c r="I4913" s="1">
        <v>2.2079999999999999E-3</v>
      </c>
    </row>
    <row r="4914" spans="1:9" x14ac:dyDescent="0.25">
      <c r="A4914" s="1">
        <v>2320071467</v>
      </c>
      <c r="B4914" s="1" t="s">
        <v>2974</v>
      </c>
      <c r="C4914" s="1" t="s">
        <v>130</v>
      </c>
      <c r="D4914" s="1" t="s">
        <v>131</v>
      </c>
      <c r="E4914" s="3">
        <v>7750</v>
      </c>
      <c r="F4914" s="1" t="s">
        <v>36</v>
      </c>
      <c r="G4914" s="1">
        <v>0</v>
      </c>
      <c r="H4914" s="1">
        <v>0</v>
      </c>
      <c r="I4914" s="1">
        <v>2.163E-3</v>
      </c>
    </row>
    <row r="4915" spans="1:9" x14ac:dyDescent="0.25">
      <c r="A4915" s="1">
        <v>2320071468</v>
      </c>
      <c r="B4915" s="1" t="s">
        <v>2975</v>
      </c>
      <c r="C4915" s="1" t="s">
        <v>130</v>
      </c>
      <c r="D4915" s="1" t="s">
        <v>131</v>
      </c>
      <c r="E4915" s="3">
        <v>31200</v>
      </c>
      <c r="F4915" s="1" t="s">
        <v>36</v>
      </c>
      <c r="G4915" s="1">
        <v>0</v>
      </c>
      <c r="H4915" s="1">
        <v>0</v>
      </c>
      <c r="I4915" s="1">
        <v>2.9880000000000002E-3</v>
      </c>
    </row>
    <row r="4916" spans="1:9" x14ac:dyDescent="0.25">
      <c r="A4916" s="1">
        <v>2320071469</v>
      </c>
      <c r="B4916" s="1" t="s">
        <v>2976</v>
      </c>
      <c r="C4916" s="1" t="s">
        <v>130</v>
      </c>
      <c r="D4916" s="1" t="s">
        <v>131</v>
      </c>
      <c r="E4916" s="3">
        <v>13700</v>
      </c>
      <c r="F4916" s="1" t="s">
        <v>36</v>
      </c>
      <c r="G4916" s="1">
        <v>0</v>
      </c>
      <c r="H4916" s="1">
        <v>0</v>
      </c>
      <c r="I4916" s="1">
        <v>2.1220000000000002E-3</v>
      </c>
    </row>
    <row r="4917" spans="1:9" x14ac:dyDescent="0.25">
      <c r="A4917" s="1">
        <v>2320071470</v>
      </c>
      <c r="B4917" s="1" t="s">
        <v>2977</v>
      </c>
      <c r="C4917" s="1" t="s">
        <v>130</v>
      </c>
      <c r="D4917" s="1" t="s">
        <v>131</v>
      </c>
      <c r="E4917" s="3">
        <v>11600</v>
      </c>
      <c r="F4917" s="1" t="s">
        <v>36</v>
      </c>
      <c r="G4917" s="1">
        <v>0</v>
      </c>
      <c r="H4917" s="1">
        <v>0</v>
      </c>
      <c r="I4917" s="1">
        <v>2.1199999999999999E-3</v>
      </c>
    </row>
    <row r="4918" spans="1:9" x14ac:dyDescent="0.25">
      <c r="A4918" s="1">
        <v>2320071471</v>
      </c>
      <c r="B4918" s="1" t="s">
        <v>2978</v>
      </c>
      <c r="C4918" s="1" t="s">
        <v>130</v>
      </c>
      <c r="D4918" s="1" t="s">
        <v>131</v>
      </c>
      <c r="E4918" s="3">
        <v>17500</v>
      </c>
      <c r="F4918" s="1" t="s">
        <v>36</v>
      </c>
      <c r="G4918" s="1">
        <v>0</v>
      </c>
      <c r="H4918" s="1">
        <v>0</v>
      </c>
      <c r="I4918" s="1">
        <v>2.4220000000000001E-3</v>
      </c>
    </row>
    <row r="4919" spans="1:9" x14ac:dyDescent="0.25">
      <c r="A4919" s="1">
        <v>2320071474</v>
      </c>
      <c r="B4919" s="1" t="s">
        <v>2979</v>
      </c>
      <c r="C4919" s="1" t="s">
        <v>130</v>
      </c>
      <c r="D4919" s="1" t="s">
        <v>131</v>
      </c>
      <c r="E4919" s="3">
        <v>1790</v>
      </c>
      <c r="F4919" s="1" t="s">
        <v>36</v>
      </c>
      <c r="G4919" s="1">
        <v>0</v>
      </c>
      <c r="H4919" s="1">
        <v>0</v>
      </c>
      <c r="I4919" s="1">
        <v>9.6972000000000003E-2</v>
      </c>
    </row>
    <row r="4920" spans="1:9" x14ac:dyDescent="0.25">
      <c r="A4920" s="1">
        <v>2320071475</v>
      </c>
      <c r="B4920" s="1" t="s">
        <v>2980</v>
      </c>
      <c r="C4920" s="1" t="s">
        <v>130</v>
      </c>
      <c r="D4920" s="1" t="s">
        <v>131</v>
      </c>
      <c r="E4920" s="3">
        <v>2840</v>
      </c>
      <c r="F4920" s="1" t="s">
        <v>36</v>
      </c>
      <c r="G4920" s="1">
        <v>0</v>
      </c>
      <c r="H4920" s="1">
        <v>0</v>
      </c>
      <c r="I4920" s="1">
        <v>9.6189999999999998E-2</v>
      </c>
    </row>
    <row r="4921" spans="1:9" x14ac:dyDescent="0.25">
      <c r="A4921" s="1">
        <v>2320071476</v>
      </c>
      <c r="B4921" s="1" t="s">
        <v>2981</v>
      </c>
      <c r="C4921" s="1" t="s">
        <v>130</v>
      </c>
      <c r="D4921" s="1" t="s">
        <v>131</v>
      </c>
      <c r="E4921" s="3">
        <v>2110</v>
      </c>
      <c r="F4921" s="1" t="s">
        <v>36</v>
      </c>
      <c r="G4921" s="1">
        <v>0</v>
      </c>
      <c r="H4921" s="1">
        <v>0</v>
      </c>
      <c r="I4921" s="1">
        <v>0.19114200000000001</v>
      </c>
    </row>
    <row r="4922" spans="1:9" x14ac:dyDescent="0.25">
      <c r="A4922" s="1">
        <v>2320071477</v>
      </c>
      <c r="B4922" s="1" t="s">
        <v>2982</v>
      </c>
      <c r="C4922" s="1" t="s">
        <v>130</v>
      </c>
      <c r="D4922" s="1" t="s">
        <v>131</v>
      </c>
      <c r="E4922" s="3">
        <v>1675</v>
      </c>
      <c r="F4922" s="1" t="s">
        <v>36</v>
      </c>
      <c r="G4922" s="1">
        <v>0</v>
      </c>
      <c r="H4922" s="1">
        <v>0</v>
      </c>
      <c r="I4922" s="1">
        <v>0.139349</v>
      </c>
    </row>
    <row r="4923" spans="1:9" x14ac:dyDescent="0.25">
      <c r="A4923" s="1">
        <v>2320071477</v>
      </c>
      <c r="B4923" s="1" t="s">
        <v>2982</v>
      </c>
      <c r="C4923" s="1" t="s">
        <v>142</v>
      </c>
      <c r="D4923" s="1" t="s">
        <v>143</v>
      </c>
      <c r="E4923" s="1">
        <v>300</v>
      </c>
      <c r="F4923" s="1" t="s">
        <v>36</v>
      </c>
      <c r="G4923" s="1">
        <v>0</v>
      </c>
      <c r="H4923" s="3">
        <v>0</v>
      </c>
      <c r="I4923" s="1">
        <v>0.13933300000000001</v>
      </c>
    </row>
    <row r="4924" spans="1:9" x14ac:dyDescent="0.25">
      <c r="A4924" s="1">
        <v>2320071477</v>
      </c>
      <c r="B4924" s="1" t="s">
        <v>2982</v>
      </c>
      <c r="C4924" s="1" t="s">
        <v>144</v>
      </c>
      <c r="D4924" s="1" t="s">
        <v>145</v>
      </c>
      <c r="E4924" s="3">
        <v>900</v>
      </c>
      <c r="F4924" s="1" t="s">
        <v>36</v>
      </c>
      <c r="G4924" s="3">
        <v>0</v>
      </c>
      <c r="H4924" s="1">
        <v>0</v>
      </c>
      <c r="I4924" s="1">
        <v>0.13935600000000001</v>
      </c>
    </row>
    <row r="4925" spans="1:9" x14ac:dyDescent="0.25">
      <c r="A4925" s="1">
        <v>2320071483</v>
      </c>
      <c r="B4925" s="1" t="s">
        <v>2983</v>
      </c>
      <c r="C4925" s="1" t="s">
        <v>130</v>
      </c>
      <c r="D4925" s="1" t="s">
        <v>131</v>
      </c>
      <c r="E4925" s="3">
        <v>44980</v>
      </c>
      <c r="F4925" s="1" t="s">
        <v>36</v>
      </c>
      <c r="G4925" s="1">
        <v>0</v>
      </c>
      <c r="H4925" s="1">
        <v>0</v>
      </c>
      <c r="I4925" s="1">
        <v>7.3619999999999996E-3</v>
      </c>
    </row>
    <row r="4926" spans="1:9" x14ac:dyDescent="0.25">
      <c r="A4926" s="1">
        <v>2320071493</v>
      </c>
      <c r="B4926" s="1" t="s">
        <v>2984</v>
      </c>
      <c r="C4926" s="1" t="s">
        <v>130</v>
      </c>
      <c r="D4926" s="1" t="s">
        <v>131</v>
      </c>
      <c r="E4926" s="3">
        <v>8500</v>
      </c>
      <c r="F4926" s="1" t="s">
        <v>36</v>
      </c>
      <c r="G4926" s="1">
        <v>0</v>
      </c>
      <c r="H4926" s="1">
        <v>0</v>
      </c>
      <c r="I4926" s="1">
        <v>8.0199000000000006E-2</v>
      </c>
    </row>
    <row r="4927" spans="1:9" x14ac:dyDescent="0.25">
      <c r="A4927" s="1">
        <v>2320071495</v>
      </c>
      <c r="B4927" s="1" t="s">
        <v>2985</v>
      </c>
      <c r="C4927" s="1" t="s">
        <v>130</v>
      </c>
      <c r="D4927" s="1" t="s">
        <v>131</v>
      </c>
      <c r="E4927" s="3">
        <v>257</v>
      </c>
      <c r="F4927" s="1" t="s">
        <v>36</v>
      </c>
      <c r="G4927" s="1">
        <v>0</v>
      </c>
      <c r="H4927" s="1">
        <v>0</v>
      </c>
      <c r="I4927" s="1">
        <v>0.23108899999999999</v>
      </c>
    </row>
    <row r="4928" spans="1:9" x14ac:dyDescent="0.25">
      <c r="A4928" s="1">
        <v>2320071496</v>
      </c>
      <c r="B4928" s="1" t="s">
        <v>2986</v>
      </c>
      <c r="C4928" s="1" t="s">
        <v>130</v>
      </c>
      <c r="D4928" s="1" t="s">
        <v>131</v>
      </c>
      <c r="E4928" s="3">
        <v>515</v>
      </c>
      <c r="F4928" s="1" t="s">
        <v>36</v>
      </c>
      <c r="G4928" s="1">
        <v>0</v>
      </c>
      <c r="H4928" s="1">
        <v>0</v>
      </c>
      <c r="I4928" s="1">
        <v>0.33306799999999998</v>
      </c>
    </row>
    <row r="4929" spans="1:9" x14ac:dyDescent="0.25">
      <c r="A4929" s="1">
        <v>2320071497</v>
      </c>
      <c r="B4929" s="1" t="s">
        <v>2987</v>
      </c>
      <c r="C4929" s="1" t="s">
        <v>130</v>
      </c>
      <c r="D4929" s="1" t="s">
        <v>131</v>
      </c>
      <c r="E4929" s="3">
        <v>1260</v>
      </c>
      <c r="F4929" s="1" t="s">
        <v>36</v>
      </c>
      <c r="G4929" s="1">
        <v>0</v>
      </c>
      <c r="H4929" s="1">
        <v>0</v>
      </c>
      <c r="I4929" s="1">
        <v>0.75081699999999996</v>
      </c>
    </row>
    <row r="4930" spans="1:9" x14ac:dyDescent="0.25">
      <c r="A4930" s="1">
        <v>2320071499</v>
      </c>
      <c r="B4930" s="1" t="s">
        <v>2988</v>
      </c>
      <c r="C4930" s="1" t="s">
        <v>130</v>
      </c>
      <c r="D4930" s="1" t="s">
        <v>131</v>
      </c>
      <c r="E4930" s="3">
        <v>1900</v>
      </c>
      <c r="F4930" s="1" t="s">
        <v>36</v>
      </c>
      <c r="G4930" s="1">
        <v>0</v>
      </c>
      <c r="H4930" s="1">
        <v>0</v>
      </c>
      <c r="I4930" s="1">
        <v>0.18104200000000001</v>
      </c>
    </row>
    <row r="4931" spans="1:9" x14ac:dyDescent="0.25">
      <c r="A4931" s="1">
        <v>2320071503</v>
      </c>
      <c r="B4931" s="1" t="s">
        <v>2989</v>
      </c>
      <c r="C4931" s="1" t="s">
        <v>130</v>
      </c>
      <c r="D4931" s="1" t="s">
        <v>131</v>
      </c>
      <c r="E4931" s="3">
        <v>130</v>
      </c>
      <c r="F4931" s="1" t="s">
        <v>36</v>
      </c>
      <c r="G4931" s="1">
        <v>0</v>
      </c>
      <c r="H4931" s="1">
        <v>0</v>
      </c>
      <c r="I4931" s="1">
        <v>0.229462</v>
      </c>
    </row>
    <row r="4932" spans="1:9" x14ac:dyDescent="0.25">
      <c r="A4932" s="1">
        <v>2320071505</v>
      </c>
      <c r="B4932" s="1" t="s">
        <v>2990</v>
      </c>
      <c r="C4932" s="1" t="s">
        <v>130</v>
      </c>
      <c r="D4932" s="1" t="s">
        <v>131</v>
      </c>
      <c r="E4932" s="3">
        <v>2566</v>
      </c>
      <c r="F4932" s="1" t="s">
        <v>36</v>
      </c>
      <c r="G4932" s="1">
        <v>0</v>
      </c>
      <c r="H4932" s="1">
        <v>0</v>
      </c>
      <c r="I4932" s="1">
        <v>9.3592999999999996E-2</v>
      </c>
    </row>
    <row r="4933" spans="1:9" x14ac:dyDescent="0.25">
      <c r="A4933" s="1">
        <v>2320071509</v>
      </c>
      <c r="B4933" s="1" t="s">
        <v>2991</v>
      </c>
      <c r="C4933" s="1" t="s">
        <v>130</v>
      </c>
      <c r="D4933" s="1" t="s">
        <v>131</v>
      </c>
      <c r="E4933" s="3">
        <v>3700</v>
      </c>
      <c r="F4933" s="1" t="s">
        <v>36</v>
      </c>
      <c r="G4933" s="1">
        <v>0</v>
      </c>
      <c r="H4933" s="1">
        <v>0</v>
      </c>
      <c r="I4933" s="1">
        <v>7.1269999999999997E-3</v>
      </c>
    </row>
    <row r="4934" spans="1:9" x14ac:dyDescent="0.25">
      <c r="A4934" s="1">
        <v>2320071510</v>
      </c>
      <c r="B4934" s="1" t="s">
        <v>2992</v>
      </c>
      <c r="C4934" s="1" t="s">
        <v>130</v>
      </c>
      <c r="D4934" s="1" t="s">
        <v>131</v>
      </c>
      <c r="E4934" s="3">
        <v>3700</v>
      </c>
      <c r="F4934" s="1" t="s">
        <v>36</v>
      </c>
      <c r="G4934" s="1">
        <v>0</v>
      </c>
      <c r="H4934" s="1">
        <v>0</v>
      </c>
      <c r="I4934" s="1">
        <v>7.1269999999999997E-3</v>
      </c>
    </row>
    <row r="4935" spans="1:9" x14ac:dyDescent="0.25">
      <c r="A4935" s="1">
        <v>2320071511</v>
      </c>
      <c r="B4935" s="1" t="s">
        <v>2993</v>
      </c>
      <c r="C4935" s="1" t="s">
        <v>130</v>
      </c>
      <c r="D4935" s="1" t="s">
        <v>131</v>
      </c>
      <c r="E4935" s="3">
        <v>3600</v>
      </c>
      <c r="F4935" s="1" t="s">
        <v>36</v>
      </c>
      <c r="G4935" s="3">
        <v>0</v>
      </c>
      <c r="H4935" s="1">
        <v>0</v>
      </c>
      <c r="I4935" s="1">
        <v>7.1279999999999998E-3</v>
      </c>
    </row>
    <row r="4936" spans="1:9" x14ac:dyDescent="0.25">
      <c r="A4936" s="1">
        <v>2320071512</v>
      </c>
      <c r="B4936" s="1" t="s">
        <v>2994</v>
      </c>
      <c r="C4936" s="1" t="s">
        <v>130</v>
      </c>
      <c r="D4936" s="1" t="s">
        <v>131</v>
      </c>
      <c r="E4936" s="3">
        <v>3700</v>
      </c>
      <c r="F4936" s="1" t="s">
        <v>36</v>
      </c>
      <c r="G4936" s="1">
        <v>0</v>
      </c>
      <c r="H4936" s="3">
        <v>0</v>
      </c>
      <c r="I4936" s="1">
        <v>7.1269999999999997E-3</v>
      </c>
    </row>
    <row r="4937" spans="1:9" x14ac:dyDescent="0.25">
      <c r="A4937" s="1">
        <v>2320071513</v>
      </c>
      <c r="B4937" s="1" t="s">
        <v>2995</v>
      </c>
      <c r="C4937" s="1" t="s">
        <v>130</v>
      </c>
      <c r="D4937" s="1" t="s">
        <v>131</v>
      </c>
      <c r="E4937" s="3">
        <v>3300</v>
      </c>
      <c r="F4937" s="1" t="s">
        <v>36</v>
      </c>
      <c r="G4937" s="1">
        <v>0</v>
      </c>
      <c r="H4937" s="1">
        <v>0</v>
      </c>
      <c r="I4937" s="1">
        <v>7.1269999999999997E-3</v>
      </c>
    </row>
    <row r="4938" spans="1:9" x14ac:dyDescent="0.25">
      <c r="A4938" s="1">
        <v>2320071514</v>
      </c>
      <c r="B4938" s="1" t="s">
        <v>2996</v>
      </c>
      <c r="C4938" s="1" t="s">
        <v>130</v>
      </c>
      <c r="D4938" s="1" t="s">
        <v>131</v>
      </c>
      <c r="E4938" s="3">
        <v>3700</v>
      </c>
      <c r="F4938" s="1" t="s">
        <v>36</v>
      </c>
      <c r="G4938" s="1">
        <v>0</v>
      </c>
      <c r="H4938" s="3">
        <v>0</v>
      </c>
      <c r="I4938" s="1">
        <v>7.1269999999999997E-3</v>
      </c>
    </row>
    <row r="4939" spans="1:9" x14ac:dyDescent="0.25">
      <c r="A4939" s="1">
        <v>2320071515</v>
      </c>
      <c r="B4939" s="1" t="s">
        <v>2997</v>
      </c>
      <c r="C4939" s="1" t="s">
        <v>130</v>
      </c>
      <c r="D4939" s="1" t="s">
        <v>131</v>
      </c>
      <c r="E4939" s="3">
        <v>3200</v>
      </c>
      <c r="F4939" s="1" t="s">
        <v>36</v>
      </c>
      <c r="G4939" s="1">
        <v>0</v>
      </c>
      <c r="H4939" s="1">
        <v>0</v>
      </c>
      <c r="I4939" s="1">
        <v>7.1279999999999998E-3</v>
      </c>
    </row>
    <row r="4940" spans="1:9" x14ac:dyDescent="0.25">
      <c r="A4940" s="1">
        <v>2320071516</v>
      </c>
      <c r="B4940" s="1" t="s">
        <v>2998</v>
      </c>
      <c r="C4940" s="1" t="s">
        <v>130</v>
      </c>
      <c r="D4940" s="1" t="s">
        <v>131</v>
      </c>
      <c r="E4940" s="3">
        <v>3700</v>
      </c>
      <c r="F4940" s="1" t="s">
        <v>36</v>
      </c>
      <c r="G4940" s="1">
        <v>0</v>
      </c>
      <c r="H4940" s="1">
        <v>0</v>
      </c>
      <c r="I4940" s="1">
        <v>7.1269999999999997E-3</v>
      </c>
    </row>
    <row r="4941" spans="1:9" x14ac:dyDescent="0.25">
      <c r="A4941" s="1">
        <v>2320071517</v>
      </c>
      <c r="B4941" s="1" t="s">
        <v>2999</v>
      </c>
      <c r="C4941" s="1" t="s">
        <v>130</v>
      </c>
      <c r="D4941" s="1" t="s">
        <v>131</v>
      </c>
      <c r="E4941" s="3">
        <v>3600</v>
      </c>
      <c r="F4941" s="1" t="s">
        <v>36</v>
      </c>
      <c r="G4941" s="1">
        <v>0</v>
      </c>
      <c r="H4941" s="3">
        <v>0</v>
      </c>
      <c r="I4941" s="1">
        <v>7.1279999999999998E-3</v>
      </c>
    </row>
    <row r="4942" spans="1:9" x14ac:dyDescent="0.25">
      <c r="A4942" s="1">
        <v>2320071518</v>
      </c>
      <c r="B4942" s="1" t="s">
        <v>3000</v>
      </c>
      <c r="C4942" s="1" t="s">
        <v>130</v>
      </c>
      <c r="D4942" s="1" t="s">
        <v>131</v>
      </c>
      <c r="E4942" s="3">
        <v>3600</v>
      </c>
      <c r="F4942" s="1" t="s">
        <v>36</v>
      </c>
      <c r="G4942" s="1">
        <v>0</v>
      </c>
      <c r="H4942" s="1">
        <v>0</v>
      </c>
      <c r="I4942" s="1">
        <v>7.1279999999999998E-3</v>
      </c>
    </row>
    <row r="4943" spans="1:9" x14ac:dyDescent="0.25">
      <c r="A4943" s="1">
        <v>2320071519</v>
      </c>
      <c r="B4943" s="1" t="s">
        <v>3001</v>
      </c>
      <c r="C4943" s="1" t="s">
        <v>130</v>
      </c>
      <c r="D4943" s="1" t="s">
        <v>131</v>
      </c>
      <c r="E4943" s="3">
        <v>3600</v>
      </c>
      <c r="F4943" s="1" t="s">
        <v>36</v>
      </c>
      <c r="G4943" s="1">
        <v>0</v>
      </c>
      <c r="H4943" s="1">
        <v>0</v>
      </c>
      <c r="I4943" s="1">
        <v>7.1279999999999998E-3</v>
      </c>
    </row>
    <row r="4944" spans="1:9" x14ac:dyDescent="0.25">
      <c r="A4944" s="1">
        <v>2320071520</v>
      </c>
      <c r="B4944" s="1" t="s">
        <v>3002</v>
      </c>
      <c r="C4944" s="1" t="s">
        <v>130</v>
      </c>
      <c r="D4944" s="1" t="s">
        <v>131</v>
      </c>
      <c r="E4944" s="3">
        <v>3700</v>
      </c>
      <c r="F4944" s="1" t="s">
        <v>36</v>
      </c>
      <c r="G4944" s="1">
        <v>0</v>
      </c>
      <c r="H4944" s="1">
        <v>0</v>
      </c>
      <c r="I4944" s="1">
        <v>7.1269999999999997E-3</v>
      </c>
    </row>
    <row r="4945" spans="1:9" x14ac:dyDescent="0.25">
      <c r="A4945" s="1">
        <v>2320071524</v>
      </c>
      <c r="B4945" s="1" t="s">
        <v>3003</v>
      </c>
      <c r="C4945" s="1" t="s">
        <v>199</v>
      </c>
      <c r="D4945" s="1" t="s">
        <v>200</v>
      </c>
      <c r="E4945" s="3">
        <v>2000</v>
      </c>
      <c r="F4945" s="1" t="s">
        <v>36</v>
      </c>
      <c r="G4945" s="1">
        <v>0</v>
      </c>
      <c r="H4945" s="3">
        <v>2000</v>
      </c>
      <c r="I4945" s="1">
        <v>0.123825</v>
      </c>
    </row>
    <row r="4946" spans="1:9" x14ac:dyDescent="0.25">
      <c r="A4946" s="1">
        <v>2320071524</v>
      </c>
      <c r="B4946" s="1" t="s">
        <v>3003</v>
      </c>
      <c r="C4946" s="1" t="s">
        <v>130</v>
      </c>
      <c r="D4946" s="1" t="s">
        <v>131</v>
      </c>
      <c r="E4946" s="3">
        <v>4780</v>
      </c>
      <c r="F4946" s="1" t="s">
        <v>36</v>
      </c>
      <c r="G4946" s="3">
        <v>2000</v>
      </c>
      <c r="H4946" s="1">
        <v>0</v>
      </c>
      <c r="I4946" s="1">
        <v>0.123822</v>
      </c>
    </row>
    <row r="4947" spans="1:9" x14ac:dyDescent="0.25">
      <c r="A4947" s="1">
        <v>2320071524</v>
      </c>
      <c r="B4947" s="1" t="s">
        <v>3003</v>
      </c>
      <c r="C4947" s="1" t="s">
        <v>144</v>
      </c>
      <c r="D4947" s="1" t="s">
        <v>145</v>
      </c>
      <c r="E4947" s="3">
        <v>1000</v>
      </c>
      <c r="F4947" s="1" t="s">
        <v>36</v>
      </c>
      <c r="G4947" s="1">
        <v>0</v>
      </c>
      <c r="H4947" s="1">
        <v>0</v>
      </c>
      <c r="I4947" s="1">
        <v>0.12382</v>
      </c>
    </row>
    <row r="4948" spans="1:9" x14ac:dyDescent="0.25">
      <c r="A4948" s="1">
        <v>2320071525</v>
      </c>
      <c r="B4948" s="1" t="s">
        <v>3004</v>
      </c>
      <c r="C4948" s="1" t="s">
        <v>130</v>
      </c>
      <c r="D4948" s="1" t="s">
        <v>131</v>
      </c>
      <c r="E4948" s="3">
        <v>21780</v>
      </c>
      <c r="F4948" s="1" t="s">
        <v>36</v>
      </c>
      <c r="G4948" s="1">
        <v>0</v>
      </c>
      <c r="H4948" s="1">
        <v>0</v>
      </c>
      <c r="I4948" s="1">
        <v>9.7725000000000006E-2</v>
      </c>
    </row>
    <row r="4949" spans="1:9" x14ac:dyDescent="0.25">
      <c r="A4949" s="1">
        <v>2320071526</v>
      </c>
      <c r="B4949" s="1" t="s">
        <v>3005</v>
      </c>
      <c r="C4949" s="1" t="s">
        <v>130</v>
      </c>
      <c r="D4949" s="1" t="s">
        <v>131</v>
      </c>
      <c r="E4949" s="3">
        <v>3370</v>
      </c>
      <c r="F4949" s="1" t="s">
        <v>36</v>
      </c>
      <c r="G4949" s="1">
        <v>0</v>
      </c>
      <c r="H4949" s="1">
        <v>0</v>
      </c>
      <c r="I4949" s="3">
        <v>0.160751</v>
      </c>
    </row>
    <row r="4950" spans="1:9" x14ac:dyDescent="0.25">
      <c r="A4950" s="1">
        <v>2320071527</v>
      </c>
      <c r="B4950" s="1" t="s">
        <v>3006</v>
      </c>
      <c r="C4950" s="1" t="s">
        <v>130</v>
      </c>
      <c r="D4950" s="1" t="s">
        <v>131</v>
      </c>
      <c r="E4950" s="3">
        <v>990</v>
      </c>
      <c r="F4950" s="1" t="s">
        <v>36</v>
      </c>
      <c r="G4950" s="1">
        <v>0</v>
      </c>
      <c r="H4950" s="1">
        <v>0</v>
      </c>
      <c r="I4950" s="1">
        <v>0.160747</v>
      </c>
    </row>
    <row r="4951" spans="1:9" x14ac:dyDescent="0.25">
      <c r="A4951" s="1">
        <v>2320071528</v>
      </c>
      <c r="B4951" s="1" t="s">
        <v>3007</v>
      </c>
      <c r="C4951" s="1" t="s">
        <v>130</v>
      </c>
      <c r="D4951" s="1" t="s">
        <v>131</v>
      </c>
      <c r="E4951" s="1">
        <v>210</v>
      </c>
      <c r="F4951" s="1" t="s">
        <v>36</v>
      </c>
      <c r="G4951" s="1">
        <v>0</v>
      </c>
      <c r="H4951" s="1">
        <v>0</v>
      </c>
      <c r="I4951" s="1">
        <v>0.123762</v>
      </c>
    </row>
    <row r="4952" spans="1:9" x14ac:dyDescent="0.25">
      <c r="A4952" s="1">
        <v>2320071528</v>
      </c>
      <c r="B4952" s="1" t="s">
        <v>3007</v>
      </c>
      <c r="C4952" s="1" t="s">
        <v>144</v>
      </c>
      <c r="D4952" s="1" t="s">
        <v>145</v>
      </c>
      <c r="E4952" s="3">
        <v>1000</v>
      </c>
      <c r="F4952" s="1" t="s">
        <v>36</v>
      </c>
      <c r="G4952" s="1">
        <v>0</v>
      </c>
      <c r="H4952" s="1">
        <v>0</v>
      </c>
      <c r="I4952" s="1">
        <v>0.12378</v>
      </c>
    </row>
    <row r="4953" spans="1:9" x14ac:dyDescent="0.25">
      <c r="A4953">
        <v>2320071535</v>
      </c>
      <c r="B4953" t="s">
        <v>3008</v>
      </c>
      <c r="C4953" t="s">
        <v>130</v>
      </c>
      <c r="D4953" t="s">
        <v>131</v>
      </c>
      <c r="E4953" s="2">
        <v>783</v>
      </c>
      <c r="F4953" t="s">
        <v>36</v>
      </c>
      <c r="G4953">
        <v>0</v>
      </c>
      <c r="H4953">
        <v>0</v>
      </c>
      <c r="I4953">
        <v>0.41604099999999999</v>
      </c>
    </row>
    <row r="4954" spans="1:9" x14ac:dyDescent="0.25">
      <c r="A4954">
        <v>2320071535</v>
      </c>
      <c r="B4954" t="s">
        <v>3008</v>
      </c>
      <c r="C4954" t="s">
        <v>142</v>
      </c>
      <c r="D4954" t="s">
        <v>143</v>
      </c>
      <c r="E4954" s="2">
        <v>2000</v>
      </c>
      <c r="F4954" t="s">
        <v>36</v>
      </c>
      <c r="G4954" s="2">
        <v>0</v>
      </c>
      <c r="H4954" s="2">
        <v>0</v>
      </c>
      <c r="I4954">
        <v>0.41604000000000002</v>
      </c>
    </row>
    <row r="4955" spans="1:9" x14ac:dyDescent="0.25">
      <c r="A4955" s="1">
        <v>2320071536</v>
      </c>
      <c r="B4955" s="1" t="s">
        <v>3009</v>
      </c>
      <c r="C4955" s="1" t="s">
        <v>130</v>
      </c>
      <c r="D4955" s="1" t="s">
        <v>131</v>
      </c>
      <c r="E4955" s="3">
        <v>1000</v>
      </c>
      <c r="F4955" s="1" t="s">
        <v>36</v>
      </c>
      <c r="G4955" s="1">
        <v>0</v>
      </c>
      <c r="H4955" s="1">
        <v>0</v>
      </c>
      <c r="I4955" s="1">
        <v>7.689E-2</v>
      </c>
    </row>
    <row r="4956" spans="1:9" x14ac:dyDescent="0.25">
      <c r="A4956" s="1">
        <v>2320071537</v>
      </c>
      <c r="B4956" s="1" t="s">
        <v>3010</v>
      </c>
      <c r="C4956" s="1" t="s">
        <v>130</v>
      </c>
      <c r="D4956" s="1" t="s">
        <v>131</v>
      </c>
      <c r="E4956" s="3">
        <v>1800</v>
      </c>
      <c r="F4956" s="1" t="s">
        <v>36</v>
      </c>
      <c r="G4956" s="3">
        <v>3000</v>
      </c>
      <c r="H4956" s="1">
        <v>0</v>
      </c>
      <c r="I4956" s="1">
        <v>3.6789000000000002E-2</v>
      </c>
    </row>
    <row r="4957" spans="1:9" x14ac:dyDescent="0.25">
      <c r="A4957" s="1">
        <v>2320071537</v>
      </c>
      <c r="B4957" s="1" t="s">
        <v>3010</v>
      </c>
      <c r="C4957" s="1" t="s">
        <v>142</v>
      </c>
      <c r="D4957" s="1" t="s">
        <v>143</v>
      </c>
      <c r="E4957" s="3">
        <v>0</v>
      </c>
      <c r="F4957" s="1" t="s">
        <v>36</v>
      </c>
      <c r="G4957" s="1">
        <v>0</v>
      </c>
      <c r="H4957" s="3">
        <v>3000</v>
      </c>
      <c r="I4957" s="1">
        <v>0</v>
      </c>
    </row>
    <row r="4958" spans="1:9" x14ac:dyDescent="0.25">
      <c r="A4958" s="1">
        <v>2320080049</v>
      </c>
      <c r="B4958" s="1" t="s">
        <v>3011</v>
      </c>
      <c r="C4958" s="1" t="s">
        <v>130</v>
      </c>
      <c r="D4958" s="1" t="s">
        <v>131</v>
      </c>
      <c r="E4958" s="3">
        <v>100</v>
      </c>
      <c r="F4958" s="1" t="s">
        <v>36</v>
      </c>
      <c r="G4958" s="1">
        <v>0</v>
      </c>
      <c r="H4958" s="1">
        <v>0</v>
      </c>
      <c r="I4958" s="1">
        <v>1.5626</v>
      </c>
    </row>
    <row r="4959" spans="1:9" x14ac:dyDescent="0.25">
      <c r="A4959" s="1">
        <v>2320080071</v>
      </c>
      <c r="B4959" s="1" t="s">
        <v>3012</v>
      </c>
      <c r="C4959" s="1" t="s">
        <v>167</v>
      </c>
      <c r="D4959" s="1" t="s">
        <v>168</v>
      </c>
      <c r="E4959" s="1">
        <v>997</v>
      </c>
      <c r="F4959" s="1" t="s">
        <v>36</v>
      </c>
      <c r="G4959" s="1">
        <v>0</v>
      </c>
      <c r="H4959" s="1">
        <v>0</v>
      </c>
      <c r="I4959" s="1">
        <v>2.4827080000000001</v>
      </c>
    </row>
    <row r="4960" spans="1:9" x14ac:dyDescent="0.25">
      <c r="A4960" s="1">
        <v>2320080077</v>
      </c>
      <c r="B4960" s="1" t="s">
        <v>3013</v>
      </c>
      <c r="C4960" s="1" t="s">
        <v>167</v>
      </c>
      <c r="D4960" s="1" t="s">
        <v>168</v>
      </c>
      <c r="E4960" s="3">
        <v>2430</v>
      </c>
      <c r="F4960" s="1" t="s">
        <v>36</v>
      </c>
      <c r="G4960" s="1">
        <v>0</v>
      </c>
      <c r="H4960" s="1">
        <v>0</v>
      </c>
      <c r="I4960" s="1">
        <v>2.29365</v>
      </c>
    </row>
    <row r="4961" spans="1:9" x14ac:dyDescent="0.25">
      <c r="A4961" s="1">
        <v>2320080081</v>
      </c>
      <c r="B4961" s="1" t="s">
        <v>3014</v>
      </c>
      <c r="C4961" s="1" t="s">
        <v>167</v>
      </c>
      <c r="D4961" s="1" t="s">
        <v>168</v>
      </c>
      <c r="E4961" s="3">
        <v>2238</v>
      </c>
      <c r="F4961" s="1" t="s">
        <v>36</v>
      </c>
      <c r="G4961" s="1">
        <v>0</v>
      </c>
      <c r="H4961" s="1">
        <v>0</v>
      </c>
      <c r="I4961" s="1">
        <v>0.87609000000000004</v>
      </c>
    </row>
    <row r="4962" spans="1:9" x14ac:dyDescent="0.25">
      <c r="A4962" s="1">
        <v>2320080082</v>
      </c>
      <c r="B4962" s="1" t="s">
        <v>3015</v>
      </c>
      <c r="C4962" s="1" t="s">
        <v>167</v>
      </c>
      <c r="D4962" s="1" t="s">
        <v>168</v>
      </c>
      <c r="E4962" s="3">
        <v>3150</v>
      </c>
      <c r="F4962" s="1" t="s">
        <v>36</v>
      </c>
      <c r="G4962" s="3">
        <v>0</v>
      </c>
      <c r="H4962" s="1">
        <v>0</v>
      </c>
      <c r="I4962" s="1">
        <v>1.610889</v>
      </c>
    </row>
    <row r="4963" spans="1:9" x14ac:dyDescent="0.25">
      <c r="A4963" s="1">
        <v>2320080085</v>
      </c>
      <c r="B4963" s="1" t="s">
        <v>3016</v>
      </c>
      <c r="C4963" s="1" t="s">
        <v>167</v>
      </c>
      <c r="D4963" s="1" t="s">
        <v>168</v>
      </c>
      <c r="E4963" s="3">
        <v>1887</v>
      </c>
      <c r="F4963" s="1" t="s">
        <v>36</v>
      </c>
      <c r="G4963" s="1">
        <v>0</v>
      </c>
      <c r="H4963" s="3">
        <v>0</v>
      </c>
      <c r="I4963" s="1">
        <v>8.4927080000000004</v>
      </c>
    </row>
    <row r="4964" spans="1:9" x14ac:dyDescent="0.25">
      <c r="A4964" s="1">
        <v>2320080091</v>
      </c>
      <c r="B4964" s="1" t="s">
        <v>3017</v>
      </c>
      <c r="C4964" s="1" t="s">
        <v>2752</v>
      </c>
      <c r="D4964" s="1" t="s">
        <v>2753</v>
      </c>
      <c r="E4964" s="3">
        <v>1386</v>
      </c>
      <c r="F4964" s="1" t="s">
        <v>36</v>
      </c>
      <c r="G4964" s="1">
        <v>0</v>
      </c>
      <c r="H4964" s="1">
        <v>0</v>
      </c>
      <c r="I4964" s="1">
        <v>6.8396749999999997</v>
      </c>
    </row>
    <row r="4965" spans="1:9" x14ac:dyDescent="0.25">
      <c r="A4965" s="1">
        <v>2320080091</v>
      </c>
      <c r="B4965" s="1" t="s">
        <v>3017</v>
      </c>
      <c r="C4965" s="1" t="s">
        <v>167</v>
      </c>
      <c r="D4965" s="1" t="s">
        <v>168</v>
      </c>
      <c r="E4965" s="3">
        <v>365</v>
      </c>
      <c r="F4965" s="1" t="s">
        <v>36</v>
      </c>
      <c r="G4965" s="1">
        <v>0</v>
      </c>
      <c r="H4965" s="1">
        <v>0</v>
      </c>
      <c r="I4965" s="1">
        <v>6.8396710000000001</v>
      </c>
    </row>
    <row r="4966" spans="1:9" x14ac:dyDescent="0.25">
      <c r="A4966" s="1">
        <v>2320080092</v>
      </c>
      <c r="B4966" s="1" t="s">
        <v>3018</v>
      </c>
      <c r="C4966" s="1" t="s">
        <v>2752</v>
      </c>
      <c r="D4966" s="1" t="s">
        <v>2753</v>
      </c>
      <c r="E4966" s="3">
        <v>4660</v>
      </c>
      <c r="F4966" s="1" t="s">
        <v>36</v>
      </c>
      <c r="G4966" s="1">
        <v>0</v>
      </c>
      <c r="H4966" s="1">
        <v>0</v>
      </c>
      <c r="I4966" s="1">
        <v>2.4272640000000001</v>
      </c>
    </row>
    <row r="4967" spans="1:9" x14ac:dyDescent="0.25">
      <c r="A4967" s="1">
        <v>2320080092</v>
      </c>
      <c r="B4967" s="1" t="s">
        <v>3018</v>
      </c>
      <c r="C4967" s="1" t="s">
        <v>167</v>
      </c>
      <c r="D4967" s="1" t="s">
        <v>168</v>
      </c>
      <c r="E4967" s="3">
        <v>50</v>
      </c>
      <c r="F4967" s="1" t="s">
        <v>36</v>
      </c>
      <c r="G4967" s="1">
        <v>1</v>
      </c>
      <c r="H4967" s="1">
        <v>0</v>
      </c>
      <c r="I4967" s="1">
        <v>2.4272</v>
      </c>
    </row>
    <row r="4968" spans="1:9" x14ac:dyDescent="0.25">
      <c r="A4968" s="1">
        <v>2320080092</v>
      </c>
      <c r="B4968" s="1" t="s">
        <v>3018</v>
      </c>
      <c r="C4968" s="1" t="s">
        <v>137</v>
      </c>
      <c r="D4968" s="1" t="s">
        <v>138</v>
      </c>
      <c r="E4968" s="3">
        <v>0</v>
      </c>
      <c r="F4968" s="1" t="s">
        <v>36</v>
      </c>
      <c r="G4968" s="1">
        <v>0</v>
      </c>
      <c r="H4968" s="1">
        <v>1</v>
      </c>
      <c r="I4968" s="1">
        <v>2.4272629999999999</v>
      </c>
    </row>
    <row r="4969" spans="1:9" x14ac:dyDescent="0.25">
      <c r="A4969" s="1">
        <v>2320080093</v>
      </c>
      <c r="B4969" s="1" t="s">
        <v>3019</v>
      </c>
      <c r="C4969" s="1" t="s">
        <v>130</v>
      </c>
      <c r="D4969" s="1" t="s">
        <v>131</v>
      </c>
      <c r="E4969" s="3">
        <v>0</v>
      </c>
      <c r="F4969" s="1" t="s">
        <v>36</v>
      </c>
      <c r="G4969" s="1">
        <v>512</v>
      </c>
      <c r="H4969" s="3">
        <v>1440</v>
      </c>
      <c r="I4969" s="1">
        <v>6.3469470000000001</v>
      </c>
    </row>
    <row r="4970" spans="1:9" x14ac:dyDescent="0.25">
      <c r="A4970" s="1">
        <v>2320080093</v>
      </c>
      <c r="B4970" s="1" t="s">
        <v>3019</v>
      </c>
      <c r="C4970" s="1" t="s">
        <v>2752</v>
      </c>
      <c r="D4970" s="1" t="s">
        <v>2753</v>
      </c>
      <c r="E4970" s="3">
        <v>320</v>
      </c>
      <c r="F4970" s="1" t="s">
        <v>36</v>
      </c>
      <c r="G4970" s="1">
        <v>0</v>
      </c>
      <c r="H4970" s="1">
        <v>0</v>
      </c>
      <c r="I4970" s="1">
        <v>5.7268439999999998</v>
      </c>
    </row>
    <row r="4971" spans="1:9" x14ac:dyDescent="0.25">
      <c r="A4971" s="1">
        <v>2320080093</v>
      </c>
      <c r="B4971" s="1" t="s">
        <v>3019</v>
      </c>
      <c r="C4971" s="1" t="s">
        <v>167</v>
      </c>
      <c r="D4971" s="1" t="s">
        <v>168</v>
      </c>
      <c r="E4971" s="3">
        <v>258</v>
      </c>
      <c r="F4971" s="1" t="s">
        <v>36</v>
      </c>
      <c r="G4971" s="1">
        <v>0</v>
      </c>
      <c r="H4971" s="1">
        <v>0</v>
      </c>
      <c r="I4971" s="1">
        <v>6.3476359999999996</v>
      </c>
    </row>
    <row r="4972" spans="1:9" x14ac:dyDescent="0.25">
      <c r="A4972" s="1">
        <v>2320080093</v>
      </c>
      <c r="B4972" s="1" t="s">
        <v>3019</v>
      </c>
      <c r="C4972" s="1" t="s">
        <v>137</v>
      </c>
      <c r="D4972" s="1" t="s">
        <v>138</v>
      </c>
      <c r="E4972" s="3">
        <v>0</v>
      </c>
      <c r="F4972" s="1" t="s">
        <v>36</v>
      </c>
      <c r="G4972" s="1">
        <v>0</v>
      </c>
      <c r="H4972" s="1">
        <v>512</v>
      </c>
      <c r="I4972" s="1">
        <v>5.758121</v>
      </c>
    </row>
    <row r="4973" spans="1:9" x14ac:dyDescent="0.25">
      <c r="A4973" s="1">
        <v>2320080094</v>
      </c>
      <c r="B4973" s="1" t="s">
        <v>3020</v>
      </c>
      <c r="C4973" s="1" t="s">
        <v>130</v>
      </c>
      <c r="D4973" s="1" t="s">
        <v>131</v>
      </c>
      <c r="E4973" s="3">
        <v>2830</v>
      </c>
      <c r="F4973" s="1" t="s">
        <v>36</v>
      </c>
      <c r="G4973" s="1">
        <v>0</v>
      </c>
      <c r="H4973" s="1">
        <v>0</v>
      </c>
      <c r="I4973" s="1">
        <v>1.4668300000000001</v>
      </c>
    </row>
    <row r="4974" spans="1:9" x14ac:dyDescent="0.25">
      <c r="A4974" s="1">
        <v>2320080094</v>
      </c>
      <c r="B4974" s="1" t="s">
        <v>3020</v>
      </c>
      <c r="C4974" s="1" t="s">
        <v>2752</v>
      </c>
      <c r="D4974" s="1" t="s">
        <v>2753</v>
      </c>
      <c r="E4974" s="3">
        <v>1320</v>
      </c>
      <c r="F4974" s="1" t="s">
        <v>36</v>
      </c>
      <c r="G4974" s="1">
        <v>0</v>
      </c>
      <c r="H4974" s="1">
        <v>0</v>
      </c>
      <c r="I4974" s="1">
        <v>1.3410230000000001</v>
      </c>
    </row>
    <row r="4975" spans="1:9" x14ac:dyDescent="0.25">
      <c r="A4975" s="1">
        <v>2320080095</v>
      </c>
      <c r="B4975" s="1" t="s">
        <v>3021</v>
      </c>
      <c r="C4975" s="1" t="s">
        <v>307</v>
      </c>
      <c r="D4975" s="1" t="s">
        <v>308</v>
      </c>
      <c r="E4975" s="3">
        <v>5120</v>
      </c>
      <c r="F4975" s="1" t="s">
        <v>36</v>
      </c>
      <c r="G4975" s="1">
        <v>0</v>
      </c>
      <c r="H4975" s="1">
        <v>0</v>
      </c>
      <c r="I4975" s="1">
        <v>1.44035</v>
      </c>
    </row>
    <row r="4976" spans="1:9" x14ac:dyDescent="0.25">
      <c r="A4976" s="1">
        <v>2320080095</v>
      </c>
      <c r="B4976" s="1" t="s">
        <v>3021</v>
      </c>
      <c r="C4976" s="1" t="s">
        <v>167</v>
      </c>
      <c r="D4976" s="1" t="s">
        <v>168</v>
      </c>
      <c r="E4976" s="3">
        <v>970</v>
      </c>
      <c r="F4976" s="1" t="s">
        <v>36</v>
      </c>
      <c r="G4976" s="1">
        <v>0</v>
      </c>
      <c r="H4976" s="1">
        <v>0</v>
      </c>
      <c r="I4976" s="1">
        <v>1.4386080000000001</v>
      </c>
    </row>
    <row r="4977" spans="1:9" x14ac:dyDescent="0.25">
      <c r="A4977" s="1">
        <v>2320110002</v>
      </c>
      <c r="B4977" s="1" t="s">
        <v>3022</v>
      </c>
      <c r="C4977" s="1" t="s">
        <v>130</v>
      </c>
      <c r="D4977" s="1" t="s">
        <v>131</v>
      </c>
      <c r="E4977" s="3">
        <v>51</v>
      </c>
      <c r="F4977" s="1" t="s">
        <v>1373</v>
      </c>
      <c r="G4977" s="1">
        <v>0</v>
      </c>
      <c r="H4977" s="1">
        <v>0</v>
      </c>
      <c r="I4977" s="1">
        <v>10.462353</v>
      </c>
    </row>
    <row r="4978" spans="1:9" x14ac:dyDescent="0.25">
      <c r="A4978" s="1">
        <v>2320110010</v>
      </c>
      <c r="B4978" s="1" t="s">
        <v>3023</v>
      </c>
      <c r="C4978" s="1" t="s">
        <v>130</v>
      </c>
      <c r="D4978" s="1" t="s">
        <v>131</v>
      </c>
      <c r="E4978" s="3">
        <v>100</v>
      </c>
      <c r="F4978" s="1" t="s">
        <v>1373</v>
      </c>
      <c r="G4978" s="1">
        <v>0</v>
      </c>
      <c r="H4978" s="1">
        <v>0</v>
      </c>
      <c r="I4978" s="1">
        <v>2.5017999999999998</v>
      </c>
    </row>
    <row r="4979" spans="1:9" x14ac:dyDescent="0.25">
      <c r="A4979">
        <v>2320110100</v>
      </c>
      <c r="B4979" t="s">
        <v>3024</v>
      </c>
      <c r="C4979" t="s">
        <v>167</v>
      </c>
      <c r="D4979" t="s">
        <v>168</v>
      </c>
      <c r="E4979" s="2">
        <v>1473</v>
      </c>
      <c r="F4979" t="s">
        <v>36</v>
      </c>
      <c r="G4979">
        <v>0</v>
      </c>
      <c r="H4979">
        <v>0</v>
      </c>
      <c r="I4979">
        <v>0.17626600000000001</v>
      </c>
    </row>
    <row r="4980" spans="1:9" x14ac:dyDescent="0.25">
      <c r="A4980" s="1">
        <v>2320110101</v>
      </c>
      <c r="B4980" s="1" t="s">
        <v>3025</v>
      </c>
      <c r="C4980" s="1" t="s">
        <v>130</v>
      </c>
      <c r="D4980" s="1" t="s">
        <v>131</v>
      </c>
      <c r="E4980" s="3">
        <v>9000</v>
      </c>
      <c r="F4980" s="1" t="s">
        <v>36</v>
      </c>
      <c r="G4980" s="1">
        <v>0</v>
      </c>
      <c r="H4980" s="1">
        <v>0</v>
      </c>
      <c r="I4980" s="1">
        <v>0.10564900000000001</v>
      </c>
    </row>
    <row r="4981" spans="1:9" x14ac:dyDescent="0.25">
      <c r="A4981" s="1">
        <v>2320110112</v>
      </c>
      <c r="B4981" s="1" t="s">
        <v>3026</v>
      </c>
      <c r="C4981" s="1" t="s">
        <v>167</v>
      </c>
      <c r="D4981" s="1" t="s">
        <v>168</v>
      </c>
      <c r="E4981" s="3">
        <v>160</v>
      </c>
      <c r="F4981" s="1" t="s">
        <v>1373</v>
      </c>
      <c r="G4981" s="1">
        <v>0</v>
      </c>
      <c r="H4981" s="1">
        <v>0</v>
      </c>
      <c r="I4981" s="1">
        <v>5.2574379999999996</v>
      </c>
    </row>
    <row r="4982" spans="1:9" x14ac:dyDescent="0.25">
      <c r="A4982" s="1">
        <v>2320110114</v>
      </c>
      <c r="B4982" s="1" t="s">
        <v>3027</v>
      </c>
      <c r="C4982" s="1" t="s">
        <v>167</v>
      </c>
      <c r="D4982" s="1" t="s">
        <v>168</v>
      </c>
      <c r="E4982" s="1">
        <v>47</v>
      </c>
      <c r="F4982" s="1" t="s">
        <v>1373</v>
      </c>
      <c r="G4982" s="1">
        <v>0</v>
      </c>
      <c r="H4982" s="1">
        <v>0</v>
      </c>
      <c r="I4982" s="1">
        <v>15.302128</v>
      </c>
    </row>
    <row r="4983" spans="1:9" x14ac:dyDescent="0.25">
      <c r="A4983" s="1">
        <v>2320110128</v>
      </c>
      <c r="B4983" s="1" t="s">
        <v>3028</v>
      </c>
      <c r="C4983" s="1" t="s">
        <v>167</v>
      </c>
      <c r="D4983" s="1" t="s">
        <v>168</v>
      </c>
      <c r="E4983" s="3">
        <v>155</v>
      </c>
      <c r="F4983" s="1" t="s">
        <v>1373</v>
      </c>
      <c r="G4983" s="1">
        <v>0</v>
      </c>
      <c r="H4983" s="1">
        <v>0</v>
      </c>
      <c r="I4983" s="1">
        <v>3.5054189999999998</v>
      </c>
    </row>
    <row r="4984" spans="1:9" x14ac:dyDescent="0.25">
      <c r="A4984" s="1">
        <v>2320110155</v>
      </c>
      <c r="B4984" s="1" t="s">
        <v>3029</v>
      </c>
      <c r="C4984" s="1" t="s">
        <v>130</v>
      </c>
      <c r="D4984" s="1" t="s">
        <v>131</v>
      </c>
      <c r="E4984" s="3">
        <v>16</v>
      </c>
      <c r="F4984" s="1" t="s">
        <v>1373</v>
      </c>
      <c r="G4984" s="1">
        <v>0</v>
      </c>
      <c r="H4984" s="1">
        <v>0</v>
      </c>
      <c r="I4984" s="1">
        <v>18.682500000000001</v>
      </c>
    </row>
    <row r="4985" spans="1:9" x14ac:dyDescent="0.25">
      <c r="A4985" s="1">
        <v>2320110161</v>
      </c>
      <c r="B4985" s="1" t="s">
        <v>3030</v>
      </c>
      <c r="C4985" s="1" t="s">
        <v>167</v>
      </c>
      <c r="D4985" s="1" t="s">
        <v>168</v>
      </c>
      <c r="E4985" s="3">
        <v>103</v>
      </c>
      <c r="F4985" s="1" t="s">
        <v>1373</v>
      </c>
      <c r="G4985" s="1">
        <v>0</v>
      </c>
      <c r="H4985" s="1">
        <v>0</v>
      </c>
      <c r="I4985" s="1">
        <v>13.960388</v>
      </c>
    </row>
    <row r="4986" spans="1:9" x14ac:dyDescent="0.25">
      <c r="A4986" s="1">
        <v>2320120046</v>
      </c>
      <c r="B4986" s="1" t="s">
        <v>3031</v>
      </c>
      <c r="C4986" s="1" t="s">
        <v>167</v>
      </c>
      <c r="D4986" s="1" t="s">
        <v>168</v>
      </c>
      <c r="E4986" s="3">
        <v>1700</v>
      </c>
      <c r="F4986" s="1" t="s">
        <v>36</v>
      </c>
      <c r="G4986" s="1">
        <v>0</v>
      </c>
      <c r="H4986" s="1">
        <v>0</v>
      </c>
      <c r="I4986" s="1">
        <v>1.2107239999999999</v>
      </c>
    </row>
    <row r="4987" spans="1:9" x14ac:dyDescent="0.25">
      <c r="A4987" s="1">
        <v>2320130061</v>
      </c>
      <c r="B4987" s="1" t="s">
        <v>3032</v>
      </c>
      <c r="C4987" s="1" t="s">
        <v>167</v>
      </c>
      <c r="D4987" s="1" t="s">
        <v>168</v>
      </c>
      <c r="E4987" s="3">
        <v>74600</v>
      </c>
      <c r="F4987" s="1" t="s">
        <v>36</v>
      </c>
      <c r="G4987" s="1">
        <v>0</v>
      </c>
      <c r="H4987" s="1">
        <v>0</v>
      </c>
      <c r="I4987" s="1">
        <v>4.3764999999999998E-2</v>
      </c>
    </row>
    <row r="4988" spans="1:9" x14ac:dyDescent="0.25">
      <c r="A4988" s="1">
        <v>2320130074</v>
      </c>
      <c r="B4988" s="1" t="s">
        <v>3033</v>
      </c>
      <c r="C4988" s="1" t="s">
        <v>130</v>
      </c>
      <c r="D4988" s="1" t="s">
        <v>131</v>
      </c>
      <c r="E4988" s="3">
        <v>1616</v>
      </c>
      <c r="F4988" s="1" t="s">
        <v>36</v>
      </c>
      <c r="G4988" s="1">
        <v>0</v>
      </c>
      <c r="H4988" s="1">
        <v>0</v>
      </c>
      <c r="I4988" s="1">
        <v>0.89393599999999995</v>
      </c>
    </row>
    <row r="4989" spans="1:9" x14ac:dyDescent="0.25">
      <c r="A4989" s="1">
        <v>2320130074</v>
      </c>
      <c r="B4989" s="1" t="s">
        <v>3033</v>
      </c>
      <c r="C4989" s="1" t="s">
        <v>2752</v>
      </c>
      <c r="D4989" s="1" t="s">
        <v>2753</v>
      </c>
      <c r="E4989" s="3">
        <v>1050</v>
      </c>
      <c r="F4989" s="1" t="s">
        <v>36</v>
      </c>
      <c r="G4989" s="1">
        <v>0</v>
      </c>
      <c r="H4989" s="1">
        <v>0</v>
      </c>
      <c r="I4989" s="1">
        <v>0.89393299999999998</v>
      </c>
    </row>
    <row r="4990" spans="1:9" x14ac:dyDescent="0.25">
      <c r="A4990" s="1">
        <v>2320130139</v>
      </c>
      <c r="B4990" s="1" t="s">
        <v>3034</v>
      </c>
      <c r="C4990" s="1" t="s">
        <v>167</v>
      </c>
      <c r="D4990" s="1" t="s">
        <v>168</v>
      </c>
      <c r="E4990" s="3">
        <v>6240</v>
      </c>
      <c r="F4990" s="1" t="s">
        <v>36</v>
      </c>
      <c r="G4990" s="1">
        <v>0</v>
      </c>
      <c r="H4990" s="1">
        <v>0</v>
      </c>
      <c r="I4990" s="1">
        <v>0.89344199999999996</v>
      </c>
    </row>
    <row r="4991" spans="1:9" x14ac:dyDescent="0.25">
      <c r="A4991" s="1">
        <v>2320130187</v>
      </c>
      <c r="B4991" s="1" t="s">
        <v>3035</v>
      </c>
      <c r="C4991" s="1" t="s">
        <v>167</v>
      </c>
      <c r="D4991" s="1" t="s">
        <v>168</v>
      </c>
      <c r="E4991" s="3">
        <v>2864</v>
      </c>
      <c r="F4991" s="1" t="s">
        <v>36</v>
      </c>
      <c r="G4991" s="3">
        <v>0</v>
      </c>
      <c r="H4991" s="3">
        <v>0</v>
      </c>
      <c r="I4991" s="1">
        <v>4.3275000000000001E-2</v>
      </c>
    </row>
    <row r="4992" spans="1:9" x14ac:dyDescent="0.25">
      <c r="A4992" s="1">
        <v>2320130207</v>
      </c>
      <c r="B4992" s="1" t="s">
        <v>3036</v>
      </c>
      <c r="C4992" s="1" t="s">
        <v>167</v>
      </c>
      <c r="D4992" s="1" t="s">
        <v>168</v>
      </c>
      <c r="E4992" s="3">
        <v>9473</v>
      </c>
      <c r="F4992" s="1" t="s">
        <v>36</v>
      </c>
      <c r="G4992" s="1">
        <v>0</v>
      </c>
      <c r="H4992" s="1">
        <v>0</v>
      </c>
      <c r="I4992" s="1">
        <v>0.92410999999999999</v>
      </c>
    </row>
    <row r="4993" spans="1:9" x14ac:dyDescent="0.25">
      <c r="A4993" s="1">
        <v>2320130246</v>
      </c>
      <c r="B4993" s="1" t="s">
        <v>3037</v>
      </c>
      <c r="C4993" s="1" t="s">
        <v>157</v>
      </c>
      <c r="D4993" s="1" t="s">
        <v>158</v>
      </c>
      <c r="E4993" s="3">
        <v>351400</v>
      </c>
      <c r="F4993" s="1" t="s">
        <v>36</v>
      </c>
      <c r="G4993" s="1">
        <v>0</v>
      </c>
      <c r="H4993" s="1">
        <v>0</v>
      </c>
      <c r="I4993" s="1">
        <v>0.150313</v>
      </c>
    </row>
    <row r="4994" spans="1:9" x14ac:dyDescent="0.25">
      <c r="A4994" s="1">
        <v>2320130266</v>
      </c>
      <c r="B4994" s="1" t="s">
        <v>3038</v>
      </c>
      <c r="C4994" s="1" t="s">
        <v>126</v>
      </c>
      <c r="D4994" s="1" t="s">
        <v>127</v>
      </c>
      <c r="E4994" s="3">
        <v>13200</v>
      </c>
      <c r="F4994" s="1" t="s">
        <v>36</v>
      </c>
      <c r="G4994" s="1">
        <v>0</v>
      </c>
      <c r="H4994" s="1">
        <v>0</v>
      </c>
      <c r="I4994" s="1">
        <v>0.217835</v>
      </c>
    </row>
    <row r="4995" spans="1:9" x14ac:dyDescent="0.25">
      <c r="A4995" s="1">
        <v>2320130269</v>
      </c>
      <c r="B4995" s="1" t="s">
        <v>3039</v>
      </c>
      <c r="C4995" s="1" t="s">
        <v>157</v>
      </c>
      <c r="D4995" s="1" t="s">
        <v>158</v>
      </c>
      <c r="E4995" s="3">
        <v>36300</v>
      </c>
      <c r="F4995" s="1" t="s">
        <v>36</v>
      </c>
      <c r="G4995" s="1">
        <v>0</v>
      </c>
      <c r="H4995" s="1">
        <v>0</v>
      </c>
      <c r="I4995" s="1">
        <v>0.17635899999999999</v>
      </c>
    </row>
    <row r="4996" spans="1:9" x14ac:dyDescent="0.25">
      <c r="A4996" s="1">
        <v>2320130273</v>
      </c>
      <c r="B4996" s="1" t="s">
        <v>3040</v>
      </c>
      <c r="C4996" s="1" t="s">
        <v>130</v>
      </c>
      <c r="D4996" s="1" t="s">
        <v>131</v>
      </c>
      <c r="E4996" s="3">
        <v>50760</v>
      </c>
      <c r="F4996" s="1" t="s">
        <v>36</v>
      </c>
      <c r="G4996" s="1">
        <v>0</v>
      </c>
      <c r="H4996" s="1">
        <v>0</v>
      </c>
      <c r="I4996" s="1">
        <v>0.94335999999999998</v>
      </c>
    </row>
    <row r="4997" spans="1:9" x14ac:dyDescent="0.25">
      <c r="A4997" s="1">
        <v>2320130273</v>
      </c>
      <c r="B4997" s="1" t="s">
        <v>3040</v>
      </c>
      <c r="C4997" s="1" t="s">
        <v>126</v>
      </c>
      <c r="D4997" s="1" t="s">
        <v>127</v>
      </c>
      <c r="E4997" s="3">
        <v>6300</v>
      </c>
      <c r="F4997" s="1" t="s">
        <v>36</v>
      </c>
      <c r="G4997" s="1">
        <v>0</v>
      </c>
      <c r="H4997" s="1">
        <v>0</v>
      </c>
      <c r="I4997" s="1">
        <v>0.37927499999999997</v>
      </c>
    </row>
    <row r="4998" spans="1:9" x14ac:dyDescent="0.25">
      <c r="A4998" s="1">
        <v>2320130273</v>
      </c>
      <c r="B4998" s="1" t="s">
        <v>3040</v>
      </c>
      <c r="C4998" s="1" t="s">
        <v>144</v>
      </c>
      <c r="D4998" s="1" t="s">
        <v>145</v>
      </c>
      <c r="E4998" s="3">
        <v>500</v>
      </c>
      <c r="F4998" s="1" t="s">
        <v>36</v>
      </c>
      <c r="G4998" s="1">
        <v>0</v>
      </c>
      <c r="H4998" s="1">
        <v>0</v>
      </c>
      <c r="I4998" s="1">
        <v>0.90598000000000001</v>
      </c>
    </row>
    <row r="4999" spans="1:9" x14ac:dyDescent="0.25">
      <c r="A4999" s="1">
        <v>2320130274</v>
      </c>
      <c r="B4999" s="1" t="s">
        <v>3041</v>
      </c>
      <c r="C4999" s="1" t="s">
        <v>307</v>
      </c>
      <c r="D4999" s="1" t="s">
        <v>308</v>
      </c>
      <c r="E4999" s="3">
        <v>14800</v>
      </c>
      <c r="F4999" s="1" t="s">
        <v>36</v>
      </c>
      <c r="G4999" s="1">
        <v>0</v>
      </c>
      <c r="H4999" s="1">
        <v>0</v>
      </c>
      <c r="I4999" s="1">
        <v>0.23520099999999999</v>
      </c>
    </row>
    <row r="5000" spans="1:9" x14ac:dyDescent="0.25">
      <c r="A5000" s="1">
        <v>2320130274</v>
      </c>
      <c r="B5000" s="1" t="s">
        <v>3041</v>
      </c>
      <c r="C5000" s="1" t="s">
        <v>130</v>
      </c>
      <c r="D5000" s="1" t="s">
        <v>131</v>
      </c>
      <c r="E5000" s="3">
        <v>112670.0001</v>
      </c>
      <c r="F5000" s="1" t="s">
        <v>36</v>
      </c>
      <c r="G5000" s="1">
        <v>0</v>
      </c>
      <c r="H5000" s="1">
        <v>0</v>
      </c>
      <c r="I5000" s="1">
        <v>0.87254500000000002</v>
      </c>
    </row>
    <row r="5001" spans="1:9" x14ac:dyDescent="0.25">
      <c r="A5001" s="1">
        <v>2320130274</v>
      </c>
      <c r="B5001" s="1" t="s">
        <v>3041</v>
      </c>
      <c r="C5001" s="1" t="s">
        <v>126</v>
      </c>
      <c r="D5001" s="1" t="s">
        <v>127</v>
      </c>
      <c r="E5001" s="3">
        <v>36600</v>
      </c>
      <c r="F5001" s="1" t="s">
        <v>36</v>
      </c>
      <c r="G5001" s="1">
        <v>0</v>
      </c>
      <c r="H5001" s="1">
        <v>0</v>
      </c>
      <c r="I5001" s="1">
        <v>0.36945299999999998</v>
      </c>
    </row>
    <row r="5002" spans="1:9" x14ac:dyDescent="0.25">
      <c r="A5002" s="1">
        <v>2320130275</v>
      </c>
      <c r="B5002" s="1" t="s">
        <v>3042</v>
      </c>
      <c r="C5002" s="1" t="s">
        <v>130</v>
      </c>
      <c r="D5002" s="1" t="s">
        <v>131</v>
      </c>
      <c r="E5002" s="3">
        <v>218309</v>
      </c>
      <c r="F5002" s="1" t="s">
        <v>36</v>
      </c>
      <c r="G5002" s="1">
        <v>0</v>
      </c>
      <c r="H5002" s="1">
        <v>0</v>
      </c>
      <c r="I5002" s="1">
        <v>0.41733100000000001</v>
      </c>
    </row>
    <row r="5003" spans="1:9" x14ac:dyDescent="0.25">
      <c r="A5003" s="1">
        <v>2320130397</v>
      </c>
      <c r="B5003" s="1" t="s">
        <v>3043</v>
      </c>
      <c r="C5003" s="1" t="s">
        <v>130</v>
      </c>
      <c r="D5003" s="1" t="s">
        <v>131</v>
      </c>
      <c r="E5003" s="3">
        <v>3000</v>
      </c>
      <c r="F5003" s="1" t="s">
        <v>36</v>
      </c>
      <c r="G5003" s="1">
        <v>0</v>
      </c>
      <c r="H5003" s="1">
        <v>0</v>
      </c>
      <c r="I5003" s="1">
        <v>1.6799569999999999</v>
      </c>
    </row>
    <row r="5004" spans="1:9" x14ac:dyDescent="0.25">
      <c r="A5004" s="1">
        <v>2320130431</v>
      </c>
      <c r="B5004" s="1" t="s">
        <v>3044</v>
      </c>
      <c r="C5004" s="1" t="s">
        <v>130</v>
      </c>
      <c r="D5004" s="1" t="s">
        <v>131</v>
      </c>
      <c r="E5004" s="3">
        <v>2760</v>
      </c>
      <c r="F5004" s="1" t="s">
        <v>36</v>
      </c>
      <c r="G5004" s="1">
        <v>0</v>
      </c>
      <c r="H5004" s="1">
        <v>0</v>
      </c>
      <c r="I5004" s="1">
        <v>0.32717800000000002</v>
      </c>
    </row>
    <row r="5005" spans="1:9" x14ac:dyDescent="0.25">
      <c r="A5005" s="1">
        <v>2320130442</v>
      </c>
      <c r="B5005" s="1" t="s">
        <v>3045</v>
      </c>
      <c r="C5005" s="1" t="s">
        <v>130</v>
      </c>
      <c r="D5005" s="1" t="s">
        <v>131</v>
      </c>
      <c r="E5005" s="3">
        <v>68400</v>
      </c>
      <c r="F5005" s="1" t="s">
        <v>36</v>
      </c>
      <c r="G5005" s="1">
        <v>0</v>
      </c>
      <c r="H5005" s="1">
        <v>0</v>
      </c>
      <c r="I5005" s="1">
        <v>1.6129000000000001E-2</v>
      </c>
    </row>
    <row r="5006" spans="1:9" x14ac:dyDescent="0.25">
      <c r="A5006" s="1">
        <v>2320130456</v>
      </c>
      <c r="B5006" s="1" t="s">
        <v>3046</v>
      </c>
      <c r="C5006" s="1" t="s">
        <v>167</v>
      </c>
      <c r="D5006" s="1" t="s">
        <v>168</v>
      </c>
      <c r="E5006" s="3">
        <v>139500</v>
      </c>
      <c r="F5006" s="1" t="s">
        <v>36</v>
      </c>
      <c r="G5006" s="1">
        <v>0</v>
      </c>
      <c r="H5006" s="1">
        <v>0</v>
      </c>
      <c r="I5006" s="1">
        <v>4.7189000000000002E-2</v>
      </c>
    </row>
    <row r="5007" spans="1:9" x14ac:dyDescent="0.25">
      <c r="A5007" s="1">
        <v>2320130456</v>
      </c>
      <c r="B5007" s="1" t="s">
        <v>3046</v>
      </c>
      <c r="C5007" s="1" t="s">
        <v>137</v>
      </c>
      <c r="D5007" s="1" t="s">
        <v>138</v>
      </c>
      <c r="E5007" s="3">
        <v>3000</v>
      </c>
      <c r="F5007" s="1" t="s">
        <v>36</v>
      </c>
      <c r="G5007" s="1">
        <v>0</v>
      </c>
      <c r="H5007" s="1">
        <v>0</v>
      </c>
      <c r="I5007" s="1">
        <v>4.7190000000000003E-2</v>
      </c>
    </row>
    <row r="5008" spans="1:9" x14ac:dyDescent="0.25">
      <c r="A5008" s="1">
        <v>2320130459</v>
      </c>
      <c r="B5008" s="1" t="s">
        <v>3047</v>
      </c>
      <c r="C5008" s="1" t="s">
        <v>130</v>
      </c>
      <c r="D5008" s="1" t="s">
        <v>131</v>
      </c>
      <c r="E5008" s="3">
        <v>9666</v>
      </c>
      <c r="F5008" s="1" t="s">
        <v>36</v>
      </c>
      <c r="G5008" s="1">
        <v>0</v>
      </c>
      <c r="H5008" s="1">
        <v>0</v>
      </c>
      <c r="I5008" s="1">
        <v>0.342696</v>
      </c>
    </row>
    <row r="5009" spans="1:9" x14ac:dyDescent="0.25">
      <c r="A5009" s="1">
        <v>2320130473</v>
      </c>
      <c r="B5009" s="1" t="s">
        <v>3048</v>
      </c>
      <c r="C5009" s="1" t="s">
        <v>157</v>
      </c>
      <c r="D5009" s="1" t="s">
        <v>158</v>
      </c>
      <c r="E5009" s="3">
        <v>30000</v>
      </c>
      <c r="F5009" s="1" t="s">
        <v>36</v>
      </c>
      <c r="G5009" s="1">
        <v>0</v>
      </c>
      <c r="H5009" s="1">
        <v>0</v>
      </c>
      <c r="I5009" s="1">
        <v>1.8156890000000001</v>
      </c>
    </row>
    <row r="5010" spans="1:9" x14ac:dyDescent="0.25">
      <c r="A5010" s="1">
        <v>2320130526</v>
      </c>
      <c r="B5010" s="1" t="s">
        <v>3049</v>
      </c>
      <c r="C5010" s="1" t="s">
        <v>130</v>
      </c>
      <c r="D5010" s="1" t="s">
        <v>131</v>
      </c>
      <c r="E5010" s="3">
        <v>15826</v>
      </c>
      <c r="F5010" s="1" t="s">
        <v>36</v>
      </c>
      <c r="G5010" s="1">
        <v>0</v>
      </c>
      <c r="H5010" s="1">
        <v>0</v>
      </c>
      <c r="I5010" s="1">
        <v>0.36721500000000001</v>
      </c>
    </row>
    <row r="5011" spans="1:9" x14ac:dyDescent="0.25">
      <c r="A5011" s="1">
        <v>2320130544</v>
      </c>
      <c r="B5011" s="1" t="s">
        <v>3050</v>
      </c>
      <c r="C5011" s="1" t="s">
        <v>2752</v>
      </c>
      <c r="D5011" s="1" t="s">
        <v>2753</v>
      </c>
      <c r="E5011" s="1">
        <v>100</v>
      </c>
      <c r="F5011" s="1" t="s">
        <v>36</v>
      </c>
      <c r="G5011" s="1">
        <v>0</v>
      </c>
      <c r="H5011" s="1">
        <v>0</v>
      </c>
      <c r="I5011" s="1">
        <v>10.3161</v>
      </c>
    </row>
    <row r="5012" spans="1:9" x14ac:dyDescent="0.25">
      <c r="A5012" s="1">
        <v>2320130547</v>
      </c>
      <c r="B5012" s="1" t="s">
        <v>3051</v>
      </c>
      <c r="C5012" s="1" t="s">
        <v>130</v>
      </c>
      <c r="D5012" s="1" t="s">
        <v>131</v>
      </c>
      <c r="E5012" s="3">
        <v>55049</v>
      </c>
      <c r="F5012" s="1" t="s">
        <v>36</v>
      </c>
      <c r="G5012" s="1">
        <v>999</v>
      </c>
      <c r="H5012" s="1">
        <v>0</v>
      </c>
      <c r="I5012" s="1">
        <v>0.78652500000000003</v>
      </c>
    </row>
    <row r="5013" spans="1:9" x14ac:dyDescent="0.25">
      <c r="A5013" s="1">
        <v>2320130547</v>
      </c>
      <c r="B5013" s="1" t="s">
        <v>3051</v>
      </c>
      <c r="C5013" s="1" t="s">
        <v>126</v>
      </c>
      <c r="D5013" s="1" t="s">
        <v>127</v>
      </c>
      <c r="E5013" s="3">
        <v>15000</v>
      </c>
      <c r="F5013" s="1" t="s">
        <v>36</v>
      </c>
      <c r="G5013" s="1">
        <v>0</v>
      </c>
      <c r="H5013" s="1">
        <v>0</v>
      </c>
      <c r="I5013" s="1">
        <v>0.29089799999999999</v>
      </c>
    </row>
    <row r="5014" spans="1:9" x14ac:dyDescent="0.25">
      <c r="A5014" s="1">
        <v>2320130547</v>
      </c>
      <c r="B5014" s="1" t="s">
        <v>3051</v>
      </c>
      <c r="C5014" s="1" t="s">
        <v>144</v>
      </c>
      <c r="D5014" s="1" t="s">
        <v>145</v>
      </c>
      <c r="E5014" s="1">
        <v>0</v>
      </c>
      <c r="F5014" s="1" t="s">
        <v>36</v>
      </c>
      <c r="G5014" s="1">
        <v>0</v>
      </c>
      <c r="H5014" s="1">
        <v>999</v>
      </c>
      <c r="I5014" s="1">
        <v>0.76230600000000004</v>
      </c>
    </row>
    <row r="5015" spans="1:9" x14ac:dyDescent="0.25">
      <c r="A5015" s="1">
        <v>2320130564</v>
      </c>
      <c r="B5015" s="1" t="s">
        <v>3052</v>
      </c>
      <c r="C5015" s="1" t="s">
        <v>126</v>
      </c>
      <c r="D5015" s="1" t="s">
        <v>127</v>
      </c>
      <c r="E5015" s="3">
        <v>5550</v>
      </c>
      <c r="F5015" s="1" t="s">
        <v>36</v>
      </c>
      <c r="G5015" s="1">
        <v>0</v>
      </c>
      <c r="H5015" s="1">
        <v>0</v>
      </c>
      <c r="I5015" s="1">
        <v>0.46518399999999999</v>
      </c>
    </row>
    <row r="5016" spans="1:9" x14ac:dyDescent="0.25">
      <c r="A5016" s="1">
        <v>2320130577</v>
      </c>
      <c r="B5016" s="1" t="s">
        <v>3053</v>
      </c>
      <c r="C5016" s="1" t="s">
        <v>130</v>
      </c>
      <c r="D5016" s="1" t="s">
        <v>131</v>
      </c>
      <c r="E5016" s="3">
        <v>1500</v>
      </c>
      <c r="F5016" s="1" t="s">
        <v>36</v>
      </c>
      <c r="G5016" s="1">
        <v>0</v>
      </c>
      <c r="H5016" s="1">
        <v>0</v>
      </c>
      <c r="I5016" s="1">
        <v>0.279553</v>
      </c>
    </row>
    <row r="5017" spans="1:9" x14ac:dyDescent="0.25">
      <c r="A5017" s="1">
        <v>2320130587</v>
      </c>
      <c r="B5017" s="1" t="s">
        <v>3054</v>
      </c>
      <c r="C5017" s="1" t="s">
        <v>130</v>
      </c>
      <c r="D5017" s="1" t="s">
        <v>131</v>
      </c>
      <c r="E5017" s="3">
        <v>13358.33</v>
      </c>
      <c r="F5017" s="1" t="s">
        <v>36</v>
      </c>
      <c r="G5017" s="1">
        <v>0</v>
      </c>
      <c r="H5017" s="1">
        <v>0</v>
      </c>
      <c r="I5017" s="1">
        <v>0.155748</v>
      </c>
    </row>
    <row r="5018" spans="1:9" x14ac:dyDescent="0.25">
      <c r="A5018" s="1">
        <v>2320130587</v>
      </c>
      <c r="B5018" s="1" t="s">
        <v>3054</v>
      </c>
      <c r="C5018" s="1" t="s">
        <v>126</v>
      </c>
      <c r="D5018" s="1" t="s">
        <v>127</v>
      </c>
      <c r="E5018" s="3">
        <v>85000</v>
      </c>
      <c r="F5018" s="1" t="s">
        <v>36</v>
      </c>
      <c r="G5018" s="1">
        <v>0</v>
      </c>
      <c r="H5018" s="1">
        <v>0</v>
      </c>
      <c r="I5018" s="1">
        <v>0.155748</v>
      </c>
    </row>
    <row r="5019" spans="1:9" x14ac:dyDescent="0.25">
      <c r="A5019" s="1">
        <v>2320130587</v>
      </c>
      <c r="B5019" s="1" t="s">
        <v>3054</v>
      </c>
      <c r="C5019" s="1" t="s">
        <v>1698</v>
      </c>
      <c r="D5019" s="1" t="s">
        <v>1699</v>
      </c>
      <c r="E5019" s="3">
        <v>4748.6733000000004</v>
      </c>
      <c r="F5019" s="1" t="s">
        <v>36</v>
      </c>
      <c r="G5019" s="1">
        <v>0</v>
      </c>
      <c r="H5019" s="1">
        <v>0</v>
      </c>
      <c r="I5019" s="1">
        <v>0.155749</v>
      </c>
    </row>
    <row r="5020" spans="1:9" x14ac:dyDescent="0.25">
      <c r="A5020" s="1">
        <v>2320130589</v>
      </c>
      <c r="B5020" s="1" t="s">
        <v>3055</v>
      </c>
      <c r="C5020" s="1" t="s">
        <v>130</v>
      </c>
      <c r="D5020" s="1" t="s">
        <v>131</v>
      </c>
      <c r="E5020" s="3">
        <v>5600</v>
      </c>
      <c r="F5020" s="1" t="s">
        <v>36</v>
      </c>
      <c r="G5020" s="1">
        <v>0</v>
      </c>
      <c r="H5020" s="1">
        <v>0</v>
      </c>
      <c r="I5020" s="1">
        <v>0.69279800000000002</v>
      </c>
    </row>
    <row r="5021" spans="1:9" x14ac:dyDescent="0.25">
      <c r="A5021" s="1">
        <v>2320130591</v>
      </c>
      <c r="B5021" s="1" t="s">
        <v>3056</v>
      </c>
      <c r="C5021" s="1" t="s">
        <v>130</v>
      </c>
      <c r="D5021" s="1" t="s">
        <v>131</v>
      </c>
      <c r="E5021" s="3">
        <v>3800</v>
      </c>
      <c r="F5021" s="1" t="s">
        <v>36</v>
      </c>
      <c r="G5021" s="1">
        <v>0</v>
      </c>
      <c r="H5021" s="1">
        <v>0</v>
      </c>
      <c r="I5021" s="1">
        <v>0.131879</v>
      </c>
    </row>
    <row r="5022" spans="1:9" x14ac:dyDescent="0.25">
      <c r="A5022" s="1">
        <v>2320130593</v>
      </c>
      <c r="B5022" s="1" t="s">
        <v>3057</v>
      </c>
      <c r="C5022" s="1" t="s">
        <v>130</v>
      </c>
      <c r="D5022" s="1" t="s">
        <v>131</v>
      </c>
      <c r="E5022" s="3">
        <v>22189</v>
      </c>
      <c r="F5022" s="1" t="s">
        <v>36</v>
      </c>
      <c r="G5022" s="1">
        <v>0</v>
      </c>
      <c r="H5022" s="1">
        <v>0</v>
      </c>
      <c r="I5022" s="1">
        <v>0.73980000000000001</v>
      </c>
    </row>
    <row r="5023" spans="1:9" x14ac:dyDescent="0.25">
      <c r="A5023" s="1">
        <v>2320130594</v>
      </c>
      <c r="B5023" s="1" t="s">
        <v>3058</v>
      </c>
      <c r="C5023" s="1" t="s">
        <v>130</v>
      </c>
      <c r="D5023" s="1" t="s">
        <v>131</v>
      </c>
      <c r="E5023" s="3">
        <v>8298</v>
      </c>
      <c r="F5023" s="1" t="s">
        <v>36</v>
      </c>
      <c r="G5023" s="1">
        <v>0</v>
      </c>
      <c r="H5023" s="1">
        <v>0</v>
      </c>
      <c r="I5023" s="1">
        <v>0.74674700000000005</v>
      </c>
    </row>
    <row r="5024" spans="1:9" x14ac:dyDescent="0.25">
      <c r="A5024" s="1">
        <v>2320130608</v>
      </c>
      <c r="B5024" s="1" t="s">
        <v>3059</v>
      </c>
      <c r="C5024" s="1" t="s">
        <v>130</v>
      </c>
      <c r="D5024" s="1" t="s">
        <v>131</v>
      </c>
      <c r="E5024" s="3">
        <v>93378.33</v>
      </c>
      <c r="F5024" s="1" t="s">
        <v>36</v>
      </c>
      <c r="G5024" s="1">
        <v>0</v>
      </c>
      <c r="H5024" s="1">
        <v>0</v>
      </c>
      <c r="I5024" s="1">
        <v>0.96487599999999996</v>
      </c>
    </row>
    <row r="5025" spans="1:9" x14ac:dyDescent="0.25">
      <c r="A5025" s="1">
        <v>2320130608</v>
      </c>
      <c r="B5025" s="1" t="s">
        <v>3059</v>
      </c>
      <c r="C5025" s="1" t="s">
        <v>1698</v>
      </c>
      <c r="D5025" s="1" t="s">
        <v>1699</v>
      </c>
      <c r="E5025" s="3">
        <v>1641.6667</v>
      </c>
      <c r="F5025" s="1" t="s">
        <v>36</v>
      </c>
      <c r="G5025" s="1">
        <v>0</v>
      </c>
      <c r="H5025" s="1">
        <v>0</v>
      </c>
      <c r="I5025" s="1">
        <v>0.96487299999999998</v>
      </c>
    </row>
    <row r="5026" spans="1:9" x14ac:dyDescent="0.25">
      <c r="A5026" s="1">
        <v>2320130623</v>
      </c>
      <c r="B5026" s="1" t="s">
        <v>3060</v>
      </c>
      <c r="C5026" s="1" t="s">
        <v>130</v>
      </c>
      <c r="D5026" s="1" t="s">
        <v>131</v>
      </c>
      <c r="E5026" s="3">
        <v>21000</v>
      </c>
      <c r="F5026" s="1" t="s">
        <v>36</v>
      </c>
      <c r="G5026" s="1">
        <v>0</v>
      </c>
      <c r="H5026" s="1">
        <v>0</v>
      </c>
      <c r="I5026" s="1">
        <v>0.31851499999999999</v>
      </c>
    </row>
    <row r="5027" spans="1:9" x14ac:dyDescent="0.25">
      <c r="A5027" s="1">
        <v>2320130624</v>
      </c>
      <c r="B5027" s="1" t="s">
        <v>3061</v>
      </c>
      <c r="C5027" s="1" t="s">
        <v>130</v>
      </c>
      <c r="D5027" s="1" t="s">
        <v>131</v>
      </c>
      <c r="E5027" s="3">
        <v>6000</v>
      </c>
      <c r="F5027" s="1" t="s">
        <v>36</v>
      </c>
      <c r="G5027" s="1">
        <v>0</v>
      </c>
      <c r="H5027" s="1">
        <v>0</v>
      </c>
      <c r="I5027" s="1">
        <v>0.32672000000000001</v>
      </c>
    </row>
    <row r="5028" spans="1:9" x14ac:dyDescent="0.25">
      <c r="A5028" s="1">
        <v>2320130626</v>
      </c>
      <c r="B5028" s="1" t="s">
        <v>3062</v>
      </c>
      <c r="C5028" s="1" t="s">
        <v>130</v>
      </c>
      <c r="D5028" s="1" t="s">
        <v>131</v>
      </c>
      <c r="E5028" s="3">
        <v>8550</v>
      </c>
      <c r="F5028" s="1" t="s">
        <v>36</v>
      </c>
      <c r="G5028" s="1">
        <v>0</v>
      </c>
      <c r="H5028" s="1">
        <v>0</v>
      </c>
      <c r="I5028" s="1">
        <v>0.26543699999999998</v>
      </c>
    </row>
    <row r="5029" spans="1:9" x14ac:dyDescent="0.25">
      <c r="A5029" s="1">
        <v>2320130629</v>
      </c>
      <c r="B5029" s="1" t="s">
        <v>3063</v>
      </c>
      <c r="C5029" s="1" t="s">
        <v>130</v>
      </c>
      <c r="D5029" s="1" t="s">
        <v>131</v>
      </c>
      <c r="E5029" s="3">
        <v>1041</v>
      </c>
      <c r="F5029" s="1" t="s">
        <v>36</v>
      </c>
      <c r="G5029" s="1">
        <v>0</v>
      </c>
      <c r="H5029" s="1">
        <v>0</v>
      </c>
      <c r="I5029" s="1">
        <v>0.26403500000000002</v>
      </c>
    </row>
    <row r="5030" spans="1:9" x14ac:dyDescent="0.25">
      <c r="A5030" s="1">
        <v>2320130630</v>
      </c>
      <c r="B5030" s="1" t="s">
        <v>3064</v>
      </c>
      <c r="C5030" s="1" t="s">
        <v>130</v>
      </c>
      <c r="D5030" s="1" t="s">
        <v>131</v>
      </c>
      <c r="E5030" s="1">
        <v>789</v>
      </c>
      <c r="F5030" s="1" t="s">
        <v>36</v>
      </c>
      <c r="G5030" s="1">
        <v>0</v>
      </c>
      <c r="H5030" s="1">
        <v>0</v>
      </c>
      <c r="I5030" s="1">
        <v>0.26384000000000002</v>
      </c>
    </row>
    <row r="5031" spans="1:9" x14ac:dyDescent="0.25">
      <c r="A5031" s="1">
        <v>2320130631</v>
      </c>
      <c r="B5031" s="1" t="s">
        <v>3065</v>
      </c>
      <c r="C5031" s="1" t="s">
        <v>130</v>
      </c>
      <c r="D5031" s="1" t="s">
        <v>131</v>
      </c>
      <c r="E5031" s="3">
        <v>869</v>
      </c>
      <c r="F5031" s="1" t="s">
        <v>36</v>
      </c>
      <c r="G5031" s="1">
        <v>0</v>
      </c>
      <c r="H5031" s="1">
        <v>0</v>
      </c>
      <c r="I5031" s="1">
        <v>0.26525900000000002</v>
      </c>
    </row>
    <row r="5032" spans="1:9" x14ac:dyDescent="0.25">
      <c r="A5032" s="1">
        <v>2320130632</v>
      </c>
      <c r="B5032" s="1" t="s">
        <v>3066</v>
      </c>
      <c r="C5032" s="1" t="s">
        <v>130</v>
      </c>
      <c r="D5032" s="1" t="s">
        <v>131</v>
      </c>
      <c r="E5032" s="1">
        <v>548</v>
      </c>
      <c r="F5032" s="1" t="s">
        <v>36</v>
      </c>
      <c r="G5032" s="1">
        <v>0</v>
      </c>
      <c r="H5032" s="1">
        <v>0</v>
      </c>
      <c r="I5032" s="1">
        <v>0.339617</v>
      </c>
    </row>
    <row r="5033" spans="1:9" x14ac:dyDescent="0.25">
      <c r="A5033" s="1">
        <v>2320130634</v>
      </c>
      <c r="B5033" s="1" t="s">
        <v>3067</v>
      </c>
      <c r="C5033" s="1" t="s">
        <v>130</v>
      </c>
      <c r="D5033" s="1" t="s">
        <v>131</v>
      </c>
      <c r="E5033" s="3">
        <v>10180</v>
      </c>
      <c r="F5033" s="1" t="s">
        <v>36</v>
      </c>
      <c r="G5033" s="1">
        <v>0</v>
      </c>
      <c r="H5033" s="1">
        <v>0</v>
      </c>
      <c r="I5033" s="1">
        <v>0.26439299999999999</v>
      </c>
    </row>
    <row r="5034" spans="1:9" x14ac:dyDescent="0.25">
      <c r="A5034" s="1">
        <v>2320130637</v>
      </c>
      <c r="B5034" s="1" t="s">
        <v>3068</v>
      </c>
      <c r="C5034" s="1" t="s">
        <v>130</v>
      </c>
      <c r="D5034" s="1" t="s">
        <v>131</v>
      </c>
      <c r="E5034" s="3">
        <v>7000</v>
      </c>
      <c r="F5034" s="1" t="s">
        <v>36</v>
      </c>
      <c r="G5034" s="1">
        <v>0</v>
      </c>
      <c r="H5034" s="1">
        <v>0</v>
      </c>
      <c r="I5034" s="1">
        <v>0.259409</v>
      </c>
    </row>
    <row r="5035" spans="1:9" x14ac:dyDescent="0.25">
      <c r="A5035" s="1">
        <v>2320130639</v>
      </c>
      <c r="B5035" s="1" t="s">
        <v>3069</v>
      </c>
      <c r="C5035" s="1" t="s">
        <v>1698</v>
      </c>
      <c r="D5035" s="1" t="s">
        <v>1699</v>
      </c>
      <c r="E5035" s="3">
        <v>6000</v>
      </c>
      <c r="F5035" s="1" t="s">
        <v>36</v>
      </c>
      <c r="G5035" s="1">
        <v>0</v>
      </c>
      <c r="H5035" s="1">
        <v>0</v>
      </c>
      <c r="I5035" s="1">
        <v>0.33962300000000001</v>
      </c>
    </row>
    <row r="5036" spans="1:9" x14ac:dyDescent="0.25">
      <c r="A5036" s="1">
        <v>2320130640</v>
      </c>
      <c r="B5036" s="1" t="s">
        <v>3070</v>
      </c>
      <c r="C5036" s="1" t="s">
        <v>130</v>
      </c>
      <c r="D5036" s="1" t="s">
        <v>131</v>
      </c>
      <c r="E5036" s="3">
        <v>4800</v>
      </c>
      <c r="F5036" s="1" t="s">
        <v>36</v>
      </c>
      <c r="G5036" s="1">
        <v>0</v>
      </c>
      <c r="H5036" s="1">
        <v>0</v>
      </c>
      <c r="I5036" s="1">
        <v>0.33571699999999999</v>
      </c>
    </row>
    <row r="5037" spans="1:9" x14ac:dyDescent="0.25">
      <c r="A5037" s="1">
        <v>2320130641</v>
      </c>
      <c r="B5037" s="1" t="s">
        <v>3071</v>
      </c>
      <c r="C5037" s="1" t="s">
        <v>130</v>
      </c>
      <c r="D5037" s="1" t="s">
        <v>131</v>
      </c>
      <c r="E5037" s="3">
        <v>312</v>
      </c>
      <c r="F5037" s="1" t="s">
        <v>36</v>
      </c>
      <c r="G5037" s="1">
        <v>0</v>
      </c>
      <c r="H5037" s="3">
        <v>0</v>
      </c>
      <c r="I5037" s="1">
        <v>0.835897</v>
      </c>
    </row>
    <row r="5038" spans="1:9" x14ac:dyDescent="0.25">
      <c r="A5038" s="1">
        <v>2320130653</v>
      </c>
      <c r="B5038" s="1" t="s">
        <v>3072</v>
      </c>
      <c r="C5038" s="1" t="s">
        <v>126</v>
      </c>
      <c r="D5038" s="1" t="s">
        <v>127</v>
      </c>
      <c r="E5038" s="3">
        <v>1000</v>
      </c>
      <c r="F5038" s="1" t="s">
        <v>36</v>
      </c>
      <c r="G5038" s="1">
        <v>0</v>
      </c>
      <c r="H5038" s="1">
        <v>0</v>
      </c>
      <c r="I5038" s="1">
        <v>0.89361999999999997</v>
      </c>
    </row>
    <row r="5039" spans="1:9" x14ac:dyDescent="0.25">
      <c r="A5039" s="1">
        <v>2320130654</v>
      </c>
      <c r="B5039" s="1" t="s">
        <v>3073</v>
      </c>
      <c r="C5039" s="1" t="s">
        <v>130</v>
      </c>
      <c r="D5039" s="1" t="s">
        <v>131</v>
      </c>
      <c r="E5039" s="3">
        <v>3400</v>
      </c>
      <c r="F5039" s="1" t="s">
        <v>36</v>
      </c>
      <c r="G5039" s="3">
        <v>0</v>
      </c>
      <c r="H5039" s="1">
        <v>0</v>
      </c>
      <c r="I5039" s="1">
        <v>0.23988499999999999</v>
      </c>
    </row>
    <row r="5040" spans="1:9" x14ac:dyDescent="0.25">
      <c r="A5040" s="1">
        <v>2320130657</v>
      </c>
      <c r="B5040" s="1" t="s">
        <v>3074</v>
      </c>
      <c r="C5040" s="1" t="s">
        <v>126</v>
      </c>
      <c r="D5040" s="1" t="s">
        <v>127</v>
      </c>
      <c r="E5040" s="3">
        <v>3500</v>
      </c>
      <c r="F5040" s="1" t="s">
        <v>36</v>
      </c>
      <c r="G5040" s="1">
        <v>0</v>
      </c>
      <c r="H5040" s="1">
        <v>0</v>
      </c>
      <c r="I5040" s="1">
        <v>0.34888599999999997</v>
      </c>
    </row>
    <row r="5041" spans="1:9" x14ac:dyDescent="0.25">
      <c r="A5041">
        <v>2320130658</v>
      </c>
      <c r="B5041" t="s">
        <v>3075</v>
      </c>
      <c r="C5041" t="s">
        <v>167</v>
      </c>
      <c r="D5041" t="s">
        <v>168</v>
      </c>
      <c r="E5041" s="2">
        <v>2000</v>
      </c>
      <c r="F5041" t="s">
        <v>36</v>
      </c>
      <c r="G5041" s="2">
        <v>0</v>
      </c>
      <c r="H5041">
        <v>0</v>
      </c>
      <c r="I5041">
        <v>0.22359499999999999</v>
      </c>
    </row>
    <row r="5042" spans="1:9" x14ac:dyDescent="0.25">
      <c r="A5042">
        <v>2320130662</v>
      </c>
      <c r="B5042" t="s">
        <v>3076</v>
      </c>
      <c r="C5042" t="s">
        <v>130</v>
      </c>
      <c r="D5042" t="s">
        <v>131</v>
      </c>
      <c r="E5042" s="2">
        <v>5000</v>
      </c>
      <c r="F5042" t="s">
        <v>36</v>
      </c>
      <c r="G5042">
        <v>0</v>
      </c>
      <c r="H5042">
        <v>0</v>
      </c>
      <c r="I5042">
        <v>0.114398</v>
      </c>
    </row>
    <row r="5043" spans="1:9" x14ac:dyDescent="0.25">
      <c r="A5043" s="1">
        <v>2320130662</v>
      </c>
      <c r="B5043" s="1" t="s">
        <v>3076</v>
      </c>
      <c r="C5043" s="1" t="s">
        <v>126</v>
      </c>
      <c r="D5043" s="1" t="s">
        <v>127</v>
      </c>
      <c r="E5043" s="3">
        <v>30000</v>
      </c>
      <c r="F5043" s="1" t="s">
        <v>36</v>
      </c>
      <c r="G5043" s="1">
        <v>0</v>
      </c>
      <c r="H5043" s="1">
        <v>0</v>
      </c>
      <c r="I5043" s="1">
        <v>9.3007000000000006E-2</v>
      </c>
    </row>
    <row r="5044" spans="1:9" x14ac:dyDescent="0.25">
      <c r="A5044" s="1">
        <v>2320130662</v>
      </c>
      <c r="B5044" s="1" t="s">
        <v>3076</v>
      </c>
      <c r="C5044" s="1" t="s">
        <v>1698</v>
      </c>
      <c r="D5044" s="1" t="s">
        <v>1699</v>
      </c>
      <c r="E5044" s="3">
        <v>77525</v>
      </c>
      <c r="F5044" s="1" t="s">
        <v>36</v>
      </c>
      <c r="G5044" s="1">
        <v>0</v>
      </c>
      <c r="H5044" s="1">
        <v>0</v>
      </c>
      <c r="I5044" s="1">
        <v>0.114397</v>
      </c>
    </row>
    <row r="5045" spans="1:9" x14ac:dyDescent="0.25">
      <c r="A5045" s="1">
        <v>2320130664</v>
      </c>
      <c r="B5045" s="1" t="s">
        <v>3077</v>
      </c>
      <c r="C5045" s="1" t="s">
        <v>130</v>
      </c>
      <c r="D5045" s="1" t="s">
        <v>131</v>
      </c>
      <c r="E5045" s="3">
        <v>500</v>
      </c>
      <c r="F5045" s="1" t="s">
        <v>36</v>
      </c>
      <c r="G5045" s="1">
        <v>0</v>
      </c>
      <c r="H5045" s="1">
        <v>0</v>
      </c>
      <c r="I5045" s="1">
        <v>1.36158</v>
      </c>
    </row>
    <row r="5046" spans="1:9" x14ac:dyDescent="0.25">
      <c r="A5046" s="1">
        <v>2320130665</v>
      </c>
      <c r="B5046" s="1" t="s">
        <v>3078</v>
      </c>
      <c r="C5046" s="1" t="s">
        <v>130</v>
      </c>
      <c r="D5046" s="1" t="s">
        <v>131</v>
      </c>
      <c r="E5046" s="3">
        <v>500</v>
      </c>
      <c r="F5046" s="1" t="s">
        <v>36</v>
      </c>
      <c r="G5046" s="1">
        <v>0</v>
      </c>
      <c r="H5046" s="1">
        <v>0</v>
      </c>
      <c r="I5046" s="1">
        <v>1.36158</v>
      </c>
    </row>
    <row r="5047" spans="1:9" x14ac:dyDescent="0.25">
      <c r="A5047" s="1">
        <v>2320130668</v>
      </c>
      <c r="B5047" s="1" t="s">
        <v>3079</v>
      </c>
      <c r="C5047" s="1" t="s">
        <v>126</v>
      </c>
      <c r="D5047" s="1" t="s">
        <v>127</v>
      </c>
      <c r="E5047" s="3">
        <v>550</v>
      </c>
      <c r="F5047" s="1" t="s">
        <v>36</v>
      </c>
      <c r="G5047" s="1">
        <v>0</v>
      </c>
      <c r="H5047" s="1">
        <v>0</v>
      </c>
      <c r="I5047" s="1">
        <v>1.3615820000000001</v>
      </c>
    </row>
    <row r="5048" spans="1:9" x14ac:dyDescent="0.25">
      <c r="A5048" s="1">
        <v>2320130669</v>
      </c>
      <c r="B5048" s="1" t="s">
        <v>3080</v>
      </c>
      <c r="C5048" s="1" t="s">
        <v>126</v>
      </c>
      <c r="D5048" s="1" t="s">
        <v>127</v>
      </c>
      <c r="E5048" s="1">
        <v>550</v>
      </c>
      <c r="F5048" s="1" t="s">
        <v>36</v>
      </c>
      <c r="G5048" s="1">
        <v>0</v>
      </c>
      <c r="H5048" s="1">
        <v>0</v>
      </c>
      <c r="I5048" s="1">
        <v>1.3615820000000001</v>
      </c>
    </row>
    <row r="5049" spans="1:9" x14ac:dyDescent="0.25">
      <c r="A5049" s="1">
        <v>2320130672</v>
      </c>
      <c r="B5049" s="1" t="s">
        <v>3081</v>
      </c>
      <c r="C5049" s="1" t="s">
        <v>130</v>
      </c>
      <c r="D5049" s="1" t="s">
        <v>131</v>
      </c>
      <c r="E5049" s="3">
        <v>225</v>
      </c>
      <c r="F5049" s="1" t="s">
        <v>36</v>
      </c>
      <c r="G5049" s="1">
        <v>0</v>
      </c>
      <c r="H5049" s="1">
        <v>0</v>
      </c>
      <c r="I5049" s="1">
        <v>1.3615999999999999</v>
      </c>
    </row>
    <row r="5050" spans="1:9" x14ac:dyDescent="0.25">
      <c r="A5050" s="1">
        <v>2320130673</v>
      </c>
      <c r="B5050" s="1" t="s">
        <v>3082</v>
      </c>
      <c r="C5050" s="1" t="s">
        <v>130</v>
      </c>
      <c r="D5050" s="1" t="s">
        <v>131</v>
      </c>
      <c r="E5050" s="3">
        <v>225</v>
      </c>
      <c r="F5050" s="1" t="s">
        <v>36</v>
      </c>
      <c r="G5050" s="1">
        <v>0</v>
      </c>
      <c r="H5050" s="1">
        <v>0</v>
      </c>
      <c r="I5050" s="1">
        <v>1.3615999999999999</v>
      </c>
    </row>
    <row r="5051" spans="1:9" x14ac:dyDescent="0.25">
      <c r="A5051" s="1">
        <v>2320130674</v>
      </c>
      <c r="B5051" s="1" t="s">
        <v>3083</v>
      </c>
      <c r="C5051" s="1" t="s">
        <v>130</v>
      </c>
      <c r="D5051" s="1" t="s">
        <v>131</v>
      </c>
      <c r="E5051" s="3">
        <v>650</v>
      </c>
      <c r="F5051" s="1" t="s">
        <v>36</v>
      </c>
      <c r="G5051" s="1">
        <v>0</v>
      </c>
      <c r="H5051" s="1">
        <v>0</v>
      </c>
      <c r="I5051" s="1">
        <v>1.361585</v>
      </c>
    </row>
    <row r="5052" spans="1:9" x14ac:dyDescent="0.25">
      <c r="A5052" s="1">
        <v>2320130675</v>
      </c>
      <c r="B5052" s="1" t="s">
        <v>3084</v>
      </c>
      <c r="C5052" s="1" t="s">
        <v>130</v>
      </c>
      <c r="D5052" s="1" t="s">
        <v>131</v>
      </c>
      <c r="E5052" s="3">
        <v>650</v>
      </c>
      <c r="F5052" s="1" t="s">
        <v>36</v>
      </c>
      <c r="G5052" s="1">
        <v>0</v>
      </c>
      <c r="H5052" s="1">
        <v>0</v>
      </c>
      <c r="I5052" s="1">
        <v>1.361585</v>
      </c>
    </row>
    <row r="5053" spans="1:9" x14ac:dyDescent="0.25">
      <c r="A5053" s="1">
        <v>2320130676</v>
      </c>
      <c r="B5053" s="1" t="s">
        <v>3085</v>
      </c>
      <c r="C5053" s="1" t="s">
        <v>130</v>
      </c>
      <c r="D5053" s="1" t="s">
        <v>131</v>
      </c>
      <c r="E5053" s="3">
        <v>1500</v>
      </c>
      <c r="F5053" s="1" t="s">
        <v>36</v>
      </c>
      <c r="G5053" s="1">
        <v>0</v>
      </c>
      <c r="H5053" s="1">
        <v>0</v>
      </c>
      <c r="I5053" s="1">
        <v>1.3615870000000001</v>
      </c>
    </row>
    <row r="5054" spans="1:9" x14ac:dyDescent="0.25">
      <c r="A5054" s="1">
        <v>2320130677</v>
      </c>
      <c r="B5054" s="1" t="s">
        <v>3086</v>
      </c>
      <c r="C5054" s="1" t="s">
        <v>130</v>
      </c>
      <c r="D5054" s="1" t="s">
        <v>131</v>
      </c>
      <c r="E5054" s="3">
        <v>1500</v>
      </c>
      <c r="F5054" s="1" t="s">
        <v>36</v>
      </c>
      <c r="G5054" s="1">
        <v>0</v>
      </c>
      <c r="H5054" s="1">
        <v>0</v>
      </c>
      <c r="I5054" s="1">
        <v>1.3615870000000001</v>
      </c>
    </row>
    <row r="5055" spans="1:9" x14ac:dyDescent="0.25">
      <c r="A5055" s="1">
        <v>2320130682</v>
      </c>
      <c r="B5055" s="1" t="s">
        <v>3087</v>
      </c>
      <c r="C5055" s="1" t="s">
        <v>130</v>
      </c>
      <c r="D5055" s="1" t="s">
        <v>131</v>
      </c>
      <c r="E5055" s="3">
        <v>500</v>
      </c>
      <c r="F5055" s="1" t="s">
        <v>36</v>
      </c>
      <c r="G5055" s="1">
        <v>0</v>
      </c>
      <c r="H5055" s="1">
        <v>0</v>
      </c>
      <c r="I5055" s="1">
        <v>1.4561599999999999</v>
      </c>
    </row>
    <row r="5056" spans="1:9" x14ac:dyDescent="0.25">
      <c r="A5056" s="1">
        <v>2320130683</v>
      </c>
      <c r="B5056" s="1" t="s">
        <v>3088</v>
      </c>
      <c r="C5056" s="1" t="s">
        <v>130</v>
      </c>
      <c r="D5056" s="1" t="s">
        <v>131</v>
      </c>
      <c r="E5056" s="3">
        <v>40670</v>
      </c>
      <c r="F5056" s="1" t="s">
        <v>36</v>
      </c>
      <c r="G5056" s="1">
        <v>0</v>
      </c>
      <c r="H5056" s="3">
        <v>0</v>
      </c>
      <c r="I5056" s="1">
        <v>0.90953300000000004</v>
      </c>
    </row>
    <row r="5057" spans="1:9" x14ac:dyDescent="0.25">
      <c r="A5057" s="1">
        <v>2320130686</v>
      </c>
      <c r="B5057" s="1" t="s">
        <v>3089</v>
      </c>
      <c r="C5057" s="1" t="s">
        <v>130</v>
      </c>
      <c r="D5057" s="1" t="s">
        <v>131</v>
      </c>
      <c r="E5057" s="3">
        <v>6600</v>
      </c>
      <c r="F5057" s="1" t="s">
        <v>36</v>
      </c>
      <c r="G5057" s="3">
        <v>0</v>
      </c>
      <c r="H5057" s="1">
        <v>0</v>
      </c>
      <c r="I5057" s="1">
        <v>0.33918500000000001</v>
      </c>
    </row>
    <row r="5058" spans="1:9" x14ac:dyDescent="0.25">
      <c r="A5058" s="1">
        <v>2320130687</v>
      </c>
      <c r="B5058" s="1" t="s">
        <v>3090</v>
      </c>
      <c r="C5058" s="1" t="s">
        <v>130</v>
      </c>
      <c r="D5058" s="1" t="s">
        <v>131</v>
      </c>
      <c r="E5058" s="3">
        <v>197775</v>
      </c>
      <c r="F5058" s="1" t="s">
        <v>36</v>
      </c>
      <c r="G5058" s="1">
        <v>0</v>
      </c>
      <c r="H5058" s="1">
        <v>0</v>
      </c>
      <c r="I5058" s="1">
        <v>0.19159200000000001</v>
      </c>
    </row>
    <row r="5059" spans="1:9" x14ac:dyDescent="0.25">
      <c r="A5059" s="1">
        <v>2320130687</v>
      </c>
      <c r="B5059" s="1" t="s">
        <v>3090</v>
      </c>
      <c r="C5059" s="1" t="s">
        <v>1698</v>
      </c>
      <c r="D5059" s="1" t="s">
        <v>1699</v>
      </c>
      <c r="E5059" s="3">
        <v>28391</v>
      </c>
      <c r="F5059" s="1" t="s">
        <v>36</v>
      </c>
      <c r="G5059" s="1">
        <v>0</v>
      </c>
      <c r="H5059" s="1">
        <v>0</v>
      </c>
      <c r="I5059" s="1">
        <v>0.20707400000000001</v>
      </c>
    </row>
    <row r="5060" spans="1:9" x14ac:dyDescent="0.25">
      <c r="A5060" s="1">
        <v>2320130689</v>
      </c>
      <c r="B5060" s="1" t="s">
        <v>3091</v>
      </c>
      <c r="C5060" s="1" t="s">
        <v>1698</v>
      </c>
      <c r="D5060" s="1" t="s">
        <v>1699</v>
      </c>
      <c r="E5060" s="3">
        <v>5865</v>
      </c>
      <c r="F5060" s="1" t="s">
        <v>36</v>
      </c>
      <c r="G5060" s="1">
        <v>0</v>
      </c>
      <c r="H5060" s="1">
        <v>0</v>
      </c>
      <c r="I5060" s="1">
        <v>0.184645</v>
      </c>
    </row>
    <row r="5061" spans="1:9" x14ac:dyDescent="0.25">
      <c r="A5061" s="1">
        <v>2320130690</v>
      </c>
      <c r="B5061" s="1" t="s">
        <v>3092</v>
      </c>
      <c r="C5061" s="1" t="s">
        <v>130</v>
      </c>
      <c r="D5061" s="1" t="s">
        <v>131</v>
      </c>
      <c r="E5061" s="3">
        <v>149000</v>
      </c>
      <c r="F5061" s="1" t="s">
        <v>36</v>
      </c>
      <c r="G5061" s="1">
        <v>0</v>
      </c>
      <c r="H5061" s="3">
        <v>72000</v>
      </c>
      <c r="I5061" s="1">
        <v>0.91422300000000001</v>
      </c>
    </row>
    <row r="5062" spans="1:9" x14ac:dyDescent="0.25">
      <c r="A5062" s="1">
        <v>2320130691</v>
      </c>
      <c r="B5062" s="1" t="s">
        <v>3093</v>
      </c>
      <c r="C5062" s="1" t="s">
        <v>130</v>
      </c>
      <c r="D5062" s="1" t="s">
        <v>131</v>
      </c>
      <c r="E5062" s="3">
        <v>28000</v>
      </c>
      <c r="F5062" s="1" t="s">
        <v>36</v>
      </c>
      <c r="G5062" s="1">
        <v>0</v>
      </c>
      <c r="H5062" s="3">
        <v>49200</v>
      </c>
      <c r="I5062" s="1">
        <v>0.91175499999999998</v>
      </c>
    </row>
    <row r="5063" spans="1:9" x14ac:dyDescent="0.25">
      <c r="A5063" s="1">
        <v>2320130691</v>
      </c>
      <c r="B5063" s="1" t="s">
        <v>3093</v>
      </c>
      <c r="C5063" s="1" t="s">
        <v>1698</v>
      </c>
      <c r="D5063" s="1" t="s">
        <v>1699</v>
      </c>
      <c r="E5063" s="1">
        <v>625</v>
      </c>
      <c r="F5063" s="1" t="s">
        <v>36</v>
      </c>
      <c r="G5063" s="1">
        <v>0</v>
      </c>
      <c r="H5063" s="1">
        <v>0</v>
      </c>
      <c r="I5063" s="1">
        <v>0.91176000000000001</v>
      </c>
    </row>
    <row r="5064" spans="1:9" x14ac:dyDescent="0.25">
      <c r="A5064" s="1">
        <v>2320130692</v>
      </c>
      <c r="B5064" s="1" t="s">
        <v>3094</v>
      </c>
      <c r="C5064" s="1" t="s">
        <v>130</v>
      </c>
      <c r="D5064" s="1" t="s">
        <v>131</v>
      </c>
      <c r="E5064" s="3">
        <v>3840</v>
      </c>
      <c r="F5064" s="1" t="s">
        <v>36</v>
      </c>
      <c r="G5064" s="1">
        <v>0</v>
      </c>
      <c r="H5064" s="1">
        <v>0</v>
      </c>
      <c r="I5064" s="1">
        <v>0.90745799999999999</v>
      </c>
    </row>
    <row r="5065" spans="1:9" x14ac:dyDescent="0.25">
      <c r="A5065" s="1">
        <v>2320130692</v>
      </c>
      <c r="B5065" s="1" t="s">
        <v>3094</v>
      </c>
      <c r="C5065" s="1" t="s">
        <v>1698</v>
      </c>
      <c r="D5065" s="1" t="s">
        <v>1699</v>
      </c>
      <c r="E5065" s="3">
        <v>12479</v>
      </c>
      <c r="F5065" s="1" t="s">
        <v>36</v>
      </c>
      <c r="G5065" s="1">
        <v>0</v>
      </c>
      <c r="H5065" s="1">
        <v>0</v>
      </c>
      <c r="I5065" s="1">
        <v>0.90745600000000004</v>
      </c>
    </row>
    <row r="5066" spans="1:9" x14ac:dyDescent="0.25">
      <c r="A5066" s="1">
        <v>2320130693</v>
      </c>
      <c r="B5066" s="1" t="s">
        <v>3095</v>
      </c>
      <c r="C5066" s="1" t="s">
        <v>130</v>
      </c>
      <c r="D5066" s="1" t="s">
        <v>131</v>
      </c>
      <c r="E5066" s="3">
        <v>78000</v>
      </c>
      <c r="F5066" s="1" t="s">
        <v>36</v>
      </c>
      <c r="G5066" s="1">
        <v>0</v>
      </c>
      <c r="H5066" s="1">
        <v>0</v>
      </c>
      <c r="I5066" s="1">
        <v>0.75717800000000002</v>
      </c>
    </row>
    <row r="5067" spans="1:9" x14ac:dyDescent="0.25">
      <c r="A5067" s="1">
        <v>2320130694</v>
      </c>
      <c r="B5067" s="1" t="s">
        <v>3096</v>
      </c>
      <c r="C5067" s="1" t="s">
        <v>130</v>
      </c>
      <c r="D5067" s="1" t="s">
        <v>131</v>
      </c>
      <c r="E5067" s="3">
        <v>7700</v>
      </c>
      <c r="F5067" s="1" t="s">
        <v>36</v>
      </c>
      <c r="G5067" s="1">
        <v>0</v>
      </c>
      <c r="H5067" s="1">
        <v>0</v>
      </c>
      <c r="I5067" s="1">
        <v>0.335781</v>
      </c>
    </row>
    <row r="5068" spans="1:9" x14ac:dyDescent="0.25">
      <c r="A5068" s="1">
        <v>2320130695</v>
      </c>
      <c r="B5068" s="1" t="s">
        <v>3097</v>
      </c>
      <c r="C5068" s="1" t="s">
        <v>130</v>
      </c>
      <c r="D5068" s="1" t="s">
        <v>131</v>
      </c>
      <c r="E5068" s="3">
        <v>4500</v>
      </c>
      <c r="F5068" s="1" t="s">
        <v>36</v>
      </c>
      <c r="G5068" s="1">
        <v>0</v>
      </c>
      <c r="H5068" s="1">
        <v>900</v>
      </c>
      <c r="I5068" s="1">
        <v>0.33962199999999998</v>
      </c>
    </row>
    <row r="5069" spans="1:9" x14ac:dyDescent="0.25">
      <c r="A5069" s="1">
        <v>2320130696</v>
      </c>
      <c r="B5069" s="1" t="s">
        <v>3098</v>
      </c>
      <c r="C5069" s="1" t="s">
        <v>130</v>
      </c>
      <c r="D5069" s="1" t="s">
        <v>131</v>
      </c>
      <c r="E5069" s="3">
        <v>2982</v>
      </c>
      <c r="F5069" s="1" t="s">
        <v>36</v>
      </c>
      <c r="G5069" s="1">
        <v>0</v>
      </c>
      <c r="H5069" s="1">
        <v>0</v>
      </c>
      <c r="I5069" s="1">
        <v>0.33962100000000001</v>
      </c>
    </row>
    <row r="5070" spans="1:9" x14ac:dyDescent="0.25">
      <c r="A5070" s="1">
        <v>2320130697</v>
      </c>
      <c r="B5070" s="1" t="s">
        <v>3099</v>
      </c>
      <c r="C5070" s="1" t="s">
        <v>130</v>
      </c>
      <c r="D5070" s="1" t="s">
        <v>131</v>
      </c>
      <c r="E5070" s="3">
        <v>350</v>
      </c>
      <c r="F5070" s="1" t="s">
        <v>36</v>
      </c>
      <c r="G5070" s="1">
        <v>0</v>
      </c>
      <c r="H5070" s="1">
        <v>0</v>
      </c>
      <c r="I5070" s="1">
        <v>0.33962900000000001</v>
      </c>
    </row>
    <row r="5071" spans="1:9" x14ac:dyDescent="0.25">
      <c r="A5071" s="1">
        <v>2320130698</v>
      </c>
      <c r="B5071" s="1" t="s">
        <v>3100</v>
      </c>
      <c r="C5071" s="1" t="s">
        <v>130</v>
      </c>
      <c r="D5071" s="1" t="s">
        <v>131</v>
      </c>
      <c r="E5071" s="3">
        <v>4906</v>
      </c>
      <c r="F5071" s="1" t="s">
        <v>36</v>
      </c>
      <c r="G5071" s="1">
        <v>0</v>
      </c>
      <c r="H5071" s="1">
        <v>0</v>
      </c>
      <c r="I5071" s="1">
        <v>0.33857300000000001</v>
      </c>
    </row>
    <row r="5072" spans="1:9" x14ac:dyDescent="0.25">
      <c r="A5072" s="1">
        <v>2320130699</v>
      </c>
      <c r="B5072" s="1" t="s">
        <v>3101</v>
      </c>
      <c r="C5072" s="1" t="s">
        <v>130</v>
      </c>
      <c r="D5072" s="1" t="s">
        <v>131</v>
      </c>
      <c r="E5072" s="3">
        <v>4000</v>
      </c>
      <c r="F5072" s="1" t="s">
        <v>36</v>
      </c>
      <c r="G5072" s="1">
        <v>0</v>
      </c>
      <c r="H5072" s="1">
        <v>0</v>
      </c>
      <c r="I5072" s="1">
        <v>2.2651080000000001</v>
      </c>
    </row>
    <row r="5073" spans="1:9" x14ac:dyDescent="0.25">
      <c r="A5073" s="1">
        <v>2320130700</v>
      </c>
      <c r="B5073" s="1" t="s">
        <v>3102</v>
      </c>
      <c r="C5073" s="1" t="s">
        <v>130</v>
      </c>
      <c r="D5073" s="1" t="s">
        <v>131</v>
      </c>
      <c r="E5073" s="3">
        <v>202500</v>
      </c>
      <c r="F5073" s="1" t="s">
        <v>36</v>
      </c>
      <c r="G5073" s="1">
        <v>0</v>
      </c>
      <c r="H5073" s="1">
        <v>0</v>
      </c>
      <c r="I5073" s="1">
        <v>0.49397099999999999</v>
      </c>
    </row>
    <row r="5074" spans="1:9" x14ac:dyDescent="0.25">
      <c r="A5074" s="1">
        <v>2320130700</v>
      </c>
      <c r="B5074" s="1" t="s">
        <v>3102</v>
      </c>
      <c r="C5074" s="1" t="s">
        <v>1698</v>
      </c>
      <c r="D5074" s="1" t="s">
        <v>1699</v>
      </c>
      <c r="E5074" s="3">
        <v>28974</v>
      </c>
      <c r="F5074" s="1" t="s">
        <v>36</v>
      </c>
      <c r="G5074" s="1">
        <v>0</v>
      </c>
      <c r="H5074" s="1">
        <v>0</v>
      </c>
      <c r="I5074" s="1">
        <v>0.49397099999999999</v>
      </c>
    </row>
    <row r="5075" spans="1:9" x14ac:dyDescent="0.25">
      <c r="A5075" s="1">
        <v>2320130701</v>
      </c>
      <c r="B5075" s="1" t="s">
        <v>3103</v>
      </c>
      <c r="C5075" s="1" t="s">
        <v>130</v>
      </c>
      <c r="D5075" s="1" t="s">
        <v>131</v>
      </c>
      <c r="E5075" s="3">
        <v>3460</v>
      </c>
      <c r="F5075" s="1" t="s">
        <v>36</v>
      </c>
      <c r="G5075" s="1">
        <v>0</v>
      </c>
      <c r="H5075" s="1">
        <v>0</v>
      </c>
      <c r="I5075" s="1">
        <v>0.53328299999999995</v>
      </c>
    </row>
    <row r="5076" spans="1:9" x14ac:dyDescent="0.25">
      <c r="A5076" s="1">
        <v>2320130701</v>
      </c>
      <c r="B5076" s="1" t="s">
        <v>3103</v>
      </c>
      <c r="C5076" s="1" t="s">
        <v>1698</v>
      </c>
      <c r="D5076" s="1" t="s">
        <v>1699</v>
      </c>
      <c r="E5076" s="3">
        <v>11459</v>
      </c>
      <c r="F5076" s="1" t="s">
        <v>36</v>
      </c>
      <c r="G5076" s="1">
        <v>0</v>
      </c>
      <c r="H5076" s="1">
        <v>0</v>
      </c>
      <c r="I5076" s="1">
        <v>0.53327999999999998</v>
      </c>
    </row>
    <row r="5077" spans="1:9" x14ac:dyDescent="0.25">
      <c r="A5077" s="1">
        <v>2320130702</v>
      </c>
      <c r="B5077" s="1" t="s">
        <v>3104</v>
      </c>
      <c r="C5077" s="1" t="s">
        <v>1698</v>
      </c>
      <c r="D5077" s="1" t="s">
        <v>1699</v>
      </c>
      <c r="E5077" s="3">
        <v>25766</v>
      </c>
      <c r="F5077" s="1" t="s">
        <v>36</v>
      </c>
      <c r="G5077" s="1">
        <v>0</v>
      </c>
      <c r="H5077" s="1">
        <v>0</v>
      </c>
      <c r="I5077" s="1">
        <v>0.60996700000000004</v>
      </c>
    </row>
    <row r="5078" spans="1:9" x14ac:dyDescent="0.25">
      <c r="A5078" s="1">
        <v>2320130703</v>
      </c>
      <c r="B5078" s="1" t="s">
        <v>3105</v>
      </c>
      <c r="C5078" s="1" t="s">
        <v>130</v>
      </c>
      <c r="D5078" s="1" t="s">
        <v>131</v>
      </c>
      <c r="E5078" s="3">
        <v>3182</v>
      </c>
      <c r="F5078" s="1" t="s">
        <v>36</v>
      </c>
      <c r="G5078" s="1">
        <v>0</v>
      </c>
      <c r="H5078" s="1">
        <v>0</v>
      </c>
      <c r="I5078" s="1">
        <v>0.46821800000000002</v>
      </c>
    </row>
    <row r="5079" spans="1:9" x14ac:dyDescent="0.25">
      <c r="A5079" s="1">
        <v>2320130704</v>
      </c>
      <c r="B5079" s="1" t="s">
        <v>3106</v>
      </c>
      <c r="C5079" s="1" t="s">
        <v>130</v>
      </c>
      <c r="D5079" s="1" t="s">
        <v>131</v>
      </c>
      <c r="E5079" s="3">
        <v>2180</v>
      </c>
      <c r="F5079" s="1" t="s">
        <v>36</v>
      </c>
      <c r="G5079" s="1">
        <v>0</v>
      </c>
      <c r="H5079" s="1">
        <v>0</v>
      </c>
      <c r="I5079" s="1">
        <v>0.46809200000000001</v>
      </c>
    </row>
    <row r="5080" spans="1:9" x14ac:dyDescent="0.25">
      <c r="A5080" s="1">
        <v>2320130704</v>
      </c>
      <c r="B5080" s="1" t="s">
        <v>3106</v>
      </c>
      <c r="C5080" s="1" t="s">
        <v>1698</v>
      </c>
      <c r="D5080" s="1" t="s">
        <v>1699</v>
      </c>
      <c r="E5080" s="3">
        <v>1507</v>
      </c>
      <c r="F5080" s="1" t="s">
        <v>36</v>
      </c>
      <c r="G5080" s="1">
        <v>0</v>
      </c>
      <c r="H5080" s="1">
        <v>0</v>
      </c>
      <c r="I5080" s="1">
        <v>0.46809600000000001</v>
      </c>
    </row>
    <row r="5081" spans="1:9" x14ac:dyDescent="0.25">
      <c r="A5081" s="1">
        <v>2320130705</v>
      </c>
      <c r="B5081" s="1" t="s">
        <v>3107</v>
      </c>
      <c r="C5081" s="1" t="s">
        <v>130</v>
      </c>
      <c r="D5081" s="1" t="s">
        <v>131</v>
      </c>
      <c r="E5081" s="3">
        <v>132335</v>
      </c>
      <c r="F5081" s="1" t="s">
        <v>36</v>
      </c>
      <c r="G5081" s="1">
        <v>0</v>
      </c>
      <c r="H5081" s="1">
        <v>0</v>
      </c>
      <c r="I5081" s="1">
        <v>0.48055799999999999</v>
      </c>
    </row>
    <row r="5082" spans="1:9" x14ac:dyDescent="0.25">
      <c r="A5082" s="1">
        <v>2320130705</v>
      </c>
      <c r="B5082" s="1" t="s">
        <v>3107</v>
      </c>
      <c r="C5082" s="1" t="s">
        <v>1698</v>
      </c>
      <c r="D5082" s="1" t="s">
        <v>1699</v>
      </c>
      <c r="E5082" s="3">
        <v>4560</v>
      </c>
      <c r="F5082" s="1" t="s">
        <v>36</v>
      </c>
      <c r="G5082" s="1">
        <v>0</v>
      </c>
      <c r="H5082" s="1">
        <v>0</v>
      </c>
      <c r="I5082" s="1">
        <v>0.48055700000000001</v>
      </c>
    </row>
    <row r="5083" spans="1:9" x14ac:dyDescent="0.25">
      <c r="A5083" s="1">
        <v>2320130706</v>
      </c>
      <c r="B5083" s="1" t="s">
        <v>3108</v>
      </c>
      <c r="C5083" s="1" t="s">
        <v>130</v>
      </c>
      <c r="D5083" s="1" t="s">
        <v>131</v>
      </c>
      <c r="E5083" s="3">
        <v>84355</v>
      </c>
      <c r="F5083" s="1" t="s">
        <v>36</v>
      </c>
      <c r="G5083" s="1">
        <v>0</v>
      </c>
      <c r="H5083" s="1">
        <v>0</v>
      </c>
      <c r="I5083" s="1">
        <v>0.47953800000000002</v>
      </c>
    </row>
    <row r="5084" spans="1:9" x14ac:dyDescent="0.25">
      <c r="A5084" s="1">
        <v>2320130706</v>
      </c>
      <c r="B5084" s="1" t="s">
        <v>3108</v>
      </c>
      <c r="C5084" s="1" t="s">
        <v>1698</v>
      </c>
      <c r="D5084" s="1" t="s">
        <v>1699</v>
      </c>
      <c r="E5084" s="3">
        <v>26042.9967</v>
      </c>
      <c r="F5084" s="1" t="s">
        <v>36</v>
      </c>
      <c r="G5084" s="1">
        <v>0</v>
      </c>
      <c r="H5084" s="1">
        <v>0</v>
      </c>
      <c r="I5084" s="1">
        <v>0.47953800000000002</v>
      </c>
    </row>
    <row r="5085" spans="1:9" x14ac:dyDescent="0.25">
      <c r="A5085" s="1">
        <v>2320130707</v>
      </c>
      <c r="B5085" s="1" t="s">
        <v>3109</v>
      </c>
      <c r="C5085" s="1" t="s">
        <v>130</v>
      </c>
      <c r="D5085" s="1" t="s">
        <v>131</v>
      </c>
      <c r="E5085" s="3">
        <v>2844</v>
      </c>
      <c r="F5085" s="1" t="s">
        <v>36</v>
      </c>
      <c r="G5085" s="1">
        <v>0</v>
      </c>
      <c r="H5085" s="1">
        <v>0</v>
      </c>
      <c r="I5085" s="1">
        <v>0.46809400000000001</v>
      </c>
    </row>
    <row r="5086" spans="1:9" x14ac:dyDescent="0.25">
      <c r="A5086" s="1">
        <v>2320130709</v>
      </c>
      <c r="B5086" s="1" t="s">
        <v>3110</v>
      </c>
      <c r="C5086" s="1" t="s">
        <v>130</v>
      </c>
      <c r="D5086" s="1" t="s">
        <v>131</v>
      </c>
      <c r="E5086" s="3">
        <v>3440</v>
      </c>
      <c r="F5086" s="1" t="s">
        <v>36</v>
      </c>
      <c r="G5086" s="1">
        <v>0</v>
      </c>
      <c r="H5086" s="1">
        <v>0</v>
      </c>
      <c r="I5086" s="1">
        <v>0.47799999999999998</v>
      </c>
    </row>
    <row r="5087" spans="1:9" x14ac:dyDescent="0.25">
      <c r="A5087" s="1">
        <v>2320130711</v>
      </c>
      <c r="B5087" s="1" t="s">
        <v>3111</v>
      </c>
      <c r="C5087" s="1" t="s">
        <v>130</v>
      </c>
      <c r="D5087" s="1" t="s">
        <v>131</v>
      </c>
      <c r="E5087" s="3">
        <v>3846</v>
      </c>
      <c r="F5087" s="1" t="s">
        <v>36</v>
      </c>
      <c r="G5087" s="1">
        <v>0</v>
      </c>
      <c r="H5087" s="1">
        <v>0</v>
      </c>
      <c r="I5087" s="1">
        <v>0.49041299999999999</v>
      </c>
    </row>
    <row r="5088" spans="1:9" x14ac:dyDescent="0.25">
      <c r="A5088" s="1">
        <v>2320130712</v>
      </c>
      <c r="B5088" s="1" t="s">
        <v>3112</v>
      </c>
      <c r="C5088" s="1" t="s">
        <v>130</v>
      </c>
      <c r="D5088" s="1" t="s">
        <v>131</v>
      </c>
      <c r="E5088" s="3">
        <v>7029</v>
      </c>
      <c r="F5088" s="1" t="s">
        <v>36</v>
      </c>
      <c r="G5088" s="1">
        <v>0</v>
      </c>
      <c r="H5088" s="1">
        <v>0</v>
      </c>
      <c r="I5088" s="1">
        <v>0.49867400000000001</v>
      </c>
    </row>
    <row r="5089" spans="1:9" x14ac:dyDescent="0.25">
      <c r="A5089" s="1">
        <v>2320130713</v>
      </c>
      <c r="B5089" s="1" t="s">
        <v>3113</v>
      </c>
      <c r="C5089" s="1" t="s">
        <v>130</v>
      </c>
      <c r="D5089" s="1" t="s">
        <v>131</v>
      </c>
      <c r="E5089" s="3">
        <v>6664</v>
      </c>
      <c r="F5089" s="1" t="s">
        <v>36</v>
      </c>
      <c r="G5089" s="1">
        <v>0</v>
      </c>
      <c r="H5089" s="1">
        <v>0</v>
      </c>
      <c r="I5089" s="1">
        <v>0.50549999999999995</v>
      </c>
    </row>
    <row r="5090" spans="1:9" x14ac:dyDescent="0.25">
      <c r="A5090" s="1">
        <v>2320130713</v>
      </c>
      <c r="B5090" s="1" t="s">
        <v>3113</v>
      </c>
      <c r="C5090" s="1" t="s">
        <v>1698</v>
      </c>
      <c r="D5090" s="1" t="s">
        <v>1699</v>
      </c>
      <c r="E5090" s="3">
        <v>2180</v>
      </c>
      <c r="F5090" s="1" t="s">
        <v>36</v>
      </c>
      <c r="G5090" s="1">
        <v>0</v>
      </c>
      <c r="H5090" s="1">
        <v>0</v>
      </c>
      <c r="I5090" s="1">
        <v>0.50549999999999995</v>
      </c>
    </row>
    <row r="5091" spans="1:9" x14ac:dyDescent="0.25">
      <c r="A5091" s="1">
        <v>2320130714</v>
      </c>
      <c r="B5091" s="1" t="s">
        <v>3114</v>
      </c>
      <c r="C5091" s="1" t="s">
        <v>130</v>
      </c>
      <c r="D5091" s="1" t="s">
        <v>131</v>
      </c>
      <c r="E5091" s="3">
        <v>2620</v>
      </c>
      <c r="F5091" s="1" t="s">
        <v>36</v>
      </c>
      <c r="G5091" s="1">
        <v>0</v>
      </c>
      <c r="H5091" s="1">
        <v>0</v>
      </c>
      <c r="I5091" s="1">
        <v>0.47096199999999999</v>
      </c>
    </row>
    <row r="5092" spans="1:9" x14ac:dyDescent="0.25">
      <c r="A5092" s="1">
        <v>2320130715</v>
      </c>
      <c r="B5092" s="1" t="s">
        <v>3115</v>
      </c>
      <c r="C5092" s="1" t="s">
        <v>130</v>
      </c>
      <c r="D5092" s="1" t="s">
        <v>131</v>
      </c>
      <c r="E5092" s="3">
        <v>301</v>
      </c>
      <c r="F5092" s="1" t="s">
        <v>36</v>
      </c>
      <c r="G5092" s="1">
        <v>0</v>
      </c>
      <c r="H5092" s="1">
        <v>0</v>
      </c>
      <c r="I5092" s="1">
        <v>0.13478399999999999</v>
      </c>
    </row>
    <row r="5093" spans="1:9" x14ac:dyDescent="0.25">
      <c r="A5093" s="1">
        <v>2320130717</v>
      </c>
      <c r="B5093" s="1" t="s">
        <v>3116</v>
      </c>
      <c r="C5093" s="1" t="s">
        <v>130</v>
      </c>
      <c r="D5093" s="1" t="s">
        <v>131</v>
      </c>
      <c r="E5093" s="3">
        <v>29979</v>
      </c>
      <c r="F5093" s="1" t="s">
        <v>36</v>
      </c>
      <c r="G5093" s="1">
        <v>0</v>
      </c>
      <c r="H5093" s="1">
        <v>0</v>
      </c>
      <c r="I5093" s="1">
        <v>0.14521300000000001</v>
      </c>
    </row>
    <row r="5094" spans="1:9" x14ac:dyDescent="0.25">
      <c r="A5094">
        <v>2320130720</v>
      </c>
      <c r="B5094" t="s">
        <v>3117</v>
      </c>
      <c r="C5094" t="s">
        <v>130</v>
      </c>
      <c r="D5094" t="s">
        <v>131</v>
      </c>
      <c r="E5094" s="2">
        <v>100299</v>
      </c>
      <c r="F5094" t="s">
        <v>36</v>
      </c>
      <c r="G5094">
        <v>0</v>
      </c>
      <c r="H5094" s="2">
        <v>80000</v>
      </c>
      <c r="I5094">
        <v>0.19509799999999999</v>
      </c>
    </row>
    <row r="5095" spans="1:9" x14ac:dyDescent="0.25">
      <c r="A5095" s="1">
        <v>2320130720</v>
      </c>
      <c r="B5095" s="1" t="s">
        <v>3117</v>
      </c>
      <c r="C5095" s="1" t="s">
        <v>1698</v>
      </c>
      <c r="D5095" s="1" t="s">
        <v>1699</v>
      </c>
      <c r="E5095" s="3">
        <v>8996.3834000000006</v>
      </c>
      <c r="F5095" s="1" t="s">
        <v>36</v>
      </c>
      <c r="G5095" s="1">
        <v>0</v>
      </c>
      <c r="H5095" s="3">
        <v>0</v>
      </c>
      <c r="I5095" s="1">
        <v>0.1951</v>
      </c>
    </row>
    <row r="5096" spans="1:9" x14ac:dyDescent="0.25">
      <c r="A5096" s="1">
        <v>2320130721</v>
      </c>
      <c r="B5096" s="1" t="s">
        <v>3118</v>
      </c>
      <c r="C5096" s="1" t="s">
        <v>130</v>
      </c>
      <c r="D5096" s="1" t="s">
        <v>131</v>
      </c>
      <c r="E5096" s="3">
        <v>70145</v>
      </c>
      <c r="F5096" s="1" t="s">
        <v>36</v>
      </c>
      <c r="G5096" s="1">
        <v>0</v>
      </c>
      <c r="H5096" s="1">
        <v>0</v>
      </c>
      <c r="I5096" s="1">
        <v>0.202685</v>
      </c>
    </row>
    <row r="5097" spans="1:9" x14ac:dyDescent="0.25">
      <c r="A5097" s="1">
        <v>2320130721</v>
      </c>
      <c r="B5097" s="1" t="s">
        <v>3118</v>
      </c>
      <c r="C5097" s="1" t="s">
        <v>1698</v>
      </c>
      <c r="D5097" s="1" t="s">
        <v>1699</v>
      </c>
      <c r="E5097" s="3">
        <v>42673.983500000002</v>
      </c>
      <c r="F5097" s="1" t="s">
        <v>36</v>
      </c>
      <c r="G5097" s="1">
        <v>0</v>
      </c>
      <c r="H5097" s="1">
        <v>0</v>
      </c>
      <c r="I5097" s="1">
        <v>0.202685</v>
      </c>
    </row>
    <row r="5098" spans="1:9" x14ac:dyDescent="0.25">
      <c r="A5098" s="1">
        <v>2320130722</v>
      </c>
      <c r="B5098" s="1" t="s">
        <v>3119</v>
      </c>
      <c r="C5098" s="1" t="s">
        <v>130</v>
      </c>
      <c r="D5098" s="1" t="s">
        <v>131</v>
      </c>
      <c r="E5098" s="3">
        <v>10000</v>
      </c>
      <c r="F5098" s="1" t="s">
        <v>36</v>
      </c>
      <c r="G5098" s="1">
        <v>0</v>
      </c>
      <c r="H5098" s="1">
        <v>0</v>
      </c>
      <c r="I5098" s="1">
        <v>0.31299100000000002</v>
      </c>
    </row>
    <row r="5099" spans="1:9" x14ac:dyDescent="0.25">
      <c r="A5099" s="1">
        <v>2320130723</v>
      </c>
      <c r="B5099" s="1" t="s">
        <v>3120</v>
      </c>
      <c r="C5099" s="1" t="s">
        <v>130</v>
      </c>
      <c r="D5099" s="1" t="s">
        <v>131</v>
      </c>
      <c r="E5099" s="3">
        <v>11000</v>
      </c>
      <c r="F5099" s="1" t="s">
        <v>36</v>
      </c>
      <c r="G5099" s="1">
        <v>0</v>
      </c>
      <c r="H5099" s="1">
        <v>0</v>
      </c>
      <c r="I5099" s="1">
        <v>0.177671</v>
      </c>
    </row>
    <row r="5100" spans="1:9" x14ac:dyDescent="0.25">
      <c r="A5100" s="1">
        <v>2320130723</v>
      </c>
      <c r="B5100" s="1" t="s">
        <v>3120</v>
      </c>
      <c r="C5100" s="1" t="s">
        <v>1698</v>
      </c>
      <c r="D5100" s="1" t="s">
        <v>1699</v>
      </c>
      <c r="E5100" s="3">
        <v>2450</v>
      </c>
      <c r="F5100" s="1" t="s">
        <v>36</v>
      </c>
      <c r="G5100" s="1">
        <v>0</v>
      </c>
      <c r="H5100" s="1">
        <v>0</v>
      </c>
      <c r="I5100" s="1">
        <v>0.17766899999999999</v>
      </c>
    </row>
    <row r="5101" spans="1:9" x14ac:dyDescent="0.25">
      <c r="A5101" s="1">
        <v>2320130733</v>
      </c>
      <c r="B5101" s="1" t="s">
        <v>3121</v>
      </c>
      <c r="C5101" s="1" t="s">
        <v>130</v>
      </c>
      <c r="D5101" s="1" t="s">
        <v>131</v>
      </c>
      <c r="E5101" s="3">
        <v>28400</v>
      </c>
      <c r="F5101" s="1" t="s">
        <v>36</v>
      </c>
      <c r="G5101" s="1">
        <v>0</v>
      </c>
      <c r="H5101" s="1">
        <v>0</v>
      </c>
      <c r="I5101" s="1">
        <v>0.87687000000000004</v>
      </c>
    </row>
    <row r="5102" spans="1:9" x14ac:dyDescent="0.25">
      <c r="A5102" s="1">
        <v>2320130733</v>
      </c>
      <c r="B5102" s="1" t="s">
        <v>3121</v>
      </c>
      <c r="C5102" s="1" t="s">
        <v>1698</v>
      </c>
      <c r="D5102" s="1" t="s">
        <v>1699</v>
      </c>
      <c r="E5102" s="3">
        <v>11507.0033</v>
      </c>
      <c r="F5102" s="1" t="s">
        <v>36</v>
      </c>
      <c r="G5102" s="1">
        <v>0</v>
      </c>
      <c r="H5102" s="1">
        <v>0</v>
      </c>
      <c r="I5102" s="1">
        <v>0.87687000000000004</v>
      </c>
    </row>
    <row r="5103" spans="1:9" x14ac:dyDescent="0.25">
      <c r="A5103" s="1">
        <v>2320130734</v>
      </c>
      <c r="B5103" s="1" t="s">
        <v>3122</v>
      </c>
      <c r="C5103" s="1" t="s">
        <v>130</v>
      </c>
      <c r="D5103" s="1" t="s">
        <v>131</v>
      </c>
      <c r="E5103" s="3">
        <v>38900</v>
      </c>
      <c r="F5103" s="1" t="s">
        <v>36</v>
      </c>
      <c r="G5103" s="1">
        <v>0</v>
      </c>
      <c r="H5103" s="1">
        <v>0</v>
      </c>
      <c r="I5103" s="1">
        <v>0.75598600000000005</v>
      </c>
    </row>
    <row r="5104" spans="1:9" x14ac:dyDescent="0.25">
      <c r="A5104" s="1">
        <v>2320130734</v>
      </c>
      <c r="B5104" s="1" t="s">
        <v>3122</v>
      </c>
      <c r="C5104" s="1" t="s">
        <v>1698</v>
      </c>
      <c r="D5104" s="1" t="s">
        <v>1699</v>
      </c>
      <c r="E5104" s="3">
        <v>2705.0034000000001</v>
      </c>
      <c r="F5104" s="1" t="s">
        <v>36</v>
      </c>
      <c r="G5104" s="1">
        <v>0</v>
      </c>
      <c r="H5104" s="1">
        <v>0</v>
      </c>
      <c r="I5104" s="1">
        <v>0.75598399999999999</v>
      </c>
    </row>
    <row r="5105" spans="1:9" x14ac:dyDescent="0.25">
      <c r="A5105">
        <v>2320130735</v>
      </c>
      <c r="B5105" t="s">
        <v>3123</v>
      </c>
      <c r="C5105" t="s">
        <v>130</v>
      </c>
      <c r="D5105" t="s">
        <v>131</v>
      </c>
      <c r="E5105" s="2">
        <v>0</v>
      </c>
      <c r="F5105" t="s">
        <v>36</v>
      </c>
      <c r="G5105">
        <v>0</v>
      </c>
      <c r="H5105" s="2">
        <v>60600</v>
      </c>
      <c r="I5105">
        <v>0.758046</v>
      </c>
    </row>
    <row r="5106" spans="1:9" x14ac:dyDescent="0.25">
      <c r="A5106" s="1">
        <v>2320130735</v>
      </c>
      <c r="B5106" s="1" t="s">
        <v>3123</v>
      </c>
      <c r="C5106" s="1" t="s">
        <v>126</v>
      </c>
      <c r="D5106" s="1" t="s">
        <v>127</v>
      </c>
      <c r="E5106" s="3">
        <v>4800</v>
      </c>
      <c r="F5106" s="1" t="s">
        <v>36</v>
      </c>
      <c r="G5106" s="1">
        <v>0</v>
      </c>
      <c r="H5106" s="1">
        <v>0</v>
      </c>
      <c r="I5106" s="3">
        <v>0.82234399999999996</v>
      </c>
    </row>
    <row r="5107" spans="1:9" x14ac:dyDescent="0.25">
      <c r="A5107" s="1">
        <v>2320130735</v>
      </c>
      <c r="B5107" s="1" t="s">
        <v>3123</v>
      </c>
      <c r="C5107" s="1" t="s">
        <v>1698</v>
      </c>
      <c r="D5107" s="1" t="s">
        <v>1699</v>
      </c>
      <c r="E5107" s="3">
        <v>6331.33</v>
      </c>
      <c r="F5107" s="1" t="s">
        <v>36</v>
      </c>
      <c r="G5107" s="1">
        <v>0</v>
      </c>
      <c r="H5107" s="1">
        <v>0</v>
      </c>
      <c r="I5107" s="3">
        <v>0.758046</v>
      </c>
    </row>
    <row r="5108" spans="1:9" x14ac:dyDescent="0.25">
      <c r="A5108">
        <v>2320130736</v>
      </c>
      <c r="B5108" t="s">
        <v>3124</v>
      </c>
      <c r="C5108" t="s">
        <v>130</v>
      </c>
      <c r="D5108" t="s">
        <v>131</v>
      </c>
      <c r="E5108" s="2">
        <v>12899</v>
      </c>
      <c r="F5108" t="s">
        <v>3125</v>
      </c>
      <c r="G5108">
        <v>0</v>
      </c>
      <c r="H5108">
        <v>0</v>
      </c>
      <c r="I5108">
        <v>0.46809299999999998</v>
      </c>
    </row>
    <row r="5109" spans="1:9" x14ac:dyDescent="0.25">
      <c r="A5109">
        <v>2320130737</v>
      </c>
      <c r="B5109" t="s">
        <v>3126</v>
      </c>
      <c r="C5109" t="s">
        <v>1698</v>
      </c>
      <c r="D5109" t="s">
        <v>1699</v>
      </c>
      <c r="E5109" s="2">
        <v>1406.67</v>
      </c>
      <c r="F5109" t="s">
        <v>36</v>
      </c>
      <c r="G5109" s="2">
        <v>0</v>
      </c>
      <c r="H5109">
        <v>0</v>
      </c>
      <c r="I5109">
        <v>0.317274</v>
      </c>
    </row>
    <row r="5110" spans="1:9" x14ac:dyDescent="0.25">
      <c r="A5110">
        <v>2320130738</v>
      </c>
      <c r="B5110" t="s">
        <v>3127</v>
      </c>
      <c r="C5110" t="s">
        <v>130</v>
      </c>
      <c r="D5110" t="s">
        <v>131</v>
      </c>
      <c r="E5110" s="2">
        <v>18000</v>
      </c>
      <c r="F5110" t="s">
        <v>36</v>
      </c>
      <c r="G5110">
        <v>0</v>
      </c>
      <c r="H5110">
        <v>0</v>
      </c>
      <c r="I5110">
        <v>1.3594E-2</v>
      </c>
    </row>
    <row r="5111" spans="1:9" x14ac:dyDescent="0.25">
      <c r="A5111">
        <v>2320130738</v>
      </c>
      <c r="B5111" t="s">
        <v>3127</v>
      </c>
      <c r="C5111" t="s">
        <v>1698</v>
      </c>
      <c r="D5111" t="s">
        <v>1699</v>
      </c>
      <c r="E5111" s="2">
        <v>12750</v>
      </c>
      <c r="F5111" t="s">
        <v>36</v>
      </c>
      <c r="G5111" s="2">
        <v>0</v>
      </c>
      <c r="H5111" s="2">
        <v>0</v>
      </c>
      <c r="I5111">
        <v>1.3594999999999999E-2</v>
      </c>
    </row>
    <row r="5112" spans="1:9" x14ac:dyDescent="0.25">
      <c r="A5112">
        <v>2320130739</v>
      </c>
      <c r="B5112" t="s">
        <v>3128</v>
      </c>
      <c r="C5112" t="s">
        <v>142</v>
      </c>
      <c r="D5112" t="s">
        <v>143</v>
      </c>
      <c r="E5112" s="2">
        <v>2513</v>
      </c>
      <c r="F5112" t="s">
        <v>36</v>
      </c>
      <c r="G5112" s="2">
        <v>0</v>
      </c>
      <c r="H5112" s="2">
        <v>0</v>
      </c>
      <c r="I5112">
        <v>6.7530000000000003E-3</v>
      </c>
    </row>
    <row r="5113" spans="1:9" x14ac:dyDescent="0.25">
      <c r="A5113">
        <v>2320130740</v>
      </c>
      <c r="B5113" t="s">
        <v>3129</v>
      </c>
      <c r="C5113" t="s">
        <v>1698</v>
      </c>
      <c r="D5113" t="s">
        <v>1699</v>
      </c>
      <c r="E5113" s="2">
        <v>2233.3332999999998</v>
      </c>
      <c r="F5113" t="s">
        <v>36</v>
      </c>
      <c r="G5113">
        <v>0</v>
      </c>
      <c r="H5113" s="2">
        <v>0</v>
      </c>
      <c r="I5113">
        <v>0.22210299999999999</v>
      </c>
    </row>
    <row r="5114" spans="1:9" x14ac:dyDescent="0.25">
      <c r="A5114">
        <v>2320140017</v>
      </c>
      <c r="B5114" t="s">
        <v>3130</v>
      </c>
      <c r="C5114" t="s">
        <v>130</v>
      </c>
      <c r="D5114" t="s">
        <v>131</v>
      </c>
      <c r="E5114" s="2">
        <v>3880</v>
      </c>
      <c r="F5114" t="s">
        <v>36</v>
      </c>
      <c r="G5114" s="2">
        <v>0</v>
      </c>
      <c r="H5114">
        <v>0</v>
      </c>
      <c r="I5114">
        <v>0.57882199999999995</v>
      </c>
    </row>
    <row r="5115" spans="1:9" x14ac:dyDescent="0.25">
      <c r="A5115">
        <v>2320160025</v>
      </c>
      <c r="B5115" t="s">
        <v>3131</v>
      </c>
      <c r="C5115" t="s">
        <v>167</v>
      </c>
      <c r="D5115" t="s">
        <v>168</v>
      </c>
      <c r="E5115" s="2">
        <v>395</v>
      </c>
      <c r="F5115" t="s">
        <v>36</v>
      </c>
      <c r="G5115" s="2">
        <v>0</v>
      </c>
      <c r="H5115">
        <v>0</v>
      </c>
      <c r="I5115">
        <v>2.0301010000000002</v>
      </c>
    </row>
    <row r="5116" spans="1:9" x14ac:dyDescent="0.25">
      <c r="A5116">
        <v>2320160036</v>
      </c>
      <c r="B5116" t="s">
        <v>3132</v>
      </c>
      <c r="C5116" t="s">
        <v>167</v>
      </c>
      <c r="D5116" t="s">
        <v>168</v>
      </c>
      <c r="E5116" s="2">
        <v>435</v>
      </c>
      <c r="F5116" t="s">
        <v>36</v>
      </c>
      <c r="G5116">
        <v>0</v>
      </c>
      <c r="H5116" s="2">
        <v>0</v>
      </c>
      <c r="I5116">
        <v>27.133126000000001</v>
      </c>
    </row>
    <row r="5117" spans="1:9" x14ac:dyDescent="0.25">
      <c r="A5117">
        <v>2320180001</v>
      </c>
      <c r="B5117" t="s">
        <v>3133</v>
      </c>
      <c r="C5117" t="s">
        <v>167</v>
      </c>
      <c r="D5117" t="s">
        <v>168</v>
      </c>
      <c r="E5117" s="2">
        <v>900</v>
      </c>
      <c r="F5117" t="s">
        <v>36</v>
      </c>
      <c r="G5117">
        <v>0</v>
      </c>
      <c r="H5117" s="2">
        <v>0</v>
      </c>
      <c r="I5117">
        <v>1.271433</v>
      </c>
    </row>
    <row r="5118" spans="1:9" x14ac:dyDescent="0.25">
      <c r="A5118">
        <v>2320200014</v>
      </c>
      <c r="B5118" t="s">
        <v>3134</v>
      </c>
      <c r="C5118" t="s">
        <v>130</v>
      </c>
      <c r="D5118" t="s">
        <v>131</v>
      </c>
      <c r="E5118" s="2">
        <v>2800</v>
      </c>
      <c r="F5118" t="s">
        <v>36</v>
      </c>
      <c r="G5118">
        <v>100</v>
      </c>
      <c r="H5118" s="2">
        <v>0</v>
      </c>
      <c r="I5118">
        <v>0.58638900000000005</v>
      </c>
    </row>
    <row r="5119" spans="1:9" x14ac:dyDescent="0.25">
      <c r="A5119">
        <v>2320200014</v>
      </c>
      <c r="B5119" t="s">
        <v>3134</v>
      </c>
      <c r="C5119" t="s">
        <v>2752</v>
      </c>
      <c r="D5119" t="s">
        <v>2753</v>
      </c>
      <c r="E5119" s="2">
        <v>2000</v>
      </c>
      <c r="F5119" t="s">
        <v>36</v>
      </c>
      <c r="G5119" s="2">
        <v>0</v>
      </c>
      <c r="H5119">
        <v>0</v>
      </c>
      <c r="I5119">
        <v>0.58638999999999997</v>
      </c>
    </row>
    <row r="5120" spans="1:9" x14ac:dyDescent="0.25">
      <c r="A5120">
        <v>2320200014</v>
      </c>
      <c r="B5120" t="s">
        <v>3134</v>
      </c>
      <c r="C5120" t="s">
        <v>167</v>
      </c>
      <c r="D5120" t="s">
        <v>168</v>
      </c>
      <c r="E5120" s="2">
        <v>1700</v>
      </c>
      <c r="F5120" t="s">
        <v>36</v>
      </c>
      <c r="G5120" s="2">
        <v>0</v>
      </c>
      <c r="H5120">
        <v>0</v>
      </c>
      <c r="I5120">
        <v>0.58638800000000002</v>
      </c>
    </row>
    <row r="5121" spans="1:9" x14ac:dyDescent="0.25">
      <c r="A5121" s="1">
        <v>2320200014</v>
      </c>
      <c r="B5121" s="1" t="s">
        <v>3134</v>
      </c>
      <c r="C5121" s="1" t="s">
        <v>137</v>
      </c>
      <c r="D5121" s="1" t="s">
        <v>138</v>
      </c>
      <c r="E5121" s="3">
        <v>0</v>
      </c>
      <c r="F5121" s="1" t="s">
        <v>36</v>
      </c>
      <c r="G5121" s="1">
        <v>0</v>
      </c>
      <c r="H5121" s="1">
        <v>100</v>
      </c>
      <c r="I5121" s="1">
        <v>0.58638599999999996</v>
      </c>
    </row>
    <row r="5122" spans="1:9" x14ac:dyDescent="0.25">
      <c r="A5122" s="1">
        <v>2320210008</v>
      </c>
      <c r="B5122" s="1" t="s">
        <v>3135</v>
      </c>
      <c r="C5122" s="1" t="s">
        <v>167</v>
      </c>
      <c r="D5122" s="1" t="s">
        <v>168</v>
      </c>
      <c r="E5122" s="3">
        <v>4080</v>
      </c>
      <c r="F5122" s="1" t="s">
        <v>36</v>
      </c>
      <c r="G5122" s="1">
        <v>0</v>
      </c>
      <c r="H5122" s="1">
        <v>0</v>
      </c>
      <c r="I5122" s="1">
        <v>0.120936</v>
      </c>
    </row>
    <row r="5123" spans="1:9" x14ac:dyDescent="0.25">
      <c r="A5123" s="1">
        <v>2320210032</v>
      </c>
      <c r="B5123" s="1" t="s">
        <v>3136</v>
      </c>
      <c r="C5123" s="1" t="s">
        <v>523</v>
      </c>
      <c r="D5123" s="1" t="s">
        <v>524</v>
      </c>
      <c r="E5123" s="3">
        <v>3400</v>
      </c>
      <c r="F5123" s="1" t="s">
        <v>36</v>
      </c>
      <c r="G5123" s="1">
        <v>0</v>
      </c>
      <c r="H5123" s="1">
        <v>0</v>
      </c>
      <c r="I5123" s="1">
        <v>0.43267899999999998</v>
      </c>
    </row>
    <row r="5124" spans="1:9" x14ac:dyDescent="0.25">
      <c r="A5124" s="1">
        <v>2320250038</v>
      </c>
      <c r="B5124" s="1" t="s">
        <v>3137</v>
      </c>
      <c r="C5124" s="1" t="s">
        <v>167</v>
      </c>
      <c r="D5124" s="1" t="s">
        <v>168</v>
      </c>
      <c r="E5124" s="3">
        <v>72886</v>
      </c>
      <c r="F5124" s="1" t="s">
        <v>36</v>
      </c>
      <c r="G5124" s="3">
        <v>0</v>
      </c>
      <c r="H5124" s="1">
        <v>0</v>
      </c>
      <c r="I5124" s="1">
        <v>0.110722</v>
      </c>
    </row>
    <row r="5125" spans="1:9" x14ac:dyDescent="0.25">
      <c r="A5125" s="1">
        <v>2320250044</v>
      </c>
      <c r="B5125" s="1" t="s">
        <v>3138</v>
      </c>
      <c r="C5125" s="1" t="s">
        <v>130</v>
      </c>
      <c r="D5125" s="1" t="s">
        <v>131</v>
      </c>
      <c r="E5125" s="3">
        <v>78110</v>
      </c>
      <c r="F5125" s="1" t="s">
        <v>36</v>
      </c>
      <c r="G5125" s="1">
        <v>0</v>
      </c>
      <c r="H5125" s="3">
        <v>0</v>
      </c>
      <c r="I5125" s="1">
        <v>3.0034000000000002E-2</v>
      </c>
    </row>
    <row r="5126" spans="1:9" x14ac:dyDescent="0.25">
      <c r="A5126" s="1">
        <v>2320250050</v>
      </c>
      <c r="B5126" s="1" t="s">
        <v>3139</v>
      </c>
      <c r="C5126" s="1" t="s">
        <v>2752</v>
      </c>
      <c r="D5126" s="1" t="s">
        <v>2753</v>
      </c>
      <c r="E5126" s="3">
        <v>100</v>
      </c>
      <c r="F5126" s="1" t="s">
        <v>36</v>
      </c>
      <c r="G5126" s="1">
        <v>0</v>
      </c>
      <c r="H5126" s="1">
        <v>0</v>
      </c>
      <c r="I5126" s="1">
        <v>9.0997000000000003</v>
      </c>
    </row>
    <row r="5127" spans="1:9" x14ac:dyDescent="0.25">
      <c r="A5127" s="1">
        <v>2320260005</v>
      </c>
      <c r="B5127" s="1" t="s">
        <v>3140</v>
      </c>
      <c r="C5127" s="1" t="s">
        <v>167</v>
      </c>
      <c r="D5127" s="1" t="s">
        <v>168</v>
      </c>
      <c r="E5127" s="3">
        <v>13204</v>
      </c>
      <c r="F5127" s="1" t="s">
        <v>36</v>
      </c>
      <c r="G5127" s="1">
        <v>0</v>
      </c>
      <c r="H5127" s="1">
        <v>0</v>
      </c>
      <c r="I5127" s="1">
        <v>0.10324899999999999</v>
      </c>
    </row>
    <row r="5128" spans="1:9" x14ac:dyDescent="0.25">
      <c r="A5128">
        <v>2320280019</v>
      </c>
      <c r="B5128" t="s">
        <v>3141</v>
      </c>
      <c r="C5128" t="s">
        <v>130</v>
      </c>
      <c r="D5128" t="s">
        <v>131</v>
      </c>
      <c r="E5128" s="2">
        <v>350</v>
      </c>
      <c r="F5128" t="s">
        <v>36</v>
      </c>
      <c r="G5128">
        <v>0</v>
      </c>
      <c r="H5128" s="2">
        <v>0</v>
      </c>
      <c r="I5128">
        <v>2.9893999999999998</v>
      </c>
    </row>
    <row r="5129" spans="1:9" x14ac:dyDescent="0.25">
      <c r="A5129">
        <v>2320290001</v>
      </c>
      <c r="B5129" t="s">
        <v>3142</v>
      </c>
      <c r="C5129" t="s">
        <v>167</v>
      </c>
      <c r="D5129" t="s">
        <v>168</v>
      </c>
      <c r="E5129" s="2">
        <v>803</v>
      </c>
      <c r="F5129" t="s">
        <v>36</v>
      </c>
      <c r="G5129" s="2">
        <v>0</v>
      </c>
      <c r="H5129">
        <v>0</v>
      </c>
      <c r="I5129">
        <v>3.7280069999999998</v>
      </c>
    </row>
    <row r="5130" spans="1:9" x14ac:dyDescent="0.25">
      <c r="A5130" s="1">
        <v>2320290008</v>
      </c>
      <c r="B5130" s="1" t="s">
        <v>3143</v>
      </c>
      <c r="C5130" s="1" t="s">
        <v>167</v>
      </c>
      <c r="D5130" s="1" t="s">
        <v>168</v>
      </c>
      <c r="E5130" s="3">
        <v>273</v>
      </c>
      <c r="F5130" s="1" t="s">
        <v>36</v>
      </c>
      <c r="G5130" s="1">
        <v>0</v>
      </c>
      <c r="H5130" s="1">
        <v>0</v>
      </c>
      <c r="I5130" s="1">
        <v>0.25923099999999999</v>
      </c>
    </row>
    <row r="5131" spans="1:9" x14ac:dyDescent="0.25">
      <c r="A5131" s="1">
        <v>2320290012</v>
      </c>
      <c r="B5131" s="1" t="s">
        <v>3144</v>
      </c>
      <c r="C5131" s="1" t="s">
        <v>167</v>
      </c>
      <c r="D5131" s="1" t="s">
        <v>168</v>
      </c>
      <c r="E5131" s="3">
        <v>0</v>
      </c>
      <c r="F5131" s="1" t="s">
        <v>36</v>
      </c>
      <c r="G5131" s="1">
        <v>100</v>
      </c>
      <c r="H5131" s="1">
        <v>0</v>
      </c>
      <c r="I5131" s="1">
        <v>0</v>
      </c>
    </row>
    <row r="5132" spans="1:9" x14ac:dyDescent="0.25">
      <c r="A5132" s="1">
        <v>2320290012</v>
      </c>
      <c r="B5132" s="1" t="s">
        <v>3144</v>
      </c>
      <c r="C5132" s="1" t="s">
        <v>137</v>
      </c>
      <c r="D5132" s="1" t="s">
        <v>138</v>
      </c>
      <c r="E5132" s="3">
        <v>0</v>
      </c>
      <c r="F5132" s="1" t="s">
        <v>36</v>
      </c>
      <c r="G5132" s="1">
        <v>0</v>
      </c>
      <c r="H5132" s="1">
        <v>100</v>
      </c>
      <c r="I5132" s="1">
        <v>0</v>
      </c>
    </row>
    <row r="5133" spans="1:9" x14ac:dyDescent="0.25">
      <c r="A5133" s="1">
        <v>2320310001</v>
      </c>
      <c r="B5133" s="1" t="s">
        <v>3145</v>
      </c>
      <c r="C5133" s="1" t="s">
        <v>167</v>
      </c>
      <c r="D5133" s="1" t="s">
        <v>168</v>
      </c>
      <c r="E5133" s="3">
        <v>1950</v>
      </c>
      <c r="F5133" s="1" t="s">
        <v>36</v>
      </c>
      <c r="G5133" s="1">
        <v>0</v>
      </c>
      <c r="H5133" s="1">
        <v>0</v>
      </c>
      <c r="I5133" s="1">
        <v>0.23400000000000001</v>
      </c>
    </row>
    <row r="5134" spans="1:9" x14ac:dyDescent="0.25">
      <c r="A5134" s="1">
        <v>2320310006</v>
      </c>
      <c r="B5134" s="1" t="s">
        <v>3146</v>
      </c>
      <c r="C5134" s="1" t="s">
        <v>167</v>
      </c>
      <c r="D5134" s="1" t="s">
        <v>168</v>
      </c>
      <c r="E5134" s="3">
        <v>14800</v>
      </c>
      <c r="F5134" s="1" t="s">
        <v>36</v>
      </c>
      <c r="G5134" s="1">
        <v>0</v>
      </c>
      <c r="H5134" s="1">
        <v>0</v>
      </c>
      <c r="I5134" s="1">
        <v>0.14061599999999999</v>
      </c>
    </row>
    <row r="5135" spans="1:9" x14ac:dyDescent="0.25">
      <c r="A5135" s="1">
        <v>2320310008</v>
      </c>
      <c r="B5135" s="1" t="s">
        <v>3147</v>
      </c>
      <c r="C5135" s="1" t="s">
        <v>167</v>
      </c>
      <c r="D5135" s="1" t="s">
        <v>168</v>
      </c>
      <c r="E5135" s="3">
        <v>80500</v>
      </c>
      <c r="F5135" s="1" t="s">
        <v>36</v>
      </c>
      <c r="G5135" s="1">
        <v>0</v>
      </c>
      <c r="H5135" s="1">
        <v>0</v>
      </c>
      <c r="I5135" s="1">
        <v>7.9618999999999995E-2</v>
      </c>
    </row>
    <row r="5136" spans="1:9" x14ac:dyDescent="0.25">
      <c r="A5136" s="1">
        <v>2320310009</v>
      </c>
      <c r="B5136" s="1" t="s">
        <v>3148</v>
      </c>
      <c r="C5136" s="1" t="s">
        <v>167</v>
      </c>
      <c r="D5136" s="1" t="s">
        <v>168</v>
      </c>
      <c r="E5136" s="3">
        <v>9570</v>
      </c>
      <c r="F5136" s="1" t="s">
        <v>36</v>
      </c>
      <c r="G5136" s="1">
        <v>0</v>
      </c>
      <c r="H5136" s="1">
        <v>0</v>
      </c>
      <c r="I5136" s="1">
        <v>2.3441649999999998</v>
      </c>
    </row>
    <row r="5137" spans="1:9" x14ac:dyDescent="0.25">
      <c r="A5137" s="1">
        <v>2320310010</v>
      </c>
      <c r="B5137" s="1" t="s">
        <v>3149</v>
      </c>
      <c r="C5137" s="1" t="s">
        <v>167</v>
      </c>
      <c r="D5137" s="1" t="s">
        <v>168</v>
      </c>
      <c r="E5137" s="3">
        <v>7362</v>
      </c>
      <c r="F5137" s="1" t="s">
        <v>36</v>
      </c>
      <c r="G5137" s="1">
        <v>0</v>
      </c>
      <c r="H5137" s="1">
        <v>0</v>
      </c>
      <c r="I5137" s="1">
        <v>6.701E-2</v>
      </c>
    </row>
    <row r="5138" spans="1:9" x14ac:dyDescent="0.25">
      <c r="A5138" s="1">
        <v>2320310011</v>
      </c>
      <c r="B5138" s="1" t="s">
        <v>3150</v>
      </c>
      <c r="C5138" s="1" t="s">
        <v>167</v>
      </c>
      <c r="D5138" s="1" t="s">
        <v>168</v>
      </c>
      <c r="E5138" s="3">
        <v>5847</v>
      </c>
      <c r="F5138" s="1" t="s">
        <v>36</v>
      </c>
      <c r="G5138" s="1">
        <v>0</v>
      </c>
      <c r="H5138" s="1">
        <v>0</v>
      </c>
      <c r="I5138" s="1">
        <v>0.96597699999999997</v>
      </c>
    </row>
    <row r="5139" spans="1:9" x14ac:dyDescent="0.25">
      <c r="A5139" s="1">
        <v>2320310011</v>
      </c>
      <c r="B5139" s="1" t="s">
        <v>3150</v>
      </c>
      <c r="C5139" s="1" t="s">
        <v>137</v>
      </c>
      <c r="D5139" s="1" t="s">
        <v>138</v>
      </c>
      <c r="E5139" s="3">
        <v>200</v>
      </c>
      <c r="F5139" s="1" t="s">
        <v>36</v>
      </c>
      <c r="G5139" s="1">
        <v>0</v>
      </c>
      <c r="H5139" s="1">
        <v>0</v>
      </c>
      <c r="I5139" s="1">
        <v>0.96599999999999997</v>
      </c>
    </row>
    <row r="5140" spans="1:9" x14ac:dyDescent="0.25">
      <c r="A5140" s="1">
        <v>2320310012</v>
      </c>
      <c r="B5140" s="1" t="s">
        <v>3151</v>
      </c>
      <c r="C5140" s="1" t="s">
        <v>167</v>
      </c>
      <c r="D5140" s="1" t="s">
        <v>168</v>
      </c>
      <c r="E5140" s="3">
        <v>739</v>
      </c>
      <c r="F5140" s="1" t="s">
        <v>36</v>
      </c>
      <c r="G5140" s="1">
        <v>0</v>
      </c>
      <c r="H5140" s="1">
        <v>0</v>
      </c>
      <c r="I5140" s="1">
        <v>2.0294050000000001</v>
      </c>
    </row>
    <row r="5141" spans="1:9" x14ac:dyDescent="0.25">
      <c r="A5141" s="1">
        <v>2320310012</v>
      </c>
      <c r="B5141" s="1" t="s">
        <v>3151</v>
      </c>
      <c r="C5141" s="1" t="s">
        <v>137</v>
      </c>
      <c r="D5141" s="1" t="s">
        <v>138</v>
      </c>
      <c r="E5141" s="1">
        <v>200</v>
      </c>
      <c r="F5141" s="1" t="s">
        <v>36</v>
      </c>
      <c r="G5141" s="1">
        <v>0</v>
      </c>
      <c r="H5141" s="1">
        <v>0</v>
      </c>
      <c r="I5141" s="1">
        <v>2.0293999999999999</v>
      </c>
    </row>
    <row r="5142" spans="1:9" x14ac:dyDescent="0.25">
      <c r="A5142" s="1">
        <v>2320310013</v>
      </c>
      <c r="B5142" s="1" t="s">
        <v>3152</v>
      </c>
      <c r="C5142" s="1" t="s">
        <v>167</v>
      </c>
      <c r="D5142" s="1" t="s">
        <v>168</v>
      </c>
      <c r="E5142" s="3">
        <v>1011</v>
      </c>
      <c r="F5142" s="1" t="s">
        <v>36</v>
      </c>
      <c r="G5142" s="1">
        <v>0</v>
      </c>
      <c r="H5142" s="1">
        <v>0</v>
      </c>
      <c r="I5142" s="1">
        <v>1.1071709999999999</v>
      </c>
    </row>
    <row r="5143" spans="1:9" x14ac:dyDescent="0.25">
      <c r="A5143" s="1">
        <v>2320310016</v>
      </c>
      <c r="B5143" s="1" t="s">
        <v>3153</v>
      </c>
      <c r="C5143" s="1" t="s">
        <v>167</v>
      </c>
      <c r="D5143" s="1" t="s">
        <v>168</v>
      </c>
      <c r="E5143" s="1">
        <v>595</v>
      </c>
      <c r="F5143" s="1" t="s">
        <v>36</v>
      </c>
      <c r="G5143" s="1">
        <v>0</v>
      </c>
      <c r="H5143" s="1">
        <v>0</v>
      </c>
      <c r="I5143" s="1">
        <v>0.54196599999999995</v>
      </c>
    </row>
    <row r="5144" spans="1:9" x14ac:dyDescent="0.25">
      <c r="A5144" s="1">
        <v>2320310020</v>
      </c>
      <c r="B5144" s="1" t="s">
        <v>3154</v>
      </c>
      <c r="C5144" s="1" t="s">
        <v>130</v>
      </c>
      <c r="D5144" s="1" t="s">
        <v>131</v>
      </c>
      <c r="E5144" s="3">
        <v>1000</v>
      </c>
      <c r="F5144" s="1" t="s">
        <v>36</v>
      </c>
      <c r="G5144" s="1">
        <v>0</v>
      </c>
      <c r="H5144" s="1">
        <v>0</v>
      </c>
      <c r="I5144" s="1">
        <v>0.64671000000000001</v>
      </c>
    </row>
    <row r="5145" spans="1:9" x14ac:dyDescent="0.25">
      <c r="A5145" s="1">
        <v>2320310021</v>
      </c>
      <c r="B5145" s="1" t="s">
        <v>3155</v>
      </c>
      <c r="C5145" s="1" t="s">
        <v>167</v>
      </c>
      <c r="D5145" s="1" t="s">
        <v>168</v>
      </c>
      <c r="E5145" s="3">
        <v>8790</v>
      </c>
      <c r="F5145" s="1" t="s">
        <v>36</v>
      </c>
      <c r="G5145" s="1">
        <v>0</v>
      </c>
      <c r="H5145" s="1">
        <v>0</v>
      </c>
      <c r="I5145" s="1">
        <v>8.9327000000000004E-2</v>
      </c>
    </row>
    <row r="5146" spans="1:9" x14ac:dyDescent="0.25">
      <c r="A5146" s="1">
        <v>2320310021</v>
      </c>
      <c r="B5146" s="1" t="s">
        <v>3155</v>
      </c>
      <c r="C5146" s="1" t="s">
        <v>137</v>
      </c>
      <c r="D5146" s="1" t="s">
        <v>138</v>
      </c>
      <c r="E5146" s="3">
        <v>1800</v>
      </c>
      <c r="F5146" s="1" t="s">
        <v>36</v>
      </c>
      <c r="G5146" s="1">
        <v>0</v>
      </c>
      <c r="H5146" s="1">
        <v>0</v>
      </c>
      <c r="I5146" s="1">
        <v>8.9328000000000005E-2</v>
      </c>
    </row>
    <row r="5147" spans="1:9" x14ac:dyDescent="0.25">
      <c r="A5147">
        <v>2320330001</v>
      </c>
      <c r="B5147" t="s">
        <v>3156</v>
      </c>
      <c r="C5147" t="s">
        <v>130</v>
      </c>
      <c r="D5147" t="s">
        <v>131</v>
      </c>
      <c r="E5147" s="2">
        <v>400</v>
      </c>
      <c r="F5147" t="s">
        <v>36</v>
      </c>
      <c r="G5147">
        <v>0</v>
      </c>
      <c r="H5147">
        <v>0</v>
      </c>
      <c r="I5147">
        <v>2.376925</v>
      </c>
    </row>
    <row r="5148" spans="1:9" x14ac:dyDescent="0.25">
      <c r="A5148" s="1">
        <v>2320330001</v>
      </c>
      <c r="B5148" s="1" t="s">
        <v>3156</v>
      </c>
      <c r="C5148" s="1" t="s">
        <v>1698</v>
      </c>
      <c r="D5148" s="1" t="s">
        <v>1699</v>
      </c>
      <c r="E5148" s="3">
        <v>2200</v>
      </c>
      <c r="F5148" s="1" t="s">
        <v>36</v>
      </c>
      <c r="G5148" s="1">
        <v>0</v>
      </c>
      <c r="H5148" s="1">
        <v>0</v>
      </c>
      <c r="I5148" s="1">
        <v>2.3769269999999998</v>
      </c>
    </row>
    <row r="5149" spans="1:9" x14ac:dyDescent="0.25">
      <c r="A5149" s="1">
        <v>2320330002</v>
      </c>
      <c r="B5149" s="1" t="s">
        <v>3157</v>
      </c>
      <c r="C5149" s="1" t="s">
        <v>130</v>
      </c>
      <c r="D5149" s="1" t="s">
        <v>131</v>
      </c>
      <c r="E5149" s="3">
        <v>2300</v>
      </c>
      <c r="F5149" s="1" t="s">
        <v>36</v>
      </c>
      <c r="G5149" s="1">
        <v>0</v>
      </c>
      <c r="H5149" s="1">
        <v>0</v>
      </c>
      <c r="I5149" s="1">
        <v>2.476191</v>
      </c>
    </row>
    <row r="5150" spans="1:9" x14ac:dyDescent="0.25">
      <c r="A5150" s="1">
        <v>2320330002</v>
      </c>
      <c r="B5150" s="1" t="s">
        <v>3157</v>
      </c>
      <c r="C5150" s="1" t="s">
        <v>1698</v>
      </c>
      <c r="D5150" s="1" t="s">
        <v>1699</v>
      </c>
      <c r="E5150" s="3">
        <v>300</v>
      </c>
      <c r="F5150" s="1" t="s">
        <v>36</v>
      </c>
      <c r="G5150" s="1">
        <v>0</v>
      </c>
      <c r="H5150" s="1">
        <v>0</v>
      </c>
      <c r="I5150" s="1">
        <v>2.4762</v>
      </c>
    </row>
    <row r="5151" spans="1:9" x14ac:dyDescent="0.25">
      <c r="A5151" s="1">
        <v>2320330003</v>
      </c>
      <c r="B5151" s="1" t="s">
        <v>3158</v>
      </c>
      <c r="C5151" s="1" t="s">
        <v>130</v>
      </c>
      <c r="D5151" s="1" t="s">
        <v>131</v>
      </c>
      <c r="E5151" s="3">
        <v>1552</v>
      </c>
      <c r="F5151" s="1" t="s">
        <v>36</v>
      </c>
      <c r="G5151" s="1">
        <v>0</v>
      </c>
      <c r="H5151" s="1">
        <v>0</v>
      </c>
      <c r="I5151" s="1">
        <v>1.2264429999999999</v>
      </c>
    </row>
    <row r="5152" spans="1:9" x14ac:dyDescent="0.25">
      <c r="A5152" s="1">
        <v>2320330004</v>
      </c>
      <c r="B5152" s="1" t="s">
        <v>3159</v>
      </c>
      <c r="C5152" s="1" t="s">
        <v>130</v>
      </c>
      <c r="D5152" s="1" t="s">
        <v>131</v>
      </c>
      <c r="E5152" s="3">
        <v>1286</v>
      </c>
      <c r="F5152" s="1" t="s">
        <v>36</v>
      </c>
      <c r="G5152" s="1">
        <v>0</v>
      </c>
      <c r="H5152" s="1">
        <v>0</v>
      </c>
      <c r="I5152" s="1">
        <v>2.194051</v>
      </c>
    </row>
    <row r="5153" spans="1:9" x14ac:dyDescent="0.25">
      <c r="A5153" s="1">
        <v>2320330005</v>
      </c>
      <c r="B5153" s="1" t="s">
        <v>3160</v>
      </c>
      <c r="C5153" s="1" t="s">
        <v>130</v>
      </c>
      <c r="D5153" s="1" t="s">
        <v>131</v>
      </c>
      <c r="E5153" s="3">
        <v>450</v>
      </c>
      <c r="F5153" s="1" t="s">
        <v>36</v>
      </c>
      <c r="G5153" s="1">
        <v>0</v>
      </c>
      <c r="H5153" s="3">
        <v>0</v>
      </c>
      <c r="I5153" s="1">
        <v>2.8404219999999998</v>
      </c>
    </row>
    <row r="5154" spans="1:9" x14ac:dyDescent="0.25">
      <c r="A5154" s="1">
        <v>2320330006</v>
      </c>
      <c r="B5154" s="1" t="s">
        <v>3161</v>
      </c>
      <c r="C5154" s="1" t="s">
        <v>130</v>
      </c>
      <c r="D5154" s="1" t="s">
        <v>131</v>
      </c>
      <c r="E5154" s="3">
        <v>600</v>
      </c>
      <c r="F5154" s="1" t="s">
        <v>36</v>
      </c>
      <c r="G5154" s="3">
        <v>0</v>
      </c>
      <c r="H5154" s="1">
        <v>0</v>
      </c>
      <c r="I5154" s="1">
        <v>2.8416000000000001</v>
      </c>
    </row>
    <row r="5155" spans="1:9" x14ac:dyDescent="0.25">
      <c r="A5155" s="1">
        <v>2320330007</v>
      </c>
      <c r="B5155" s="1" t="s">
        <v>3162</v>
      </c>
      <c r="C5155" s="1" t="s">
        <v>130</v>
      </c>
      <c r="D5155" s="1" t="s">
        <v>131</v>
      </c>
      <c r="E5155" s="3">
        <v>2788</v>
      </c>
      <c r="F5155" s="1" t="s">
        <v>36</v>
      </c>
      <c r="G5155" s="1">
        <v>0</v>
      </c>
      <c r="H5155" s="1">
        <v>0</v>
      </c>
      <c r="I5155" s="1">
        <v>1.5311939999999999</v>
      </c>
    </row>
    <row r="5156" spans="1:9" x14ac:dyDescent="0.25">
      <c r="A5156" s="1">
        <v>2320330008</v>
      </c>
      <c r="B5156" s="1" t="s">
        <v>3163</v>
      </c>
      <c r="C5156" s="1" t="s">
        <v>130</v>
      </c>
      <c r="D5156" s="1" t="s">
        <v>131</v>
      </c>
      <c r="E5156" s="3">
        <v>3000</v>
      </c>
      <c r="F5156" s="1" t="s">
        <v>36</v>
      </c>
      <c r="G5156" s="1">
        <v>0</v>
      </c>
      <c r="H5156" s="1">
        <v>0</v>
      </c>
      <c r="I5156" s="1">
        <v>1.5283199999999999</v>
      </c>
    </row>
    <row r="5157" spans="1:9" x14ac:dyDescent="0.25">
      <c r="A5157" s="1">
        <v>2320330009</v>
      </c>
      <c r="B5157" s="1" t="s">
        <v>3164</v>
      </c>
      <c r="C5157" s="1" t="s">
        <v>130</v>
      </c>
      <c r="D5157" s="1" t="s">
        <v>131</v>
      </c>
      <c r="E5157" s="3">
        <v>2100</v>
      </c>
      <c r="F5157" s="1" t="s">
        <v>36</v>
      </c>
      <c r="G5157" s="1">
        <v>0</v>
      </c>
      <c r="H5157" s="1">
        <v>0</v>
      </c>
      <c r="I5157" s="1">
        <v>2.3959760000000001</v>
      </c>
    </row>
    <row r="5158" spans="1:9" x14ac:dyDescent="0.25">
      <c r="A5158" s="1">
        <v>2320330010</v>
      </c>
      <c r="B5158" s="1" t="s">
        <v>3165</v>
      </c>
      <c r="C5158" s="1" t="s">
        <v>130</v>
      </c>
      <c r="D5158" s="1" t="s">
        <v>131</v>
      </c>
      <c r="E5158" s="3">
        <v>2250</v>
      </c>
      <c r="F5158" s="1" t="s">
        <v>36</v>
      </c>
      <c r="G5158" s="1">
        <v>0</v>
      </c>
      <c r="H5158" s="1">
        <v>0</v>
      </c>
      <c r="I5158" s="1">
        <v>2.4374440000000002</v>
      </c>
    </row>
    <row r="5159" spans="1:9" x14ac:dyDescent="0.25">
      <c r="A5159" s="1">
        <v>2320330011</v>
      </c>
      <c r="B5159" s="1" t="s">
        <v>3166</v>
      </c>
      <c r="C5159" s="1" t="s">
        <v>130</v>
      </c>
      <c r="D5159" s="1" t="s">
        <v>131</v>
      </c>
      <c r="E5159" s="3">
        <v>1220</v>
      </c>
      <c r="F5159" s="1" t="s">
        <v>36</v>
      </c>
      <c r="G5159" s="1">
        <v>0</v>
      </c>
      <c r="H5159" s="1">
        <v>0</v>
      </c>
      <c r="I5159" s="1">
        <v>1.53132</v>
      </c>
    </row>
    <row r="5160" spans="1:9" x14ac:dyDescent="0.25">
      <c r="A5160" s="1">
        <v>2320330012</v>
      </c>
      <c r="B5160" s="1" t="s">
        <v>3167</v>
      </c>
      <c r="C5160" s="1" t="s">
        <v>130</v>
      </c>
      <c r="D5160" s="1" t="s">
        <v>131</v>
      </c>
      <c r="E5160" s="3">
        <v>1540</v>
      </c>
      <c r="F5160" s="1" t="s">
        <v>36</v>
      </c>
      <c r="G5160" s="1">
        <v>0</v>
      </c>
      <c r="H5160" s="1">
        <v>0</v>
      </c>
      <c r="I5160" s="1">
        <v>1.5315319999999999</v>
      </c>
    </row>
    <row r="5161" spans="1:9" x14ac:dyDescent="0.25">
      <c r="A5161" s="1">
        <v>2320330013</v>
      </c>
      <c r="B5161" s="1" t="s">
        <v>3168</v>
      </c>
      <c r="C5161" s="1" t="s">
        <v>130</v>
      </c>
      <c r="D5161" s="1" t="s">
        <v>131</v>
      </c>
      <c r="E5161" s="3">
        <v>600</v>
      </c>
      <c r="F5161" s="1" t="s">
        <v>36</v>
      </c>
      <c r="G5161" s="1">
        <v>0</v>
      </c>
      <c r="H5161" s="3">
        <v>0</v>
      </c>
      <c r="I5161" s="1">
        <v>0.49516700000000002</v>
      </c>
    </row>
    <row r="5162" spans="1:9" x14ac:dyDescent="0.25">
      <c r="A5162" s="1">
        <v>2320330015</v>
      </c>
      <c r="B5162" s="1" t="s">
        <v>3169</v>
      </c>
      <c r="C5162" s="1" t="s">
        <v>130</v>
      </c>
      <c r="D5162" s="1" t="s">
        <v>131</v>
      </c>
      <c r="E5162" s="3">
        <v>1240</v>
      </c>
      <c r="F5162" s="1" t="s">
        <v>36</v>
      </c>
      <c r="G5162" s="3">
        <v>0</v>
      </c>
      <c r="H5162" s="1">
        <v>0</v>
      </c>
      <c r="I5162" s="1">
        <v>1.5327740000000001</v>
      </c>
    </row>
    <row r="5163" spans="1:9" x14ac:dyDescent="0.25">
      <c r="A5163" s="1">
        <v>2320330015</v>
      </c>
      <c r="B5163" s="1" t="s">
        <v>3169</v>
      </c>
      <c r="C5163" s="1" t="s">
        <v>1698</v>
      </c>
      <c r="D5163" s="1" t="s">
        <v>1699</v>
      </c>
      <c r="E5163" s="3">
        <v>2043</v>
      </c>
      <c r="F5163" s="1" t="s">
        <v>36</v>
      </c>
      <c r="G5163" s="1">
        <v>0</v>
      </c>
      <c r="H5163" s="1">
        <v>0</v>
      </c>
      <c r="I5163" s="1">
        <v>1.532775</v>
      </c>
    </row>
    <row r="5164" spans="1:9" x14ac:dyDescent="0.25">
      <c r="A5164" s="1">
        <v>2320330016</v>
      </c>
      <c r="B5164" s="1" t="s">
        <v>3170</v>
      </c>
      <c r="C5164" s="1" t="s">
        <v>130</v>
      </c>
      <c r="D5164" s="1" t="s">
        <v>131</v>
      </c>
      <c r="E5164" s="3">
        <v>720</v>
      </c>
      <c r="F5164" s="1" t="s">
        <v>36</v>
      </c>
      <c r="G5164" s="1">
        <v>0</v>
      </c>
      <c r="H5164" s="1">
        <v>0</v>
      </c>
      <c r="I5164" s="1">
        <v>0.53505599999999998</v>
      </c>
    </row>
    <row r="5165" spans="1:9" x14ac:dyDescent="0.25">
      <c r="A5165" s="1">
        <v>2320330016</v>
      </c>
      <c r="B5165" s="1" t="s">
        <v>3170</v>
      </c>
      <c r="C5165" s="1" t="s">
        <v>126</v>
      </c>
      <c r="D5165" s="1" t="s">
        <v>127</v>
      </c>
      <c r="E5165" s="3">
        <v>9200</v>
      </c>
      <c r="F5165" s="1" t="s">
        <v>36</v>
      </c>
      <c r="G5165" s="1">
        <v>0</v>
      </c>
      <c r="H5165" s="1">
        <v>0</v>
      </c>
      <c r="I5165" s="1">
        <v>1.581715</v>
      </c>
    </row>
    <row r="5166" spans="1:9" x14ac:dyDescent="0.25">
      <c r="A5166" s="1">
        <v>2320330016</v>
      </c>
      <c r="B5166" s="1" t="s">
        <v>3170</v>
      </c>
      <c r="C5166" s="1" t="s">
        <v>1698</v>
      </c>
      <c r="D5166" s="1" t="s">
        <v>1699</v>
      </c>
      <c r="E5166" s="3">
        <v>2353</v>
      </c>
      <c r="F5166" s="1" t="s">
        <v>36</v>
      </c>
      <c r="G5166" s="1">
        <v>0</v>
      </c>
      <c r="H5166" s="1">
        <v>0</v>
      </c>
      <c r="I5166" s="1">
        <v>0.53506200000000004</v>
      </c>
    </row>
    <row r="5167" spans="1:9" x14ac:dyDescent="0.25">
      <c r="A5167" s="1">
        <v>2320330017</v>
      </c>
      <c r="B5167" s="1" t="s">
        <v>3171</v>
      </c>
      <c r="C5167" s="1" t="s">
        <v>130</v>
      </c>
      <c r="D5167" s="1" t="s">
        <v>131</v>
      </c>
      <c r="E5167" s="3">
        <v>3514</v>
      </c>
      <c r="F5167" s="1" t="s">
        <v>36</v>
      </c>
      <c r="G5167" s="1">
        <v>0</v>
      </c>
      <c r="H5167" s="1">
        <v>0</v>
      </c>
      <c r="I5167" s="1">
        <v>1.493884</v>
      </c>
    </row>
    <row r="5168" spans="1:9" x14ac:dyDescent="0.25">
      <c r="A5168" s="1">
        <v>2320330018</v>
      </c>
      <c r="B5168" s="1" t="s">
        <v>3172</v>
      </c>
      <c r="C5168" s="1" t="s">
        <v>130</v>
      </c>
      <c r="D5168" s="1" t="s">
        <v>131</v>
      </c>
      <c r="E5168" s="3">
        <v>3618</v>
      </c>
      <c r="F5168" s="1" t="s">
        <v>36</v>
      </c>
      <c r="G5168" s="1">
        <v>0</v>
      </c>
      <c r="H5168" s="1">
        <v>0</v>
      </c>
      <c r="I5168" s="1">
        <v>1.4946379999999999</v>
      </c>
    </row>
    <row r="5169" spans="1:9" x14ac:dyDescent="0.25">
      <c r="A5169" s="1">
        <v>2320330019</v>
      </c>
      <c r="B5169" s="1" t="s">
        <v>3173</v>
      </c>
      <c r="C5169" s="1" t="s">
        <v>130</v>
      </c>
      <c r="D5169" s="1" t="s">
        <v>131</v>
      </c>
      <c r="E5169" s="3">
        <v>92000</v>
      </c>
      <c r="F5169" s="1" t="s">
        <v>36</v>
      </c>
      <c r="G5169" s="3">
        <v>0</v>
      </c>
      <c r="H5169" s="1">
        <v>0</v>
      </c>
      <c r="I5169" s="1">
        <v>0.96698399999999995</v>
      </c>
    </row>
    <row r="5170" spans="1:9" x14ac:dyDescent="0.25">
      <c r="A5170" s="1">
        <v>2320330020</v>
      </c>
      <c r="B5170" s="1" t="s">
        <v>3174</v>
      </c>
      <c r="C5170" s="1" t="s">
        <v>130</v>
      </c>
      <c r="D5170" s="1" t="s">
        <v>131</v>
      </c>
      <c r="E5170" s="3">
        <v>45550</v>
      </c>
      <c r="F5170" s="1" t="s">
        <v>36</v>
      </c>
      <c r="G5170" s="3">
        <v>10000</v>
      </c>
      <c r="H5170" s="3">
        <v>0</v>
      </c>
      <c r="I5170" s="1">
        <v>0.90422100000000005</v>
      </c>
    </row>
    <row r="5171" spans="1:9" x14ac:dyDescent="0.25">
      <c r="A5171" s="1">
        <v>2320330020</v>
      </c>
      <c r="B5171" s="1" t="s">
        <v>3174</v>
      </c>
      <c r="C5171" s="1" t="s">
        <v>1698</v>
      </c>
      <c r="D5171" s="1" t="s">
        <v>1699</v>
      </c>
      <c r="E5171" s="3">
        <v>3949.9967000000001</v>
      </c>
      <c r="F5171" s="1" t="s">
        <v>36</v>
      </c>
      <c r="G5171" s="1">
        <v>0</v>
      </c>
      <c r="H5171" s="3">
        <v>10000</v>
      </c>
      <c r="I5171" s="1">
        <v>0.90423399999999998</v>
      </c>
    </row>
    <row r="5172" spans="1:9" x14ac:dyDescent="0.25">
      <c r="A5172" s="1">
        <v>2320330021</v>
      </c>
      <c r="B5172" s="1" t="s">
        <v>3175</v>
      </c>
      <c r="C5172" s="1" t="s">
        <v>130</v>
      </c>
      <c r="D5172" s="1" t="s">
        <v>131</v>
      </c>
      <c r="E5172" s="3">
        <v>17470</v>
      </c>
      <c r="F5172" s="1" t="s">
        <v>36</v>
      </c>
      <c r="G5172" s="1">
        <v>0</v>
      </c>
      <c r="H5172" s="1">
        <v>0</v>
      </c>
      <c r="I5172" s="1">
        <v>0.49730099999999999</v>
      </c>
    </row>
    <row r="5173" spans="1:9" x14ac:dyDescent="0.25">
      <c r="A5173" s="1">
        <v>2320330021</v>
      </c>
      <c r="B5173" s="1" t="s">
        <v>3175</v>
      </c>
      <c r="C5173" s="1" t="s">
        <v>1698</v>
      </c>
      <c r="D5173" s="1" t="s">
        <v>1699</v>
      </c>
      <c r="E5173" s="1">
        <v>14</v>
      </c>
      <c r="F5173" s="1" t="s">
        <v>36</v>
      </c>
      <c r="G5173" s="1">
        <v>0</v>
      </c>
      <c r="H5173" s="1">
        <v>0</v>
      </c>
      <c r="I5173" s="1">
        <v>0.497143</v>
      </c>
    </row>
    <row r="5174" spans="1:9" x14ac:dyDescent="0.25">
      <c r="A5174" s="1">
        <v>2320330022</v>
      </c>
      <c r="B5174" s="1" t="s">
        <v>3176</v>
      </c>
      <c r="C5174" s="1" t="s">
        <v>130</v>
      </c>
      <c r="D5174" s="1" t="s">
        <v>131</v>
      </c>
      <c r="E5174" s="3">
        <v>138940</v>
      </c>
      <c r="F5174" s="1" t="s">
        <v>36</v>
      </c>
      <c r="G5174" s="1">
        <v>0</v>
      </c>
      <c r="H5174" s="1">
        <v>0</v>
      </c>
      <c r="I5174" s="1">
        <v>1.0590790000000001</v>
      </c>
    </row>
    <row r="5175" spans="1:9" x14ac:dyDescent="0.25">
      <c r="A5175" s="1">
        <v>2320330022</v>
      </c>
      <c r="B5175" s="1" t="s">
        <v>3176</v>
      </c>
      <c r="C5175" s="1" t="s">
        <v>1698</v>
      </c>
      <c r="D5175" s="1" t="s">
        <v>1699</v>
      </c>
      <c r="E5175" s="3">
        <v>2782</v>
      </c>
      <c r="F5175" s="1" t="s">
        <v>36</v>
      </c>
      <c r="G5175" s="1">
        <v>0</v>
      </c>
      <c r="H5175" s="1">
        <v>0</v>
      </c>
      <c r="I5175" s="1">
        <v>1.3350470000000001</v>
      </c>
    </row>
    <row r="5176" spans="1:9" x14ac:dyDescent="0.25">
      <c r="A5176" s="1">
        <v>2320330023</v>
      </c>
      <c r="B5176" s="1" t="s">
        <v>3177</v>
      </c>
      <c r="C5176" s="1" t="s">
        <v>130</v>
      </c>
      <c r="D5176" s="1" t="s">
        <v>131</v>
      </c>
      <c r="E5176" s="3">
        <v>13000</v>
      </c>
      <c r="F5176" s="1" t="s">
        <v>36</v>
      </c>
      <c r="G5176" s="3">
        <v>2000</v>
      </c>
      <c r="H5176" s="1">
        <v>0</v>
      </c>
      <c r="I5176" s="1">
        <v>1.1415729999999999</v>
      </c>
    </row>
    <row r="5177" spans="1:9" x14ac:dyDescent="0.25">
      <c r="A5177">
        <v>2320330023</v>
      </c>
      <c r="B5177" t="s">
        <v>3177</v>
      </c>
      <c r="C5177" t="s">
        <v>1698</v>
      </c>
      <c r="D5177" t="s">
        <v>1699</v>
      </c>
      <c r="E5177" s="2">
        <v>17136.6633</v>
      </c>
      <c r="F5177" t="s">
        <v>36</v>
      </c>
      <c r="G5177" s="2">
        <v>0</v>
      </c>
      <c r="H5177" s="2">
        <v>2000</v>
      </c>
      <c r="I5177">
        <v>1.135629</v>
      </c>
    </row>
    <row r="5178" spans="1:9" x14ac:dyDescent="0.25">
      <c r="A5178">
        <v>2320330024</v>
      </c>
      <c r="B5178" t="s">
        <v>3178</v>
      </c>
      <c r="C5178" t="s">
        <v>1698</v>
      </c>
      <c r="D5178" t="s">
        <v>1699</v>
      </c>
      <c r="E5178" s="2">
        <v>2130</v>
      </c>
      <c r="F5178" t="s">
        <v>36</v>
      </c>
      <c r="G5178">
        <v>0</v>
      </c>
      <c r="H5178">
        <v>0</v>
      </c>
      <c r="I5178">
        <v>0.94955400000000001</v>
      </c>
    </row>
    <row r="5179" spans="1:9" x14ac:dyDescent="0.25">
      <c r="A5179" s="1">
        <v>2320330025</v>
      </c>
      <c r="B5179" s="1" t="s">
        <v>3179</v>
      </c>
      <c r="C5179" s="1" t="s">
        <v>1698</v>
      </c>
      <c r="D5179" s="1" t="s">
        <v>1699</v>
      </c>
      <c r="E5179" s="3">
        <v>5615</v>
      </c>
      <c r="F5179" s="1" t="s">
        <v>36</v>
      </c>
      <c r="G5179" s="1">
        <v>0</v>
      </c>
      <c r="H5179" s="1">
        <v>0</v>
      </c>
      <c r="I5179" s="1">
        <v>0.99805900000000003</v>
      </c>
    </row>
    <row r="5180" spans="1:9" x14ac:dyDescent="0.25">
      <c r="A5180" s="1">
        <v>2320330026</v>
      </c>
      <c r="B5180" s="1" t="s">
        <v>3180</v>
      </c>
      <c r="C5180" s="1" t="s">
        <v>130</v>
      </c>
      <c r="D5180" s="1" t="s">
        <v>131</v>
      </c>
      <c r="E5180" s="3">
        <v>2600</v>
      </c>
      <c r="F5180" s="1" t="s">
        <v>36</v>
      </c>
      <c r="G5180" s="1">
        <v>0</v>
      </c>
      <c r="H5180" s="1">
        <v>0</v>
      </c>
      <c r="I5180" s="1">
        <v>0.83532700000000004</v>
      </c>
    </row>
    <row r="5181" spans="1:9" x14ac:dyDescent="0.25">
      <c r="A5181" s="1">
        <v>2320330026</v>
      </c>
      <c r="B5181" s="1" t="s">
        <v>3180</v>
      </c>
      <c r="C5181" s="1" t="s">
        <v>126</v>
      </c>
      <c r="D5181" s="1" t="s">
        <v>127</v>
      </c>
      <c r="E5181" s="3">
        <v>3840</v>
      </c>
      <c r="F5181" s="1" t="s">
        <v>36</v>
      </c>
      <c r="G5181" s="1">
        <v>0</v>
      </c>
      <c r="H5181" s="1">
        <v>0</v>
      </c>
      <c r="I5181" s="1">
        <v>0.83532799999999996</v>
      </c>
    </row>
    <row r="5182" spans="1:9" x14ac:dyDescent="0.25">
      <c r="A5182" s="1">
        <v>2320330027</v>
      </c>
      <c r="B5182" s="1" t="s">
        <v>3181</v>
      </c>
      <c r="C5182" s="1" t="s">
        <v>1698</v>
      </c>
      <c r="D5182" s="1" t="s">
        <v>1699</v>
      </c>
      <c r="E5182" s="1">
        <v>904.33330000000001</v>
      </c>
      <c r="F5182" s="1" t="s">
        <v>36</v>
      </c>
      <c r="G5182" s="1">
        <v>0</v>
      </c>
      <c r="H5182" s="1">
        <v>0</v>
      </c>
      <c r="I5182" s="1">
        <v>0.74899400000000005</v>
      </c>
    </row>
    <row r="5183" spans="1:9" x14ac:dyDescent="0.25">
      <c r="A5183" s="1">
        <v>2320330028</v>
      </c>
      <c r="B5183" s="1" t="s">
        <v>3182</v>
      </c>
      <c r="C5183" s="1" t="s">
        <v>130</v>
      </c>
      <c r="D5183" s="1" t="s">
        <v>131</v>
      </c>
      <c r="E5183" s="3">
        <v>67600</v>
      </c>
      <c r="F5183" s="1" t="s">
        <v>36</v>
      </c>
      <c r="G5183" s="1">
        <v>0</v>
      </c>
      <c r="H5183" s="1">
        <v>0</v>
      </c>
      <c r="I5183" s="1">
        <v>0.79195599999999999</v>
      </c>
    </row>
    <row r="5184" spans="1:9" x14ac:dyDescent="0.25">
      <c r="A5184">
        <v>2320330028</v>
      </c>
      <c r="B5184" t="s">
        <v>3182</v>
      </c>
      <c r="C5184" t="s">
        <v>1698</v>
      </c>
      <c r="D5184" t="s">
        <v>1699</v>
      </c>
      <c r="E5184" s="2">
        <v>200</v>
      </c>
      <c r="F5184" t="s">
        <v>36</v>
      </c>
      <c r="G5184">
        <v>0</v>
      </c>
      <c r="H5184">
        <v>0</v>
      </c>
      <c r="I5184">
        <v>0.69055</v>
      </c>
    </row>
    <row r="5185" spans="1:9" x14ac:dyDescent="0.25">
      <c r="A5185" s="1">
        <v>2320330030</v>
      </c>
      <c r="B5185" s="1" t="s">
        <v>3183</v>
      </c>
      <c r="C5185" s="1" t="s">
        <v>1698</v>
      </c>
      <c r="D5185" s="1" t="s">
        <v>1699</v>
      </c>
      <c r="E5185" s="3">
        <v>1533.3333</v>
      </c>
      <c r="F5185" s="1" t="s">
        <v>36</v>
      </c>
      <c r="G5185" s="1">
        <v>0</v>
      </c>
      <c r="H5185" s="1">
        <v>0</v>
      </c>
      <c r="I5185" s="1">
        <v>0.86601499999999998</v>
      </c>
    </row>
    <row r="5186" spans="1:9" x14ac:dyDescent="0.25">
      <c r="A5186" s="1">
        <v>2320340002</v>
      </c>
      <c r="B5186" s="1" t="s">
        <v>3184</v>
      </c>
      <c r="C5186" s="1" t="s">
        <v>130</v>
      </c>
      <c r="D5186" s="1" t="s">
        <v>131</v>
      </c>
      <c r="E5186" s="3">
        <v>4055</v>
      </c>
      <c r="F5186" s="1" t="s">
        <v>36</v>
      </c>
      <c r="G5186" s="1">
        <v>0</v>
      </c>
      <c r="H5186" s="1">
        <v>0</v>
      </c>
      <c r="I5186" s="1">
        <v>0.342254</v>
      </c>
    </row>
    <row r="5187" spans="1:9" x14ac:dyDescent="0.25">
      <c r="A5187" s="1">
        <v>2320340002</v>
      </c>
      <c r="B5187" s="1" t="s">
        <v>3184</v>
      </c>
      <c r="C5187" s="1" t="s">
        <v>142</v>
      </c>
      <c r="D5187" s="1" t="s">
        <v>143</v>
      </c>
      <c r="E5187" s="3">
        <v>5185</v>
      </c>
      <c r="F5187" s="1" t="s">
        <v>36</v>
      </c>
      <c r="G5187" s="1">
        <v>0</v>
      </c>
      <c r="H5187" s="1">
        <v>0</v>
      </c>
      <c r="I5187" s="1">
        <v>0.34225299999999997</v>
      </c>
    </row>
    <row r="5188" spans="1:9" x14ac:dyDescent="0.25">
      <c r="A5188" s="1">
        <v>2320340003</v>
      </c>
      <c r="B5188" s="1" t="s">
        <v>3185</v>
      </c>
      <c r="C5188" s="1" t="s">
        <v>130</v>
      </c>
      <c r="D5188" s="1" t="s">
        <v>131</v>
      </c>
      <c r="E5188" s="3">
        <v>8264</v>
      </c>
      <c r="F5188" s="1" t="s">
        <v>36</v>
      </c>
      <c r="G5188" s="1">
        <v>0</v>
      </c>
      <c r="H5188" s="1">
        <v>0</v>
      </c>
      <c r="I5188" s="1">
        <v>0.175208</v>
      </c>
    </row>
    <row r="5189" spans="1:9" x14ac:dyDescent="0.25">
      <c r="A5189" s="1">
        <v>2320340003</v>
      </c>
      <c r="B5189" s="1" t="s">
        <v>3185</v>
      </c>
      <c r="C5189" s="1" t="s">
        <v>142</v>
      </c>
      <c r="D5189" s="1" t="s">
        <v>143</v>
      </c>
      <c r="E5189" s="3">
        <v>8411</v>
      </c>
      <c r="F5189" s="1" t="s">
        <v>36</v>
      </c>
      <c r="G5189" s="1">
        <v>0</v>
      </c>
      <c r="H5189" s="1">
        <v>0</v>
      </c>
      <c r="I5189" s="1">
        <v>0.175209</v>
      </c>
    </row>
    <row r="5190" spans="1:9" x14ac:dyDescent="0.25">
      <c r="A5190" s="1">
        <v>2320340004</v>
      </c>
      <c r="B5190" s="1" t="s">
        <v>3186</v>
      </c>
      <c r="C5190" s="1" t="s">
        <v>130</v>
      </c>
      <c r="D5190" s="1" t="s">
        <v>131</v>
      </c>
      <c r="E5190" s="3">
        <v>21</v>
      </c>
      <c r="F5190" s="1" t="s">
        <v>36</v>
      </c>
      <c r="G5190" s="1">
        <v>0</v>
      </c>
      <c r="H5190" s="1">
        <v>0</v>
      </c>
      <c r="I5190" s="1">
        <v>0.18904799999999999</v>
      </c>
    </row>
    <row r="5191" spans="1:9" x14ac:dyDescent="0.25">
      <c r="A5191" s="1">
        <v>2320340004</v>
      </c>
      <c r="B5191" s="1" t="s">
        <v>3186</v>
      </c>
      <c r="C5191" s="1" t="s">
        <v>142</v>
      </c>
      <c r="D5191" s="1" t="s">
        <v>143</v>
      </c>
      <c r="E5191" s="3">
        <v>3844</v>
      </c>
      <c r="F5191" s="1" t="s">
        <v>36</v>
      </c>
      <c r="G5191" s="1">
        <v>0</v>
      </c>
      <c r="H5191" s="1">
        <v>0</v>
      </c>
      <c r="I5191" s="1">
        <v>0.18900600000000001</v>
      </c>
    </row>
    <row r="5192" spans="1:9" x14ac:dyDescent="0.25">
      <c r="A5192" s="1">
        <v>2320340005</v>
      </c>
      <c r="B5192" s="1" t="s">
        <v>3187</v>
      </c>
      <c r="C5192" s="1" t="s">
        <v>130</v>
      </c>
      <c r="D5192" s="1" t="s">
        <v>131</v>
      </c>
      <c r="E5192" s="3">
        <v>9635</v>
      </c>
      <c r="F5192" s="1" t="s">
        <v>36</v>
      </c>
      <c r="G5192" s="1">
        <v>0</v>
      </c>
      <c r="H5192" s="1">
        <v>0</v>
      </c>
      <c r="I5192" s="1">
        <v>0.18183199999999999</v>
      </c>
    </row>
    <row r="5193" spans="1:9" x14ac:dyDescent="0.25">
      <c r="A5193" s="1">
        <v>2320340005</v>
      </c>
      <c r="B5193" s="1" t="s">
        <v>3187</v>
      </c>
      <c r="C5193" s="1" t="s">
        <v>142</v>
      </c>
      <c r="D5193" s="1" t="s">
        <v>143</v>
      </c>
      <c r="E5193" s="3">
        <v>8439</v>
      </c>
      <c r="F5193" s="1" t="s">
        <v>36</v>
      </c>
      <c r="G5193" s="1">
        <v>0</v>
      </c>
      <c r="H5193" s="1">
        <v>0</v>
      </c>
      <c r="I5193" s="1">
        <v>0.18183099999999999</v>
      </c>
    </row>
    <row r="5194" spans="1:9" x14ac:dyDescent="0.25">
      <c r="A5194" s="1">
        <v>2320340006</v>
      </c>
      <c r="B5194" s="1" t="s">
        <v>3188</v>
      </c>
      <c r="C5194" s="1" t="s">
        <v>130</v>
      </c>
      <c r="D5194" s="1" t="s">
        <v>131</v>
      </c>
      <c r="E5194" s="3">
        <v>4649</v>
      </c>
      <c r="F5194" s="1" t="s">
        <v>36</v>
      </c>
      <c r="G5194" s="1">
        <v>0</v>
      </c>
      <c r="H5194" s="1">
        <v>0</v>
      </c>
      <c r="I5194" s="1">
        <v>0.35162599999999999</v>
      </c>
    </row>
    <row r="5195" spans="1:9" x14ac:dyDescent="0.25">
      <c r="A5195" s="1">
        <v>2320340006</v>
      </c>
      <c r="B5195" s="1" t="s">
        <v>3188</v>
      </c>
      <c r="C5195" s="1" t="s">
        <v>142</v>
      </c>
      <c r="D5195" s="1" t="s">
        <v>143</v>
      </c>
      <c r="E5195" s="3">
        <v>5159</v>
      </c>
      <c r="F5195" s="1" t="s">
        <v>36</v>
      </c>
      <c r="G5195" s="1">
        <v>0</v>
      </c>
      <c r="H5195" s="1">
        <v>0</v>
      </c>
      <c r="I5195" s="1">
        <v>0.35162599999999999</v>
      </c>
    </row>
    <row r="5196" spans="1:9" x14ac:dyDescent="0.25">
      <c r="A5196" s="1">
        <v>2320340007</v>
      </c>
      <c r="B5196" s="1" t="s">
        <v>3189</v>
      </c>
      <c r="C5196" s="1" t="s">
        <v>130</v>
      </c>
      <c r="D5196" s="1" t="s">
        <v>131</v>
      </c>
      <c r="E5196" s="3">
        <v>14</v>
      </c>
      <c r="F5196" s="1" t="s">
        <v>36</v>
      </c>
      <c r="G5196" s="1">
        <v>0</v>
      </c>
      <c r="H5196" s="1">
        <v>0</v>
      </c>
      <c r="I5196" s="1">
        <v>0.22142899999999999</v>
      </c>
    </row>
    <row r="5197" spans="1:9" x14ac:dyDescent="0.25">
      <c r="A5197" s="1">
        <v>2320340007</v>
      </c>
      <c r="B5197" s="1" t="s">
        <v>3189</v>
      </c>
      <c r="C5197" s="1" t="s">
        <v>142</v>
      </c>
      <c r="D5197" s="1" t="s">
        <v>143</v>
      </c>
      <c r="E5197" s="3">
        <v>5719</v>
      </c>
      <c r="F5197" s="1" t="s">
        <v>36</v>
      </c>
      <c r="G5197" s="1">
        <v>0</v>
      </c>
      <c r="H5197" s="1">
        <v>0</v>
      </c>
      <c r="I5197" s="1">
        <v>0.22120100000000001</v>
      </c>
    </row>
    <row r="5198" spans="1:9" x14ac:dyDescent="0.25">
      <c r="A5198" s="1">
        <v>2320340008</v>
      </c>
      <c r="B5198" s="1" t="s">
        <v>3190</v>
      </c>
      <c r="C5198" s="1" t="s">
        <v>130</v>
      </c>
      <c r="D5198" s="1" t="s">
        <v>131</v>
      </c>
      <c r="E5198" s="3">
        <v>0</v>
      </c>
      <c r="F5198" s="1" t="s">
        <v>36</v>
      </c>
      <c r="G5198" s="1">
        <v>25</v>
      </c>
      <c r="H5198" s="1">
        <v>0</v>
      </c>
      <c r="I5198" s="1">
        <v>0.216559</v>
      </c>
    </row>
    <row r="5199" spans="1:9" x14ac:dyDescent="0.25">
      <c r="A5199" s="1">
        <v>2320340008</v>
      </c>
      <c r="B5199" s="1" t="s">
        <v>3190</v>
      </c>
      <c r="C5199" s="1" t="s">
        <v>142</v>
      </c>
      <c r="D5199" s="1" t="s">
        <v>143</v>
      </c>
      <c r="E5199" s="3">
        <v>6274</v>
      </c>
      <c r="F5199" s="1" t="s">
        <v>36</v>
      </c>
      <c r="G5199" s="1">
        <v>0</v>
      </c>
      <c r="H5199" s="1">
        <v>25</v>
      </c>
      <c r="I5199" s="1">
        <v>0.216559</v>
      </c>
    </row>
    <row r="5200" spans="1:9" x14ac:dyDescent="0.25">
      <c r="A5200" s="1">
        <v>2320340009</v>
      </c>
      <c r="B5200" s="1" t="s">
        <v>3191</v>
      </c>
      <c r="C5200" s="1" t="s">
        <v>130</v>
      </c>
      <c r="D5200" s="1" t="s">
        <v>131</v>
      </c>
      <c r="E5200" s="3">
        <v>3123</v>
      </c>
      <c r="F5200" s="1" t="s">
        <v>36</v>
      </c>
      <c r="G5200" s="1">
        <v>0</v>
      </c>
      <c r="H5200" s="3">
        <v>0</v>
      </c>
      <c r="I5200" s="1">
        <v>0.49162299999999998</v>
      </c>
    </row>
    <row r="5201" spans="1:9" x14ac:dyDescent="0.25">
      <c r="A5201" s="1">
        <v>2320340009</v>
      </c>
      <c r="B5201" s="1" t="s">
        <v>3191</v>
      </c>
      <c r="C5201" s="1" t="s">
        <v>142</v>
      </c>
      <c r="D5201" s="1" t="s">
        <v>143</v>
      </c>
      <c r="E5201" s="3">
        <v>3790</v>
      </c>
      <c r="F5201" s="1" t="s">
        <v>36</v>
      </c>
      <c r="G5201" s="3">
        <v>0</v>
      </c>
      <c r="H5201" s="1">
        <v>0</v>
      </c>
      <c r="I5201" s="1">
        <v>0.49162299999999998</v>
      </c>
    </row>
    <row r="5202" spans="1:9" x14ac:dyDescent="0.25">
      <c r="A5202" s="1">
        <v>2320340010</v>
      </c>
      <c r="B5202" s="1" t="s">
        <v>3192</v>
      </c>
      <c r="C5202" s="1" t="s">
        <v>130</v>
      </c>
      <c r="D5202" s="1" t="s">
        <v>131</v>
      </c>
      <c r="E5202" s="3">
        <v>16790</v>
      </c>
      <c r="F5202" s="1" t="s">
        <v>36</v>
      </c>
      <c r="G5202" s="1">
        <v>0</v>
      </c>
      <c r="H5202" s="1">
        <v>0</v>
      </c>
      <c r="I5202" s="1">
        <v>0.44302900000000001</v>
      </c>
    </row>
    <row r="5203" spans="1:9" x14ac:dyDescent="0.25">
      <c r="A5203" s="1">
        <v>2320340010</v>
      </c>
      <c r="B5203" s="1" t="s">
        <v>3192</v>
      </c>
      <c r="C5203" s="1" t="s">
        <v>142</v>
      </c>
      <c r="D5203" s="1" t="s">
        <v>143</v>
      </c>
      <c r="E5203" s="3">
        <v>3227</v>
      </c>
      <c r="F5203" s="1" t="s">
        <v>36</v>
      </c>
      <c r="G5203" s="1">
        <v>0</v>
      </c>
      <c r="H5203" s="1">
        <v>0</v>
      </c>
      <c r="I5203" s="1">
        <v>0.44303100000000001</v>
      </c>
    </row>
    <row r="5204" spans="1:9" x14ac:dyDescent="0.25">
      <c r="A5204" s="1">
        <v>2320340011</v>
      </c>
      <c r="B5204" s="1" t="s">
        <v>3193</v>
      </c>
      <c r="C5204" s="1" t="s">
        <v>130</v>
      </c>
      <c r="D5204" s="1" t="s">
        <v>131</v>
      </c>
      <c r="E5204" s="3">
        <v>6303</v>
      </c>
      <c r="F5204" s="1" t="s">
        <v>36</v>
      </c>
      <c r="G5204" s="1">
        <v>0</v>
      </c>
      <c r="H5204" s="1">
        <v>0</v>
      </c>
      <c r="I5204" s="1">
        <v>0.44525799999999999</v>
      </c>
    </row>
    <row r="5205" spans="1:9" x14ac:dyDescent="0.25">
      <c r="A5205" s="1">
        <v>2320340011</v>
      </c>
      <c r="B5205" s="1" t="s">
        <v>3193</v>
      </c>
      <c r="C5205" s="1" t="s">
        <v>142</v>
      </c>
      <c r="D5205" s="1" t="s">
        <v>143</v>
      </c>
      <c r="E5205" s="1">
        <v>580</v>
      </c>
      <c r="F5205" s="1" t="s">
        <v>36</v>
      </c>
      <c r="G5205" s="1">
        <v>0</v>
      </c>
      <c r="H5205" s="3">
        <v>0</v>
      </c>
      <c r="I5205" s="1">
        <v>0.44525900000000002</v>
      </c>
    </row>
    <row r="5206" spans="1:9" x14ac:dyDescent="0.25">
      <c r="A5206" s="1">
        <v>2320340012</v>
      </c>
      <c r="B5206" s="1" t="s">
        <v>3194</v>
      </c>
      <c r="C5206" s="1" t="s">
        <v>130</v>
      </c>
      <c r="D5206" s="1" t="s">
        <v>131</v>
      </c>
      <c r="E5206" s="3">
        <v>200</v>
      </c>
      <c r="F5206" s="1" t="s">
        <v>36</v>
      </c>
      <c r="G5206" s="3">
        <v>0</v>
      </c>
      <c r="H5206" s="1">
        <v>0</v>
      </c>
      <c r="I5206" s="1">
        <v>0.19994999999999999</v>
      </c>
    </row>
    <row r="5207" spans="1:9" x14ac:dyDescent="0.25">
      <c r="A5207" s="1">
        <v>2320340012</v>
      </c>
      <c r="B5207" s="1" t="s">
        <v>3194</v>
      </c>
      <c r="C5207" s="1" t="s">
        <v>142</v>
      </c>
      <c r="D5207" s="1" t="s">
        <v>143</v>
      </c>
      <c r="E5207" s="3">
        <v>4743</v>
      </c>
      <c r="F5207" s="1" t="s">
        <v>36</v>
      </c>
      <c r="G5207" s="1">
        <v>0</v>
      </c>
      <c r="H5207" s="1">
        <v>0</v>
      </c>
      <c r="I5207" s="1">
        <v>0.19992599999999999</v>
      </c>
    </row>
    <row r="5208" spans="1:9" x14ac:dyDescent="0.25">
      <c r="A5208" s="1">
        <v>2320340013</v>
      </c>
      <c r="B5208" s="1" t="s">
        <v>3195</v>
      </c>
      <c r="C5208" s="1" t="s">
        <v>130</v>
      </c>
      <c r="D5208" s="1" t="s">
        <v>131</v>
      </c>
      <c r="E5208" s="3">
        <v>7748</v>
      </c>
      <c r="F5208" s="1" t="s">
        <v>36</v>
      </c>
      <c r="G5208" s="1">
        <v>0</v>
      </c>
      <c r="H5208" s="1">
        <v>0</v>
      </c>
      <c r="I5208" s="1">
        <v>0.37599900000000003</v>
      </c>
    </row>
    <row r="5209" spans="1:9" x14ac:dyDescent="0.25">
      <c r="A5209" s="1">
        <v>2320340013</v>
      </c>
      <c r="B5209" s="1" t="s">
        <v>3195</v>
      </c>
      <c r="C5209" s="1" t="s">
        <v>142</v>
      </c>
      <c r="D5209" s="1" t="s">
        <v>143</v>
      </c>
      <c r="E5209" s="3">
        <v>5444</v>
      </c>
      <c r="F5209" s="1" t="s">
        <v>36</v>
      </c>
      <c r="G5209" s="3">
        <v>0</v>
      </c>
      <c r="H5209" s="1">
        <v>0</v>
      </c>
      <c r="I5209" s="1">
        <v>0.37599900000000003</v>
      </c>
    </row>
    <row r="5210" spans="1:9" x14ac:dyDescent="0.25">
      <c r="A5210" s="1">
        <v>2320340014</v>
      </c>
      <c r="B5210" s="1" t="s">
        <v>3196</v>
      </c>
      <c r="C5210" s="1" t="s">
        <v>130</v>
      </c>
      <c r="D5210" s="1" t="s">
        <v>131</v>
      </c>
      <c r="E5210" s="3">
        <v>9439</v>
      </c>
      <c r="F5210" s="1" t="s">
        <v>36</v>
      </c>
      <c r="G5210" s="1">
        <v>0</v>
      </c>
      <c r="H5210" s="3">
        <v>0</v>
      </c>
      <c r="I5210" s="1">
        <v>0.20751</v>
      </c>
    </row>
    <row r="5211" spans="1:9" x14ac:dyDescent="0.25">
      <c r="A5211" s="1">
        <v>2320340014</v>
      </c>
      <c r="B5211" s="1" t="s">
        <v>3196</v>
      </c>
      <c r="C5211" s="1" t="s">
        <v>142</v>
      </c>
      <c r="D5211" s="1" t="s">
        <v>143</v>
      </c>
      <c r="E5211" s="1">
        <v>607</v>
      </c>
      <c r="F5211" s="1" t="s">
        <v>36</v>
      </c>
      <c r="G5211" s="1">
        <v>0</v>
      </c>
      <c r="H5211" s="1">
        <v>0</v>
      </c>
      <c r="I5211" s="1">
        <v>0.207512</v>
      </c>
    </row>
    <row r="5212" spans="1:9" x14ac:dyDescent="0.25">
      <c r="A5212" s="1">
        <v>2320340015</v>
      </c>
      <c r="B5212" s="1" t="s">
        <v>3197</v>
      </c>
      <c r="C5212" s="1" t="s">
        <v>130</v>
      </c>
      <c r="D5212" s="1" t="s">
        <v>131</v>
      </c>
      <c r="E5212" s="3">
        <v>4050</v>
      </c>
      <c r="F5212" s="1" t="s">
        <v>36</v>
      </c>
      <c r="G5212" s="3">
        <v>1000</v>
      </c>
      <c r="H5212" s="1">
        <v>0</v>
      </c>
      <c r="I5212" s="1">
        <v>0.20209099999999999</v>
      </c>
    </row>
    <row r="5213" spans="1:9" x14ac:dyDescent="0.25">
      <c r="A5213" s="1">
        <v>2320340015</v>
      </c>
      <c r="B5213" s="1" t="s">
        <v>3197</v>
      </c>
      <c r="C5213" s="1" t="s">
        <v>142</v>
      </c>
      <c r="D5213" s="1" t="s">
        <v>143</v>
      </c>
      <c r="E5213" s="3">
        <v>9259</v>
      </c>
      <c r="F5213" s="1" t="s">
        <v>36</v>
      </c>
      <c r="G5213" s="1">
        <v>0</v>
      </c>
      <c r="H5213" s="3">
        <v>1000</v>
      </c>
      <c r="I5213" s="1">
        <v>0.20209199999999999</v>
      </c>
    </row>
    <row r="5214" spans="1:9" x14ac:dyDescent="0.25">
      <c r="A5214" s="1">
        <v>2320340016</v>
      </c>
      <c r="B5214" s="1" t="s">
        <v>3198</v>
      </c>
      <c r="C5214" s="1" t="s">
        <v>130</v>
      </c>
      <c r="D5214" s="1" t="s">
        <v>131</v>
      </c>
      <c r="E5214" s="3">
        <v>13230</v>
      </c>
      <c r="F5214" s="1" t="s">
        <v>36</v>
      </c>
      <c r="G5214" s="1">
        <v>0</v>
      </c>
      <c r="H5214" s="1">
        <v>0</v>
      </c>
      <c r="I5214" s="1">
        <v>0.200262</v>
      </c>
    </row>
    <row r="5215" spans="1:9" x14ac:dyDescent="0.25">
      <c r="A5215" s="1">
        <v>2320340016</v>
      </c>
      <c r="B5215" s="1" t="s">
        <v>3198</v>
      </c>
      <c r="C5215" s="1" t="s">
        <v>142</v>
      </c>
      <c r="D5215" s="1" t="s">
        <v>143</v>
      </c>
      <c r="E5215" s="3">
        <v>5014</v>
      </c>
      <c r="F5215" s="1" t="s">
        <v>36</v>
      </c>
      <c r="G5215" s="1">
        <v>0</v>
      </c>
      <c r="H5215" s="1">
        <v>0</v>
      </c>
      <c r="I5215" s="1">
        <v>0.20026099999999999</v>
      </c>
    </row>
    <row r="5216" spans="1:9" x14ac:dyDescent="0.25">
      <c r="A5216" s="1">
        <v>2320340017</v>
      </c>
      <c r="B5216" s="1" t="s">
        <v>3199</v>
      </c>
      <c r="C5216" s="1" t="s">
        <v>130</v>
      </c>
      <c r="D5216" s="1" t="s">
        <v>131</v>
      </c>
      <c r="E5216" s="3">
        <v>1145</v>
      </c>
      <c r="F5216" s="1" t="s">
        <v>36</v>
      </c>
      <c r="G5216" s="3">
        <v>0</v>
      </c>
      <c r="H5216" s="1">
        <v>0</v>
      </c>
      <c r="I5216" s="1">
        <v>0.247782</v>
      </c>
    </row>
    <row r="5217" spans="1:9" x14ac:dyDescent="0.25">
      <c r="A5217" s="1">
        <v>2320340017</v>
      </c>
      <c r="B5217" s="1" t="s">
        <v>3199</v>
      </c>
      <c r="C5217" s="1" t="s">
        <v>142</v>
      </c>
      <c r="D5217" s="1" t="s">
        <v>143</v>
      </c>
      <c r="E5217" s="3">
        <v>4099</v>
      </c>
      <c r="F5217" s="1" t="s">
        <v>36</v>
      </c>
      <c r="G5217" s="1">
        <v>0</v>
      </c>
      <c r="H5217" s="1">
        <v>0</v>
      </c>
      <c r="I5217" s="1">
        <v>0.24778</v>
      </c>
    </row>
    <row r="5218" spans="1:9" x14ac:dyDescent="0.25">
      <c r="A5218" s="1">
        <v>2320340018</v>
      </c>
      <c r="B5218" s="1" t="s">
        <v>3200</v>
      </c>
      <c r="C5218" s="1" t="s">
        <v>130</v>
      </c>
      <c r="D5218" s="1" t="s">
        <v>131</v>
      </c>
      <c r="E5218" s="3">
        <v>8573</v>
      </c>
      <c r="F5218" s="1" t="s">
        <v>36</v>
      </c>
      <c r="G5218" s="1">
        <v>0</v>
      </c>
      <c r="H5218" s="1">
        <v>0</v>
      </c>
      <c r="I5218" s="1">
        <v>0.38560499999999998</v>
      </c>
    </row>
    <row r="5219" spans="1:9" x14ac:dyDescent="0.25">
      <c r="A5219" s="1">
        <v>2320340018</v>
      </c>
      <c r="B5219" s="1" t="s">
        <v>3200</v>
      </c>
      <c r="C5219" s="1" t="s">
        <v>142</v>
      </c>
      <c r="D5219" s="1" t="s">
        <v>143</v>
      </c>
      <c r="E5219" s="3">
        <v>5421</v>
      </c>
      <c r="F5219" s="1" t="s">
        <v>36</v>
      </c>
      <c r="G5219" s="1">
        <v>0</v>
      </c>
      <c r="H5219" s="1">
        <v>0</v>
      </c>
      <c r="I5219" s="1">
        <v>0.385606</v>
      </c>
    </row>
    <row r="5220" spans="1:9" x14ac:dyDescent="0.25">
      <c r="A5220" s="1">
        <v>2320340019</v>
      </c>
      <c r="B5220" s="1" t="s">
        <v>3201</v>
      </c>
      <c r="C5220" s="1" t="s">
        <v>130</v>
      </c>
      <c r="D5220" s="1" t="s">
        <v>131</v>
      </c>
      <c r="E5220" s="3">
        <v>4374</v>
      </c>
      <c r="F5220" s="1" t="s">
        <v>36</v>
      </c>
      <c r="G5220" s="1">
        <v>0</v>
      </c>
      <c r="H5220" s="1">
        <v>0</v>
      </c>
      <c r="I5220" s="1">
        <v>0.24132400000000001</v>
      </c>
    </row>
    <row r="5221" spans="1:9" x14ac:dyDescent="0.25">
      <c r="A5221" s="1">
        <v>2320340019</v>
      </c>
      <c r="B5221" s="1" t="s">
        <v>3201</v>
      </c>
      <c r="C5221" s="1" t="s">
        <v>142</v>
      </c>
      <c r="D5221" s="1" t="s">
        <v>143</v>
      </c>
      <c r="E5221" s="3">
        <v>2619</v>
      </c>
      <c r="F5221" s="1" t="s">
        <v>36</v>
      </c>
      <c r="G5221" s="1">
        <v>0</v>
      </c>
      <c r="H5221" s="1">
        <v>0</v>
      </c>
      <c r="I5221" s="1">
        <v>0.24132500000000001</v>
      </c>
    </row>
    <row r="5222" spans="1:9" x14ac:dyDescent="0.25">
      <c r="A5222" s="1">
        <v>2320340020</v>
      </c>
      <c r="B5222" s="1" t="s">
        <v>3202</v>
      </c>
      <c r="C5222" s="1" t="s">
        <v>130</v>
      </c>
      <c r="D5222" s="1" t="s">
        <v>131</v>
      </c>
      <c r="E5222" s="3">
        <v>4909</v>
      </c>
      <c r="F5222" s="1" t="s">
        <v>36</v>
      </c>
      <c r="G5222" s="1">
        <v>0</v>
      </c>
      <c r="H5222" s="1">
        <v>0</v>
      </c>
      <c r="I5222" s="1">
        <v>0.44483600000000001</v>
      </c>
    </row>
    <row r="5223" spans="1:9" x14ac:dyDescent="0.25">
      <c r="A5223" s="1">
        <v>2320340020</v>
      </c>
      <c r="B5223" s="1" t="s">
        <v>3202</v>
      </c>
      <c r="C5223" s="1" t="s">
        <v>142</v>
      </c>
      <c r="D5223" s="1" t="s">
        <v>143</v>
      </c>
      <c r="E5223" s="3">
        <v>6628</v>
      </c>
      <c r="F5223" s="1" t="s">
        <v>36</v>
      </c>
      <c r="G5223" s="3">
        <v>0</v>
      </c>
      <c r="H5223" s="1">
        <v>0</v>
      </c>
      <c r="I5223" s="1">
        <v>0.44483600000000001</v>
      </c>
    </row>
    <row r="5224" spans="1:9" x14ac:dyDescent="0.25">
      <c r="A5224" s="1">
        <v>2320340021</v>
      </c>
      <c r="B5224" s="1" t="s">
        <v>3203</v>
      </c>
      <c r="C5224" s="1" t="s">
        <v>130</v>
      </c>
      <c r="D5224" s="1" t="s">
        <v>131</v>
      </c>
      <c r="E5224" s="3">
        <v>11343</v>
      </c>
      <c r="F5224" s="1" t="s">
        <v>36</v>
      </c>
      <c r="G5224" s="1">
        <v>0</v>
      </c>
      <c r="H5224" s="3">
        <v>0</v>
      </c>
      <c r="I5224" s="1">
        <v>0.40992899999999999</v>
      </c>
    </row>
    <row r="5225" spans="1:9" x14ac:dyDescent="0.25">
      <c r="A5225" s="1">
        <v>2320340021</v>
      </c>
      <c r="B5225" s="1" t="s">
        <v>3203</v>
      </c>
      <c r="C5225" s="1" t="s">
        <v>142</v>
      </c>
      <c r="D5225" s="1" t="s">
        <v>143</v>
      </c>
      <c r="E5225" s="3">
        <v>8238</v>
      </c>
      <c r="F5225" s="1" t="s">
        <v>36</v>
      </c>
      <c r="G5225" s="1">
        <v>0</v>
      </c>
      <c r="H5225" s="1">
        <v>0</v>
      </c>
      <c r="I5225" s="1">
        <v>0.40993000000000002</v>
      </c>
    </row>
    <row r="5226" spans="1:9" x14ac:dyDescent="0.25">
      <c r="A5226" s="1">
        <v>2320340022</v>
      </c>
      <c r="B5226" s="1" t="s">
        <v>3204</v>
      </c>
      <c r="C5226" s="1" t="s">
        <v>130</v>
      </c>
      <c r="D5226" s="1" t="s">
        <v>131</v>
      </c>
      <c r="E5226" s="3">
        <v>13979</v>
      </c>
      <c r="F5226" s="1" t="s">
        <v>36</v>
      </c>
      <c r="G5226" s="1">
        <v>0</v>
      </c>
      <c r="H5226" s="1">
        <v>0</v>
      </c>
      <c r="I5226" s="1">
        <v>0.38514100000000001</v>
      </c>
    </row>
    <row r="5227" spans="1:9" x14ac:dyDescent="0.25">
      <c r="A5227" s="1">
        <v>2320340022</v>
      </c>
      <c r="B5227" s="1" t="s">
        <v>3204</v>
      </c>
      <c r="C5227" s="1" t="s">
        <v>142</v>
      </c>
      <c r="D5227" s="1" t="s">
        <v>143</v>
      </c>
      <c r="E5227" s="3">
        <v>3393</v>
      </c>
      <c r="F5227" s="1" t="s">
        <v>36</v>
      </c>
      <c r="G5227" s="1">
        <v>0</v>
      </c>
      <c r="H5227" s="1">
        <v>0</v>
      </c>
      <c r="I5227" s="1">
        <v>0.38513999999999998</v>
      </c>
    </row>
    <row r="5228" spans="1:9" x14ac:dyDescent="0.25">
      <c r="A5228" s="1">
        <v>2320340023</v>
      </c>
      <c r="B5228" s="1" t="s">
        <v>3205</v>
      </c>
      <c r="C5228" s="1" t="s">
        <v>130</v>
      </c>
      <c r="D5228" s="1" t="s">
        <v>131</v>
      </c>
      <c r="E5228" s="3">
        <v>3921</v>
      </c>
      <c r="F5228" s="1" t="s">
        <v>36</v>
      </c>
      <c r="G5228" s="1">
        <v>0</v>
      </c>
      <c r="H5228" s="1">
        <v>0</v>
      </c>
      <c r="I5228" s="1">
        <v>0.59560599999999997</v>
      </c>
    </row>
    <row r="5229" spans="1:9" x14ac:dyDescent="0.25">
      <c r="A5229" s="1">
        <v>2320340023</v>
      </c>
      <c r="B5229" s="1" t="s">
        <v>3205</v>
      </c>
      <c r="C5229" s="1" t="s">
        <v>142</v>
      </c>
      <c r="D5229" s="1" t="s">
        <v>143</v>
      </c>
      <c r="E5229" s="3">
        <v>1047</v>
      </c>
      <c r="F5229" s="1" t="s">
        <v>36</v>
      </c>
      <c r="G5229" s="1">
        <v>0</v>
      </c>
      <c r="H5229" s="1">
        <v>0</v>
      </c>
      <c r="I5229" s="1">
        <v>0.59560599999999997</v>
      </c>
    </row>
    <row r="5230" spans="1:9" x14ac:dyDescent="0.25">
      <c r="A5230" s="1">
        <v>2320340024</v>
      </c>
      <c r="B5230" s="1" t="s">
        <v>3206</v>
      </c>
      <c r="C5230" s="1" t="s">
        <v>130</v>
      </c>
      <c r="D5230" s="1" t="s">
        <v>131</v>
      </c>
      <c r="E5230" s="3">
        <v>7060</v>
      </c>
      <c r="F5230" s="1" t="s">
        <v>36</v>
      </c>
      <c r="G5230" s="1">
        <v>0</v>
      </c>
      <c r="H5230" s="1">
        <v>0</v>
      </c>
      <c r="I5230" s="1">
        <v>0.42494999999999999</v>
      </c>
    </row>
    <row r="5231" spans="1:9" x14ac:dyDescent="0.25">
      <c r="A5231" s="1">
        <v>2320340024</v>
      </c>
      <c r="B5231" s="1" t="s">
        <v>3206</v>
      </c>
      <c r="C5231" s="1" t="s">
        <v>142</v>
      </c>
      <c r="D5231" s="1" t="s">
        <v>143</v>
      </c>
      <c r="E5231" s="3">
        <v>1280</v>
      </c>
      <c r="F5231" s="1" t="s">
        <v>36</v>
      </c>
      <c r="G5231" s="3">
        <v>0</v>
      </c>
      <c r="H5231" s="1">
        <v>0</v>
      </c>
      <c r="I5231" s="1">
        <v>0.42495300000000003</v>
      </c>
    </row>
    <row r="5232" spans="1:9" x14ac:dyDescent="0.25">
      <c r="A5232" s="1">
        <v>2330450003</v>
      </c>
      <c r="B5232" s="1" t="s">
        <v>3207</v>
      </c>
      <c r="C5232" s="1" t="s">
        <v>523</v>
      </c>
      <c r="D5232" s="1" t="s">
        <v>524</v>
      </c>
      <c r="E5232" s="3">
        <v>25</v>
      </c>
      <c r="F5232" s="1" t="s">
        <v>89</v>
      </c>
      <c r="G5232" s="1">
        <v>0</v>
      </c>
      <c r="H5232" s="1">
        <v>0</v>
      </c>
      <c r="I5232" s="1">
        <v>3.6168</v>
      </c>
    </row>
    <row r="5233" spans="1:9" x14ac:dyDescent="0.25">
      <c r="A5233" s="1">
        <v>2330450004</v>
      </c>
      <c r="B5233" s="1" t="s">
        <v>3208</v>
      </c>
      <c r="C5233" s="1" t="s">
        <v>130</v>
      </c>
      <c r="D5233" s="1" t="s">
        <v>131</v>
      </c>
      <c r="E5233" s="1">
        <v>53</v>
      </c>
      <c r="F5233" s="1" t="s">
        <v>3209</v>
      </c>
      <c r="G5233" s="3">
        <v>0</v>
      </c>
      <c r="H5233" s="1">
        <v>0</v>
      </c>
      <c r="I5233" s="1">
        <v>12.499623</v>
      </c>
    </row>
    <row r="5234" spans="1:9" x14ac:dyDescent="0.25">
      <c r="A5234" s="1">
        <v>2330600002</v>
      </c>
      <c r="B5234" s="1" t="s">
        <v>3210</v>
      </c>
      <c r="C5234" s="1" t="s">
        <v>1480</v>
      </c>
      <c r="D5234" s="1" t="s">
        <v>1481</v>
      </c>
      <c r="E5234" s="1">
        <v>22.76</v>
      </c>
      <c r="F5234" s="1" t="s">
        <v>89</v>
      </c>
      <c r="G5234" s="1">
        <v>0</v>
      </c>
      <c r="H5234" s="1">
        <v>0</v>
      </c>
      <c r="I5234" s="1">
        <v>2.597979</v>
      </c>
    </row>
    <row r="5235" spans="1:9" x14ac:dyDescent="0.25">
      <c r="A5235" s="1">
        <v>2330690001</v>
      </c>
      <c r="B5235" s="1" t="s">
        <v>3211</v>
      </c>
      <c r="C5235" s="1" t="s">
        <v>1480</v>
      </c>
      <c r="D5235" s="1" t="s">
        <v>1481</v>
      </c>
      <c r="E5235" s="3">
        <v>5.0000000000000001E-3</v>
      </c>
      <c r="F5235" s="1" t="s">
        <v>89</v>
      </c>
      <c r="G5235" s="1">
        <v>0</v>
      </c>
      <c r="H5235" s="1">
        <v>0</v>
      </c>
      <c r="I5235" s="1">
        <v>92</v>
      </c>
    </row>
    <row r="5236" spans="1:9" x14ac:dyDescent="0.25">
      <c r="A5236" s="1">
        <v>2330840001</v>
      </c>
      <c r="B5236" s="1" t="s">
        <v>3212</v>
      </c>
      <c r="C5236" s="1" t="s">
        <v>1480</v>
      </c>
      <c r="D5236" s="1" t="s">
        <v>1481</v>
      </c>
      <c r="E5236" s="1">
        <v>1.5</v>
      </c>
      <c r="F5236" s="1" t="s">
        <v>89</v>
      </c>
      <c r="G5236" s="1">
        <v>0</v>
      </c>
      <c r="H5236" s="1">
        <v>0</v>
      </c>
      <c r="I5236" s="1">
        <v>7.1</v>
      </c>
    </row>
    <row r="5237" spans="1:9" x14ac:dyDescent="0.25">
      <c r="A5237" s="1">
        <v>2330860062</v>
      </c>
      <c r="B5237" s="1" t="s">
        <v>3214</v>
      </c>
      <c r="C5237" s="1" t="s">
        <v>1480</v>
      </c>
      <c r="D5237" s="1" t="s">
        <v>1481</v>
      </c>
      <c r="E5237" s="3">
        <v>820000</v>
      </c>
      <c r="F5237" s="1" t="s">
        <v>3213</v>
      </c>
      <c r="G5237" s="1">
        <v>0</v>
      </c>
      <c r="H5237" s="1">
        <v>0</v>
      </c>
      <c r="I5237" s="1">
        <v>1.0102999999999999E-2</v>
      </c>
    </row>
    <row r="5238" spans="1:9" x14ac:dyDescent="0.25">
      <c r="A5238" s="1">
        <v>2410010036</v>
      </c>
      <c r="B5238" s="1" t="s">
        <v>3215</v>
      </c>
      <c r="C5238" s="1" t="s">
        <v>130</v>
      </c>
      <c r="D5238" s="1" t="s">
        <v>131</v>
      </c>
      <c r="E5238" s="3">
        <v>499.5</v>
      </c>
      <c r="F5238" s="1" t="s">
        <v>89</v>
      </c>
      <c r="G5238" s="1">
        <v>0</v>
      </c>
      <c r="H5238" s="1">
        <v>0</v>
      </c>
      <c r="I5238" s="1">
        <v>7.0357960000000004</v>
      </c>
    </row>
    <row r="5239" spans="1:9" x14ac:dyDescent="0.25">
      <c r="A5239" s="1">
        <v>2410030038</v>
      </c>
      <c r="B5239" s="1" t="s">
        <v>3216</v>
      </c>
      <c r="C5239" s="1" t="s">
        <v>130</v>
      </c>
      <c r="D5239" s="1" t="s">
        <v>131</v>
      </c>
      <c r="E5239" s="3">
        <v>61.5</v>
      </c>
      <c r="F5239" s="1" t="s">
        <v>89</v>
      </c>
      <c r="G5239" s="1">
        <v>0</v>
      </c>
      <c r="H5239" s="1">
        <v>0</v>
      </c>
      <c r="I5239" s="1">
        <v>12.491707</v>
      </c>
    </row>
    <row r="5240" spans="1:9" x14ac:dyDescent="0.25">
      <c r="A5240" s="1">
        <v>2410060037</v>
      </c>
      <c r="B5240" s="1" t="s">
        <v>3217</v>
      </c>
      <c r="C5240" s="1" t="s">
        <v>130</v>
      </c>
      <c r="D5240" s="1" t="s">
        <v>131</v>
      </c>
      <c r="E5240" s="3">
        <v>1</v>
      </c>
      <c r="F5240" s="1" t="s">
        <v>3218</v>
      </c>
      <c r="G5240" s="3">
        <v>0</v>
      </c>
      <c r="H5240" s="1">
        <v>0</v>
      </c>
      <c r="I5240" s="1">
        <v>48.22</v>
      </c>
    </row>
    <row r="5241" spans="1:9" x14ac:dyDescent="0.25">
      <c r="A5241" s="1">
        <v>2410090004</v>
      </c>
      <c r="B5241" s="1" t="s">
        <v>3219</v>
      </c>
      <c r="C5241" s="1" t="s">
        <v>130</v>
      </c>
      <c r="D5241" s="1" t="s">
        <v>131</v>
      </c>
      <c r="E5241" s="3">
        <v>146.08799999999999</v>
      </c>
      <c r="F5241" s="1" t="s">
        <v>89</v>
      </c>
      <c r="G5241" s="1">
        <v>0</v>
      </c>
      <c r="H5241" s="1">
        <v>0</v>
      </c>
      <c r="I5241" s="1">
        <v>41.709586000000002</v>
      </c>
    </row>
    <row r="5242" spans="1:9" x14ac:dyDescent="0.25">
      <c r="A5242" s="1">
        <v>2410090040</v>
      </c>
      <c r="B5242" s="1" t="s">
        <v>3220</v>
      </c>
      <c r="C5242" s="1" t="s">
        <v>130</v>
      </c>
      <c r="D5242" s="1" t="s">
        <v>131</v>
      </c>
      <c r="E5242" s="1">
        <v>6</v>
      </c>
      <c r="F5242" s="1" t="s">
        <v>89</v>
      </c>
      <c r="G5242" s="1">
        <v>0</v>
      </c>
      <c r="H5242" s="1">
        <v>0</v>
      </c>
      <c r="I5242" s="1">
        <v>51.244999999999997</v>
      </c>
    </row>
    <row r="5243" spans="1:9" x14ac:dyDescent="0.25">
      <c r="A5243" s="1">
        <v>2410090050</v>
      </c>
      <c r="B5243" s="1" t="s">
        <v>3221</v>
      </c>
      <c r="C5243" s="1" t="s">
        <v>130</v>
      </c>
      <c r="D5243" s="1" t="s">
        <v>131</v>
      </c>
      <c r="E5243" s="1">
        <v>207.89</v>
      </c>
      <c r="F5243" s="1" t="s">
        <v>89</v>
      </c>
      <c r="G5243" s="1">
        <v>0</v>
      </c>
      <c r="H5243" s="1">
        <v>0</v>
      </c>
      <c r="I5243" s="1">
        <v>29.074173999999999</v>
      </c>
    </row>
    <row r="5244" spans="1:9" x14ac:dyDescent="0.25">
      <c r="A5244" s="1">
        <v>2410090057</v>
      </c>
      <c r="B5244" s="1" t="s">
        <v>3222</v>
      </c>
      <c r="C5244" s="1" t="s">
        <v>130</v>
      </c>
      <c r="D5244" s="1" t="s">
        <v>131</v>
      </c>
      <c r="E5244" s="1">
        <v>7.5</v>
      </c>
      <c r="F5244" s="1" t="s">
        <v>89</v>
      </c>
      <c r="G5244" s="1">
        <v>0</v>
      </c>
      <c r="H5244" s="1">
        <v>0</v>
      </c>
      <c r="I5244" s="1">
        <v>43.082667000000001</v>
      </c>
    </row>
    <row r="5245" spans="1:9" x14ac:dyDescent="0.25">
      <c r="A5245" s="1">
        <v>2410090076</v>
      </c>
      <c r="B5245" s="1" t="s">
        <v>3223</v>
      </c>
      <c r="C5245" s="1" t="s">
        <v>130</v>
      </c>
      <c r="D5245" s="1" t="s">
        <v>131</v>
      </c>
      <c r="E5245" s="3">
        <v>19.13</v>
      </c>
      <c r="F5245" s="1" t="s">
        <v>89</v>
      </c>
      <c r="G5245" s="1">
        <v>0</v>
      </c>
      <c r="H5245" s="1">
        <v>0</v>
      </c>
      <c r="I5245" s="1">
        <v>50</v>
      </c>
    </row>
    <row r="5246" spans="1:9" x14ac:dyDescent="0.25">
      <c r="A5246" s="1">
        <v>2410090079</v>
      </c>
      <c r="B5246" s="1" t="s">
        <v>3224</v>
      </c>
      <c r="C5246" s="1" t="s">
        <v>130</v>
      </c>
      <c r="D5246" s="1" t="s">
        <v>131</v>
      </c>
      <c r="E5246" s="3">
        <v>152.65199999999999</v>
      </c>
      <c r="F5246" s="1" t="s">
        <v>89</v>
      </c>
      <c r="G5246" s="1">
        <v>12.661</v>
      </c>
      <c r="H5246" s="1">
        <v>0</v>
      </c>
      <c r="I5246" s="1">
        <v>66.496672000000004</v>
      </c>
    </row>
    <row r="5247" spans="1:9" x14ac:dyDescent="0.25">
      <c r="A5247" s="1">
        <v>2410090079</v>
      </c>
      <c r="B5247" s="1" t="s">
        <v>3224</v>
      </c>
      <c r="C5247" s="1" t="s">
        <v>2174</v>
      </c>
      <c r="D5247" s="1" t="s">
        <v>2175</v>
      </c>
      <c r="E5247" s="1">
        <v>12.661</v>
      </c>
      <c r="F5247" s="1" t="s">
        <v>89</v>
      </c>
      <c r="G5247" s="1">
        <v>0</v>
      </c>
      <c r="H5247" s="1">
        <v>12.661</v>
      </c>
      <c r="I5247" s="1">
        <v>66.497117000000003</v>
      </c>
    </row>
    <row r="5248" spans="1:9" x14ac:dyDescent="0.25">
      <c r="A5248" s="1">
        <v>2410090083</v>
      </c>
      <c r="B5248" s="1" t="s">
        <v>3225</v>
      </c>
      <c r="C5248" s="1" t="s">
        <v>130</v>
      </c>
      <c r="D5248" s="1" t="s">
        <v>131</v>
      </c>
      <c r="E5248" s="3">
        <v>451.23</v>
      </c>
      <c r="F5248" s="1" t="s">
        <v>89</v>
      </c>
      <c r="G5248" s="1">
        <v>0</v>
      </c>
      <c r="H5248" s="1">
        <v>0</v>
      </c>
      <c r="I5248" s="1">
        <v>22.423863999999998</v>
      </c>
    </row>
    <row r="5249" spans="1:9" x14ac:dyDescent="0.25">
      <c r="A5249" s="1">
        <v>2410090084</v>
      </c>
      <c r="B5249" s="1" t="s">
        <v>3226</v>
      </c>
      <c r="C5249" s="1" t="s">
        <v>130</v>
      </c>
      <c r="D5249" s="1" t="s">
        <v>131</v>
      </c>
      <c r="E5249" s="3">
        <v>49.12</v>
      </c>
      <c r="F5249" s="1" t="s">
        <v>89</v>
      </c>
      <c r="G5249" s="1">
        <v>0</v>
      </c>
      <c r="H5249" s="1">
        <v>0</v>
      </c>
      <c r="I5249" s="1">
        <v>49.017915000000002</v>
      </c>
    </row>
    <row r="5250" spans="1:9" x14ac:dyDescent="0.25">
      <c r="A5250" s="1">
        <v>2410090097</v>
      </c>
      <c r="B5250" s="1" t="s">
        <v>3227</v>
      </c>
      <c r="C5250" s="1" t="s">
        <v>130</v>
      </c>
      <c r="D5250" s="1" t="s">
        <v>131</v>
      </c>
      <c r="E5250" s="3">
        <v>78.91</v>
      </c>
      <c r="F5250" s="1" t="s">
        <v>89</v>
      </c>
      <c r="G5250" s="1">
        <v>0</v>
      </c>
      <c r="H5250" s="1">
        <v>0</v>
      </c>
      <c r="I5250" s="1">
        <v>19.405525000000001</v>
      </c>
    </row>
    <row r="5251" spans="1:9" x14ac:dyDescent="0.25">
      <c r="A5251" s="1">
        <v>2410090106</v>
      </c>
      <c r="B5251" s="1" t="s">
        <v>3228</v>
      </c>
      <c r="C5251" s="1" t="s">
        <v>130</v>
      </c>
      <c r="D5251" s="1" t="s">
        <v>131</v>
      </c>
      <c r="E5251" s="1">
        <v>217.863</v>
      </c>
      <c r="F5251" s="1" t="s">
        <v>89</v>
      </c>
      <c r="G5251" s="1">
        <v>9.5760000000000005</v>
      </c>
      <c r="H5251" s="1">
        <v>0</v>
      </c>
      <c r="I5251" s="1">
        <v>75.070250999999999</v>
      </c>
    </row>
    <row r="5252" spans="1:9" x14ac:dyDescent="0.25">
      <c r="A5252" s="1">
        <v>2410090106</v>
      </c>
      <c r="B5252" s="1" t="s">
        <v>3228</v>
      </c>
      <c r="C5252" s="1" t="s">
        <v>2174</v>
      </c>
      <c r="D5252" s="1" t="s">
        <v>2175</v>
      </c>
      <c r="E5252" s="3">
        <v>0</v>
      </c>
      <c r="F5252" s="1" t="s">
        <v>89</v>
      </c>
      <c r="G5252" s="1">
        <v>0</v>
      </c>
      <c r="H5252" s="1">
        <v>9.5760000000000005</v>
      </c>
      <c r="I5252" s="1">
        <v>75.069967000000005</v>
      </c>
    </row>
    <row r="5253" spans="1:9" x14ac:dyDescent="0.25">
      <c r="A5253" s="1">
        <v>2410090120</v>
      </c>
      <c r="B5253" s="1" t="s">
        <v>3229</v>
      </c>
      <c r="C5253" s="1" t="s">
        <v>2333</v>
      </c>
      <c r="D5253" s="1" t="s">
        <v>2334</v>
      </c>
      <c r="E5253" s="1">
        <v>3.92</v>
      </c>
      <c r="F5253" s="1" t="s">
        <v>89</v>
      </c>
      <c r="G5253" s="1">
        <v>0</v>
      </c>
      <c r="H5253" s="1">
        <v>0</v>
      </c>
      <c r="I5253" s="1">
        <v>10.247449</v>
      </c>
    </row>
    <row r="5254" spans="1:9" x14ac:dyDescent="0.25">
      <c r="A5254" s="1">
        <v>2410090127</v>
      </c>
      <c r="B5254" s="1" t="s">
        <v>3230</v>
      </c>
      <c r="C5254" s="1" t="s">
        <v>130</v>
      </c>
      <c r="D5254" s="1" t="s">
        <v>131</v>
      </c>
      <c r="E5254" s="3">
        <v>5.4927000000000001</v>
      </c>
      <c r="F5254" s="1" t="s">
        <v>89</v>
      </c>
      <c r="G5254" s="1">
        <v>0</v>
      </c>
      <c r="H5254" s="1">
        <v>0</v>
      </c>
      <c r="I5254" s="1">
        <v>42.722158999999998</v>
      </c>
    </row>
    <row r="5255" spans="1:9" x14ac:dyDescent="0.25">
      <c r="A5255" s="1">
        <v>2410090127</v>
      </c>
      <c r="B5255" s="1" t="s">
        <v>3230</v>
      </c>
      <c r="C5255" s="1" t="s">
        <v>2333</v>
      </c>
      <c r="D5255" s="1" t="s">
        <v>2334</v>
      </c>
      <c r="E5255" s="3">
        <v>2.323</v>
      </c>
      <c r="F5255" s="1" t="s">
        <v>89</v>
      </c>
      <c r="G5255" s="1">
        <v>0</v>
      </c>
      <c r="H5255" s="1">
        <v>0</v>
      </c>
      <c r="I5255" s="1">
        <v>42.720619999999997</v>
      </c>
    </row>
    <row r="5256" spans="1:9" x14ac:dyDescent="0.25">
      <c r="A5256" s="1">
        <v>2410090129</v>
      </c>
      <c r="B5256" s="1" t="s">
        <v>3231</v>
      </c>
      <c r="C5256" s="1" t="s">
        <v>130</v>
      </c>
      <c r="D5256" s="1" t="s">
        <v>131</v>
      </c>
      <c r="E5256" s="1">
        <v>53.094799999999999</v>
      </c>
      <c r="F5256" s="1" t="s">
        <v>89</v>
      </c>
      <c r="G5256" s="1">
        <v>0</v>
      </c>
      <c r="H5256" s="1">
        <v>0</v>
      </c>
      <c r="I5256" s="1">
        <v>37.139794999999999</v>
      </c>
    </row>
    <row r="5257" spans="1:9" x14ac:dyDescent="0.25">
      <c r="A5257" s="1">
        <v>2410090131</v>
      </c>
      <c r="B5257" s="1" t="s">
        <v>3232</v>
      </c>
      <c r="C5257" s="1" t="s">
        <v>130</v>
      </c>
      <c r="D5257" s="1" t="s">
        <v>131</v>
      </c>
      <c r="E5257" s="3">
        <v>80.2</v>
      </c>
      <c r="F5257" s="1" t="s">
        <v>89</v>
      </c>
      <c r="G5257" s="1">
        <v>0</v>
      </c>
      <c r="H5257" s="1">
        <v>0</v>
      </c>
      <c r="I5257" s="1">
        <v>60.951994999999997</v>
      </c>
    </row>
    <row r="5258" spans="1:9" x14ac:dyDescent="0.25">
      <c r="A5258" s="1">
        <v>2410090152</v>
      </c>
      <c r="B5258" s="1" t="s">
        <v>3233</v>
      </c>
      <c r="C5258" s="1" t="s">
        <v>2333</v>
      </c>
      <c r="D5258" s="1" t="s">
        <v>2334</v>
      </c>
      <c r="E5258" s="3">
        <v>1.5135000000000001</v>
      </c>
      <c r="F5258" s="1" t="s">
        <v>89</v>
      </c>
      <c r="G5258" s="1">
        <v>0</v>
      </c>
      <c r="H5258" s="1">
        <v>0</v>
      </c>
      <c r="I5258" s="1">
        <v>50.003304</v>
      </c>
    </row>
    <row r="5259" spans="1:9" x14ac:dyDescent="0.25">
      <c r="A5259" s="1">
        <v>2410090163</v>
      </c>
      <c r="B5259" s="1" t="s">
        <v>107</v>
      </c>
      <c r="C5259" s="1" t="s">
        <v>130</v>
      </c>
      <c r="D5259" s="1" t="s">
        <v>131</v>
      </c>
      <c r="E5259" s="3">
        <v>69.150000000000006</v>
      </c>
      <c r="F5259" s="1" t="s">
        <v>89</v>
      </c>
      <c r="G5259" s="1">
        <v>0</v>
      </c>
      <c r="H5259" s="1">
        <v>0</v>
      </c>
      <c r="I5259" s="1">
        <v>50.463196000000003</v>
      </c>
    </row>
    <row r="5260" spans="1:9" x14ac:dyDescent="0.25">
      <c r="A5260" s="1">
        <v>2410090163</v>
      </c>
      <c r="B5260" s="1" t="s">
        <v>107</v>
      </c>
      <c r="C5260" s="1" t="s">
        <v>2333</v>
      </c>
      <c r="D5260" s="1" t="s">
        <v>2334</v>
      </c>
      <c r="E5260" s="3">
        <v>0.188</v>
      </c>
      <c r="F5260" s="1" t="s">
        <v>89</v>
      </c>
      <c r="G5260" s="1">
        <v>0</v>
      </c>
      <c r="H5260" s="1">
        <v>0</v>
      </c>
      <c r="I5260" s="1">
        <v>50.478723000000002</v>
      </c>
    </row>
    <row r="5261" spans="1:9" x14ac:dyDescent="0.25">
      <c r="A5261" s="1">
        <v>2410090166</v>
      </c>
      <c r="B5261" s="1" t="s">
        <v>112</v>
      </c>
      <c r="C5261" s="1" t="s">
        <v>130</v>
      </c>
      <c r="D5261" s="1" t="s">
        <v>131</v>
      </c>
      <c r="E5261" s="3">
        <v>28.9</v>
      </c>
      <c r="F5261" s="1" t="s">
        <v>89</v>
      </c>
      <c r="G5261" s="1">
        <v>0</v>
      </c>
      <c r="H5261" s="1">
        <v>0</v>
      </c>
      <c r="I5261" s="1">
        <v>53.901384</v>
      </c>
    </row>
    <row r="5262" spans="1:9" x14ac:dyDescent="0.25">
      <c r="A5262" s="1">
        <v>2410090166</v>
      </c>
      <c r="B5262" s="1" t="s">
        <v>112</v>
      </c>
      <c r="C5262" s="1" t="s">
        <v>2333</v>
      </c>
      <c r="D5262" s="1" t="s">
        <v>2334</v>
      </c>
      <c r="E5262" s="3">
        <v>2.0699999999999998</v>
      </c>
      <c r="F5262" s="1" t="s">
        <v>89</v>
      </c>
      <c r="G5262" s="1">
        <v>0</v>
      </c>
      <c r="H5262" s="1">
        <v>0</v>
      </c>
      <c r="I5262" s="1">
        <v>53.898550999999998</v>
      </c>
    </row>
    <row r="5263" spans="1:9" x14ac:dyDescent="0.25">
      <c r="A5263" s="1">
        <v>2410090167</v>
      </c>
      <c r="B5263" s="1" t="s">
        <v>3234</v>
      </c>
      <c r="C5263" s="1" t="s">
        <v>130</v>
      </c>
      <c r="D5263" s="1" t="s">
        <v>131</v>
      </c>
      <c r="E5263" s="3">
        <v>4.0999999999999996</v>
      </c>
      <c r="F5263" s="1" t="s">
        <v>89</v>
      </c>
      <c r="G5263" s="1">
        <v>0</v>
      </c>
      <c r="H5263" s="1">
        <v>0</v>
      </c>
      <c r="I5263" s="1">
        <v>31.243901999999999</v>
      </c>
    </row>
    <row r="5264" spans="1:9" x14ac:dyDescent="0.25">
      <c r="A5264" s="1">
        <v>2410090168</v>
      </c>
      <c r="B5264" s="1" t="s">
        <v>109</v>
      </c>
      <c r="C5264" s="1" t="s">
        <v>130</v>
      </c>
      <c r="D5264" s="1" t="s">
        <v>131</v>
      </c>
      <c r="E5264" s="3">
        <v>66.06</v>
      </c>
      <c r="F5264" s="1" t="s">
        <v>89</v>
      </c>
      <c r="G5264" s="1">
        <v>0</v>
      </c>
      <c r="H5264" s="1">
        <v>0</v>
      </c>
      <c r="I5264" s="1">
        <v>80.451408000000001</v>
      </c>
    </row>
    <row r="5265" spans="1:9" x14ac:dyDescent="0.25">
      <c r="A5265" s="1">
        <v>2410090168</v>
      </c>
      <c r="B5265" s="1" t="s">
        <v>109</v>
      </c>
      <c r="C5265" s="1" t="s">
        <v>2333</v>
      </c>
      <c r="D5265" s="1" t="s">
        <v>2334</v>
      </c>
      <c r="E5265" s="3">
        <v>0.04</v>
      </c>
      <c r="F5265" s="1" t="s">
        <v>89</v>
      </c>
      <c r="G5265" s="1">
        <v>0</v>
      </c>
      <c r="H5265" s="1">
        <v>0</v>
      </c>
      <c r="I5265" s="1">
        <v>80.5</v>
      </c>
    </row>
    <row r="5266" spans="1:9" x14ac:dyDescent="0.25">
      <c r="A5266" s="1">
        <v>2410090171</v>
      </c>
      <c r="B5266" s="1" t="s">
        <v>3235</v>
      </c>
      <c r="C5266" s="1" t="s">
        <v>130</v>
      </c>
      <c r="D5266" s="1" t="s">
        <v>131</v>
      </c>
      <c r="E5266" s="3">
        <v>53</v>
      </c>
      <c r="F5266" s="1" t="s">
        <v>89</v>
      </c>
      <c r="G5266" s="1">
        <v>0</v>
      </c>
      <c r="H5266" s="1">
        <v>0</v>
      </c>
      <c r="I5266" s="1">
        <v>11.097735999999999</v>
      </c>
    </row>
    <row r="5267" spans="1:9" x14ac:dyDescent="0.25">
      <c r="A5267" s="1">
        <v>2410090171</v>
      </c>
      <c r="B5267" s="1" t="s">
        <v>3235</v>
      </c>
      <c r="C5267" s="1" t="s">
        <v>2333</v>
      </c>
      <c r="D5267" s="1" t="s">
        <v>2334</v>
      </c>
      <c r="E5267" s="3">
        <v>12.443</v>
      </c>
      <c r="F5267" s="1" t="s">
        <v>89</v>
      </c>
      <c r="G5267" s="1">
        <v>0</v>
      </c>
      <c r="H5267" s="1">
        <v>0</v>
      </c>
      <c r="I5267" s="1">
        <v>11.097806</v>
      </c>
    </row>
    <row r="5268" spans="1:9" x14ac:dyDescent="0.25">
      <c r="A5268" s="1">
        <v>2410090172</v>
      </c>
      <c r="B5268" s="1" t="s">
        <v>105</v>
      </c>
      <c r="C5268" s="1" t="s">
        <v>130</v>
      </c>
      <c r="D5268" s="1" t="s">
        <v>131</v>
      </c>
      <c r="E5268" s="3">
        <v>110.06189999999999</v>
      </c>
      <c r="F5268" s="1" t="s">
        <v>89</v>
      </c>
      <c r="G5268" s="1">
        <v>0</v>
      </c>
      <c r="H5268" s="1">
        <v>0</v>
      </c>
      <c r="I5268" s="1">
        <v>55.284253999999997</v>
      </c>
    </row>
    <row r="5269" spans="1:9" x14ac:dyDescent="0.25">
      <c r="A5269" s="1">
        <v>2410090172</v>
      </c>
      <c r="B5269" s="1" t="s">
        <v>105</v>
      </c>
      <c r="C5269" s="1" t="s">
        <v>2333</v>
      </c>
      <c r="D5269" s="1" t="s">
        <v>2334</v>
      </c>
      <c r="E5269" s="3">
        <v>9.8681000000000001</v>
      </c>
      <c r="F5269" s="1" t="s">
        <v>89</v>
      </c>
      <c r="G5269" s="1">
        <v>0</v>
      </c>
      <c r="H5269" s="1">
        <v>0</v>
      </c>
      <c r="I5269" s="1">
        <v>55.284199000000001</v>
      </c>
    </row>
    <row r="5270" spans="1:9" x14ac:dyDescent="0.25">
      <c r="A5270" s="1">
        <v>2410090173</v>
      </c>
      <c r="B5270" s="1" t="s">
        <v>3236</v>
      </c>
      <c r="C5270" s="1" t="s">
        <v>130</v>
      </c>
      <c r="D5270" s="1" t="s">
        <v>131</v>
      </c>
      <c r="E5270" s="3">
        <v>99.072000000000003</v>
      </c>
      <c r="F5270" s="1" t="s">
        <v>89</v>
      </c>
      <c r="G5270" s="1">
        <v>0</v>
      </c>
      <c r="H5270" s="1">
        <v>0</v>
      </c>
      <c r="I5270" s="1">
        <v>72.419653999999994</v>
      </c>
    </row>
    <row r="5271" spans="1:9" x14ac:dyDescent="0.25">
      <c r="A5271" s="1">
        <v>2410090173</v>
      </c>
      <c r="B5271" s="1" t="s">
        <v>3236</v>
      </c>
      <c r="C5271" s="1" t="s">
        <v>2333</v>
      </c>
      <c r="D5271" s="1" t="s">
        <v>2334</v>
      </c>
      <c r="E5271" s="3">
        <v>0.40050000000000002</v>
      </c>
      <c r="F5271" s="1" t="s">
        <v>89</v>
      </c>
      <c r="G5271" s="1">
        <v>0</v>
      </c>
      <c r="H5271" s="1">
        <v>0</v>
      </c>
      <c r="I5271" s="1">
        <v>72.434456999999995</v>
      </c>
    </row>
    <row r="5272" spans="1:9" x14ac:dyDescent="0.25">
      <c r="A5272" s="1">
        <v>2410090176</v>
      </c>
      <c r="B5272" s="1" t="s">
        <v>3237</v>
      </c>
      <c r="C5272" s="1" t="s">
        <v>130</v>
      </c>
      <c r="D5272" s="1" t="s">
        <v>131</v>
      </c>
      <c r="E5272" s="3">
        <v>8.73</v>
      </c>
      <c r="F5272" s="1" t="s">
        <v>89</v>
      </c>
      <c r="G5272" s="1">
        <v>0</v>
      </c>
      <c r="H5272" s="1">
        <v>0</v>
      </c>
      <c r="I5272" s="1">
        <v>62.030928000000003</v>
      </c>
    </row>
    <row r="5273" spans="1:9" x14ac:dyDescent="0.25">
      <c r="A5273" s="1">
        <v>2410090176</v>
      </c>
      <c r="B5273" s="1" t="s">
        <v>3237</v>
      </c>
      <c r="C5273" s="1" t="s">
        <v>2333</v>
      </c>
      <c r="D5273" s="1" t="s">
        <v>2334</v>
      </c>
      <c r="E5273" s="3">
        <v>0.215</v>
      </c>
      <c r="F5273" s="1" t="s">
        <v>89</v>
      </c>
      <c r="G5273" s="1">
        <v>0</v>
      </c>
      <c r="H5273" s="1">
        <v>0</v>
      </c>
      <c r="I5273" s="1">
        <v>62.046512</v>
      </c>
    </row>
    <row r="5274" spans="1:9" x14ac:dyDescent="0.25">
      <c r="A5274" s="1">
        <v>2410090180</v>
      </c>
      <c r="B5274" s="1" t="s">
        <v>3238</v>
      </c>
      <c r="C5274" s="1" t="s">
        <v>130</v>
      </c>
      <c r="D5274" s="1" t="s">
        <v>131</v>
      </c>
      <c r="E5274" s="3">
        <v>0.45</v>
      </c>
      <c r="F5274" s="1" t="s">
        <v>89</v>
      </c>
      <c r="G5274" s="1">
        <v>0</v>
      </c>
      <c r="H5274" s="1">
        <v>0</v>
      </c>
      <c r="I5274" s="1">
        <v>21.311111</v>
      </c>
    </row>
    <row r="5275" spans="1:9" x14ac:dyDescent="0.25">
      <c r="A5275" s="1">
        <v>2410090182</v>
      </c>
      <c r="B5275" s="1" t="s">
        <v>3239</v>
      </c>
      <c r="C5275" s="1" t="s">
        <v>130</v>
      </c>
      <c r="D5275" s="1" t="s">
        <v>131</v>
      </c>
      <c r="E5275" s="3">
        <v>1.32</v>
      </c>
      <c r="F5275" s="1" t="s">
        <v>89</v>
      </c>
      <c r="G5275" s="1">
        <v>0</v>
      </c>
      <c r="H5275" s="1">
        <v>0</v>
      </c>
      <c r="I5275" s="1">
        <v>27.136364</v>
      </c>
    </row>
    <row r="5276" spans="1:9" x14ac:dyDescent="0.25">
      <c r="A5276" s="1">
        <v>2410090236</v>
      </c>
      <c r="B5276" s="1" t="s">
        <v>3240</v>
      </c>
      <c r="C5276" s="1" t="s">
        <v>130</v>
      </c>
      <c r="D5276" s="1" t="s">
        <v>131</v>
      </c>
      <c r="E5276" s="3">
        <v>23.4</v>
      </c>
      <c r="F5276" s="1" t="s">
        <v>89</v>
      </c>
      <c r="G5276" s="1">
        <v>0</v>
      </c>
      <c r="H5276" s="1">
        <v>0</v>
      </c>
      <c r="I5276" s="1">
        <v>111.041026</v>
      </c>
    </row>
    <row r="5277" spans="1:9" x14ac:dyDescent="0.25">
      <c r="A5277" s="1">
        <v>2410090237</v>
      </c>
      <c r="B5277" s="1" t="s">
        <v>3241</v>
      </c>
      <c r="C5277" s="1" t="s">
        <v>130</v>
      </c>
      <c r="D5277" s="1" t="s">
        <v>131</v>
      </c>
      <c r="E5277" s="3">
        <v>2.52</v>
      </c>
      <c r="F5277" s="1" t="s">
        <v>89</v>
      </c>
      <c r="G5277" s="1">
        <v>0</v>
      </c>
      <c r="H5277" s="1">
        <v>0</v>
      </c>
      <c r="I5277" s="1">
        <v>78.793650999999997</v>
      </c>
    </row>
    <row r="5278" spans="1:9" x14ac:dyDescent="0.25">
      <c r="A5278" s="1">
        <v>2410090239</v>
      </c>
      <c r="B5278" s="1" t="s">
        <v>3242</v>
      </c>
      <c r="C5278" s="1" t="s">
        <v>157</v>
      </c>
      <c r="D5278" s="1" t="s">
        <v>158</v>
      </c>
      <c r="E5278" s="1">
        <v>27.5</v>
      </c>
      <c r="F5278" s="1" t="s">
        <v>89</v>
      </c>
      <c r="G5278" s="1">
        <v>0</v>
      </c>
      <c r="H5278" s="1">
        <v>0</v>
      </c>
      <c r="I5278" s="1">
        <v>301.50545499999998</v>
      </c>
    </row>
    <row r="5279" spans="1:9" x14ac:dyDescent="0.25">
      <c r="A5279" s="1">
        <v>2410090240</v>
      </c>
      <c r="B5279" s="1" t="s">
        <v>3243</v>
      </c>
      <c r="C5279" s="1" t="s">
        <v>130</v>
      </c>
      <c r="D5279" s="1" t="s">
        <v>131</v>
      </c>
      <c r="E5279" s="3">
        <v>12.3</v>
      </c>
      <c r="F5279" s="1" t="s">
        <v>89</v>
      </c>
      <c r="G5279" s="1">
        <v>0</v>
      </c>
      <c r="H5279" s="1">
        <v>0</v>
      </c>
      <c r="I5279" s="1">
        <v>45.373984</v>
      </c>
    </row>
    <row r="5280" spans="1:9" x14ac:dyDescent="0.25">
      <c r="A5280" s="1">
        <v>2410090245</v>
      </c>
      <c r="B5280" s="1" t="s">
        <v>3244</v>
      </c>
      <c r="C5280" s="1" t="s">
        <v>130</v>
      </c>
      <c r="D5280" s="1" t="s">
        <v>131</v>
      </c>
      <c r="E5280" s="1">
        <v>1.44</v>
      </c>
      <c r="F5280" s="1" t="s">
        <v>89</v>
      </c>
      <c r="G5280" s="3">
        <v>0</v>
      </c>
      <c r="H5280" s="1">
        <v>0</v>
      </c>
      <c r="I5280" s="1">
        <v>83.125</v>
      </c>
    </row>
    <row r="5281" spans="1:9" x14ac:dyDescent="0.25">
      <c r="A5281" s="1">
        <v>2410090246</v>
      </c>
      <c r="B5281" s="1" t="s">
        <v>108</v>
      </c>
      <c r="C5281" s="1" t="s">
        <v>130</v>
      </c>
      <c r="D5281" s="1" t="s">
        <v>131</v>
      </c>
      <c r="E5281" s="3">
        <v>10.8201</v>
      </c>
      <c r="F5281" s="1" t="s">
        <v>89</v>
      </c>
      <c r="G5281" s="1">
        <v>0</v>
      </c>
      <c r="H5281" s="3">
        <v>0</v>
      </c>
      <c r="I5281" s="1">
        <v>147.97090600000001</v>
      </c>
    </row>
    <row r="5282" spans="1:9" x14ac:dyDescent="0.25">
      <c r="A5282" s="1">
        <v>2410090250</v>
      </c>
      <c r="B5282" s="1" t="s">
        <v>3245</v>
      </c>
      <c r="C5282" s="1" t="s">
        <v>130</v>
      </c>
      <c r="D5282" s="1" t="s">
        <v>131</v>
      </c>
      <c r="E5282" s="3">
        <v>48</v>
      </c>
      <c r="F5282" s="1" t="s">
        <v>89</v>
      </c>
      <c r="G5282" s="3">
        <v>0</v>
      </c>
      <c r="H5282" s="1">
        <v>0</v>
      </c>
      <c r="I5282" s="1">
        <v>45.632083000000002</v>
      </c>
    </row>
    <row r="5283" spans="1:9" x14ac:dyDescent="0.25">
      <c r="A5283" s="1">
        <v>2410090252</v>
      </c>
      <c r="B5283" s="1" t="s">
        <v>3246</v>
      </c>
      <c r="C5283" s="1" t="s">
        <v>130</v>
      </c>
      <c r="D5283" s="1" t="s">
        <v>131</v>
      </c>
      <c r="E5283" s="3">
        <v>410.70100000000002</v>
      </c>
      <c r="F5283" s="1" t="s">
        <v>89</v>
      </c>
      <c r="G5283" s="1">
        <v>0</v>
      </c>
      <c r="H5283" s="1">
        <v>0</v>
      </c>
      <c r="I5283" s="1">
        <v>8.5374029999999994</v>
      </c>
    </row>
    <row r="5284" spans="1:9" x14ac:dyDescent="0.25">
      <c r="A5284" s="1">
        <v>2410090254</v>
      </c>
      <c r="B5284" s="1" t="s">
        <v>3247</v>
      </c>
      <c r="C5284" s="1" t="s">
        <v>130</v>
      </c>
      <c r="D5284" s="1" t="s">
        <v>131</v>
      </c>
      <c r="E5284" s="3">
        <v>7.6459999999999999</v>
      </c>
      <c r="F5284" s="1" t="s">
        <v>89</v>
      </c>
      <c r="G5284" s="1">
        <v>0</v>
      </c>
      <c r="H5284" s="1">
        <v>0</v>
      </c>
      <c r="I5284" s="1">
        <v>29.840439</v>
      </c>
    </row>
    <row r="5285" spans="1:9" x14ac:dyDescent="0.25">
      <c r="A5285" s="1">
        <v>2410090255</v>
      </c>
      <c r="B5285" s="1" t="s">
        <v>3248</v>
      </c>
      <c r="C5285" s="1" t="s">
        <v>130</v>
      </c>
      <c r="D5285" s="1" t="s">
        <v>131</v>
      </c>
      <c r="E5285" s="3">
        <v>19.071999999999999</v>
      </c>
      <c r="F5285" s="1" t="s">
        <v>89</v>
      </c>
      <c r="G5285" s="1">
        <v>0</v>
      </c>
      <c r="H5285" s="1">
        <v>0</v>
      </c>
      <c r="I5285" s="1">
        <v>268.116086</v>
      </c>
    </row>
    <row r="5286" spans="1:9" x14ac:dyDescent="0.25">
      <c r="A5286" s="1">
        <v>2410090256</v>
      </c>
      <c r="B5286" s="1" t="s">
        <v>3249</v>
      </c>
      <c r="C5286" s="1" t="s">
        <v>130</v>
      </c>
      <c r="D5286" s="1" t="s">
        <v>131</v>
      </c>
      <c r="E5286" s="3">
        <v>13.129</v>
      </c>
      <c r="F5286" s="1" t="s">
        <v>89</v>
      </c>
      <c r="G5286" s="1">
        <v>0</v>
      </c>
      <c r="H5286" s="1">
        <v>0</v>
      </c>
      <c r="I5286" s="1">
        <v>52.310153</v>
      </c>
    </row>
    <row r="5287" spans="1:9" x14ac:dyDescent="0.25">
      <c r="A5287" s="1">
        <v>2410090258</v>
      </c>
      <c r="B5287" s="1" t="s">
        <v>3250</v>
      </c>
      <c r="C5287" s="1" t="s">
        <v>130</v>
      </c>
      <c r="D5287" s="1" t="s">
        <v>131</v>
      </c>
      <c r="E5287" s="3">
        <v>16.5</v>
      </c>
      <c r="F5287" s="1" t="s">
        <v>89</v>
      </c>
      <c r="G5287" s="1">
        <v>0</v>
      </c>
      <c r="H5287" s="1">
        <v>0</v>
      </c>
      <c r="I5287" s="1">
        <v>41.090302999999999</v>
      </c>
    </row>
    <row r="5288" spans="1:9" x14ac:dyDescent="0.25">
      <c r="A5288" s="1">
        <v>2410090265</v>
      </c>
      <c r="B5288" s="1" t="s">
        <v>103</v>
      </c>
      <c r="C5288" s="1" t="s">
        <v>130</v>
      </c>
      <c r="D5288" s="1" t="s">
        <v>131</v>
      </c>
      <c r="E5288" s="3">
        <v>89.688999999999993</v>
      </c>
      <c r="F5288" s="1" t="s">
        <v>89</v>
      </c>
      <c r="G5288" s="1">
        <v>0</v>
      </c>
      <c r="H5288" s="1">
        <v>0</v>
      </c>
      <c r="I5288" s="1">
        <v>88.803754999999995</v>
      </c>
    </row>
    <row r="5289" spans="1:9" x14ac:dyDescent="0.25">
      <c r="A5289" s="1">
        <v>2410090265</v>
      </c>
      <c r="B5289" s="1" t="s">
        <v>103</v>
      </c>
      <c r="C5289" s="1" t="s">
        <v>2174</v>
      </c>
      <c r="D5289" s="1" t="s">
        <v>2175</v>
      </c>
      <c r="E5289" s="3">
        <v>4.05</v>
      </c>
      <c r="F5289" s="1" t="s">
        <v>89</v>
      </c>
      <c r="G5289" s="1">
        <v>0</v>
      </c>
      <c r="H5289" s="1">
        <v>0</v>
      </c>
      <c r="I5289" s="1">
        <v>88.804938000000007</v>
      </c>
    </row>
    <row r="5290" spans="1:9" x14ac:dyDescent="0.25">
      <c r="A5290" s="1">
        <v>2410090266</v>
      </c>
      <c r="B5290" s="1" t="s">
        <v>100</v>
      </c>
      <c r="C5290" s="1" t="s">
        <v>130</v>
      </c>
      <c r="D5290" s="1" t="s">
        <v>131</v>
      </c>
      <c r="E5290" s="1">
        <v>28.666</v>
      </c>
      <c r="F5290" s="1" t="s">
        <v>89</v>
      </c>
      <c r="G5290" s="3">
        <v>0</v>
      </c>
      <c r="H5290" s="1">
        <v>0</v>
      </c>
      <c r="I5290" s="1">
        <v>163.744855</v>
      </c>
    </row>
    <row r="5291" spans="1:9" x14ac:dyDescent="0.25">
      <c r="A5291" s="1">
        <v>2410090266</v>
      </c>
      <c r="B5291" s="1" t="s">
        <v>100</v>
      </c>
      <c r="C5291" s="1" t="s">
        <v>2174</v>
      </c>
      <c r="D5291" s="1" t="s">
        <v>2175</v>
      </c>
      <c r="E5291" s="3">
        <v>7.2320000000000002</v>
      </c>
      <c r="F5291" s="1" t="s">
        <v>89</v>
      </c>
      <c r="G5291" s="1">
        <v>0</v>
      </c>
      <c r="H5291" s="3">
        <v>0</v>
      </c>
      <c r="I5291" s="1">
        <v>163.74446900000001</v>
      </c>
    </row>
    <row r="5292" spans="1:9" x14ac:dyDescent="0.25">
      <c r="A5292" s="1">
        <v>2410090267</v>
      </c>
      <c r="B5292" s="1" t="s">
        <v>96</v>
      </c>
      <c r="C5292" s="1" t="s">
        <v>130</v>
      </c>
      <c r="D5292" s="1" t="s">
        <v>131</v>
      </c>
      <c r="E5292" s="3">
        <v>32.902500000000003</v>
      </c>
      <c r="F5292" s="1" t="s">
        <v>89</v>
      </c>
      <c r="G5292" s="1">
        <v>0</v>
      </c>
      <c r="H5292" s="1">
        <v>0</v>
      </c>
      <c r="I5292" s="1">
        <v>125.553377</v>
      </c>
    </row>
    <row r="5293" spans="1:9" x14ac:dyDescent="0.25">
      <c r="A5293" s="1">
        <v>2410090267</v>
      </c>
      <c r="B5293" s="1" t="s">
        <v>96</v>
      </c>
      <c r="C5293" s="1" t="s">
        <v>2174</v>
      </c>
      <c r="D5293" s="1" t="s">
        <v>2175</v>
      </c>
      <c r="E5293" s="3">
        <v>4.0621</v>
      </c>
      <c r="F5293" s="1" t="s">
        <v>89</v>
      </c>
      <c r="G5293" s="1">
        <v>0</v>
      </c>
      <c r="H5293" s="1">
        <v>0</v>
      </c>
      <c r="I5293" s="1">
        <v>125.553285</v>
      </c>
    </row>
    <row r="5294" spans="1:9" x14ac:dyDescent="0.25">
      <c r="A5294" s="1">
        <v>2410090268</v>
      </c>
      <c r="B5294" s="1" t="s">
        <v>97</v>
      </c>
      <c r="C5294" s="1" t="s">
        <v>130</v>
      </c>
      <c r="D5294" s="1" t="s">
        <v>131</v>
      </c>
      <c r="E5294" s="3">
        <v>1.4172</v>
      </c>
      <c r="F5294" s="1" t="s">
        <v>89</v>
      </c>
      <c r="G5294" s="1">
        <v>0</v>
      </c>
      <c r="H5294" s="1">
        <v>0</v>
      </c>
      <c r="I5294" s="1">
        <v>138.307931</v>
      </c>
    </row>
    <row r="5295" spans="1:9" x14ac:dyDescent="0.25">
      <c r="A5295" s="1">
        <v>2410090268</v>
      </c>
      <c r="B5295" s="1" t="s">
        <v>97</v>
      </c>
      <c r="C5295" s="1" t="s">
        <v>2174</v>
      </c>
      <c r="D5295" s="1" t="s">
        <v>2175</v>
      </c>
      <c r="E5295" s="3">
        <v>13.2021</v>
      </c>
      <c r="F5295" s="1" t="s">
        <v>89</v>
      </c>
      <c r="G5295" s="1">
        <v>0</v>
      </c>
      <c r="H5295" s="1">
        <v>0</v>
      </c>
      <c r="I5295" s="1">
        <v>138.30678499999999</v>
      </c>
    </row>
    <row r="5296" spans="1:9" x14ac:dyDescent="0.25">
      <c r="A5296" s="1">
        <v>2410090269</v>
      </c>
      <c r="B5296" s="1" t="s">
        <v>98</v>
      </c>
      <c r="C5296" s="1" t="s">
        <v>2174</v>
      </c>
      <c r="D5296" s="1" t="s">
        <v>2175</v>
      </c>
      <c r="E5296" s="1">
        <v>4.6775000000000002</v>
      </c>
      <c r="F5296" s="1" t="s">
        <v>89</v>
      </c>
      <c r="G5296" s="1">
        <v>0</v>
      </c>
      <c r="H5296" s="1">
        <v>0</v>
      </c>
      <c r="I5296" s="1">
        <v>323.08498100000003</v>
      </c>
    </row>
    <row r="5297" spans="1:9" x14ac:dyDescent="0.25">
      <c r="A5297" s="1">
        <v>2410090271</v>
      </c>
      <c r="B5297" s="1" t="s">
        <v>3251</v>
      </c>
      <c r="C5297" s="1" t="s">
        <v>130</v>
      </c>
      <c r="D5297" s="1" t="s">
        <v>131</v>
      </c>
      <c r="E5297" s="1">
        <v>203.28</v>
      </c>
      <c r="F5297" s="1" t="s">
        <v>89</v>
      </c>
      <c r="G5297" s="1">
        <v>0</v>
      </c>
      <c r="H5297" s="1">
        <v>0</v>
      </c>
      <c r="I5297" s="1">
        <v>3.9142070000000002</v>
      </c>
    </row>
    <row r="5298" spans="1:9" x14ac:dyDescent="0.25">
      <c r="A5298" s="1">
        <v>2410090273</v>
      </c>
      <c r="B5298" s="1" t="s">
        <v>3252</v>
      </c>
      <c r="C5298" s="1" t="s">
        <v>130</v>
      </c>
      <c r="D5298" s="1" t="s">
        <v>131</v>
      </c>
      <c r="E5298" s="3">
        <v>157.91</v>
      </c>
      <c r="F5298" s="1" t="s">
        <v>89</v>
      </c>
      <c r="G5298" s="1">
        <v>0</v>
      </c>
      <c r="H5298" s="1">
        <v>0</v>
      </c>
      <c r="I5298" s="1">
        <v>80.091571000000002</v>
      </c>
    </row>
    <row r="5299" spans="1:9" x14ac:dyDescent="0.25">
      <c r="A5299" s="1">
        <v>2410090274</v>
      </c>
      <c r="B5299" s="1" t="s">
        <v>3253</v>
      </c>
      <c r="C5299" s="1" t="s">
        <v>130</v>
      </c>
      <c r="D5299" s="1" t="s">
        <v>131</v>
      </c>
      <c r="E5299" s="3">
        <v>192.71100000000001</v>
      </c>
      <c r="F5299" s="1" t="s">
        <v>89</v>
      </c>
      <c r="G5299" s="1">
        <v>6.4820000000000002</v>
      </c>
      <c r="H5299" s="1">
        <v>0</v>
      </c>
      <c r="I5299" s="1">
        <v>74.759406999999996</v>
      </c>
    </row>
    <row r="5300" spans="1:9" x14ac:dyDescent="0.25">
      <c r="A5300" s="1">
        <v>2410090274</v>
      </c>
      <c r="B5300" s="1" t="s">
        <v>3253</v>
      </c>
      <c r="C5300" s="1" t="s">
        <v>2174</v>
      </c>
      <c r="D5300" s="1" t="s">
        <v>2175</v>
      </c>
      <c r="E5300" s="3">
        <v>6.4820000000000002</v>
      </c>
      <c r="F5300" s="1" t="s">
        <v>89</v>
      </c>
      <c r="G5300" s="1">
        <v>0</v>
      </c>
      <c r="H5300" s="1">
        <v>6.4820000000000002</v>
      </c>
      <c r="I5300" s="1">
        <v>74.759333999999996</v>
      </c>
    </row>
    <row r="5301" spans="1:9" x14ac:dyDescent="0.25">
      <c r="A5301" s="1">
        <v>2410090277</v>
      </c>
      <c r="B5301" s="1" t="s">
        <v>3254</v>
      </c>
      <c r="C5301" s="1" t="s">
        <v>130</v>
      </c>
      <c r="D5301" s="1" t="s">
        <v>131</v>
      </c>
      <c r="E5301" s="1">
        <v>1.3</v>
      </c>
      <c r="F5301" s="1" t="s">
        <v>89</v>
      </c>
      <c r="G5301" s="1">
        <v>0</v>
      </c>
      <c r="H5301" s="1">
        <v>0</v>
      </c>
      <c r="I5301" s="1">
        <v>55.169231000000003</v>
      </c>
    </row>
    <row r="5302" spans="1:9" x14ac:dyDescent="0.25">
      <c r="A5302" s="1">
        <v>2410090289</v>
      </c>
      <c r="B5302" s="1" t="s">
        <v>3255</v>
      </c>
      <c r="C5302" s="1" t="s">
        <v>130</v>
      </c>
      <c r="D5302" s="1" t="s">
        <v>131</v>
      </c>
      <c r="E5302" s="1">
        <v>22.41</v>
      </c>
      <c r="F5302" s="1" t="s">
        <v>89</v>
      </c>
      <c r="G5302" s="1">
        <v>0</v>
      </c>
      <c r="H5302" s="1">
        <v>0</v>
      </c>
      <c r="I5302" s="1">
        <v>83.375279000000006</v>
      </c>
    </row>
    <row r="5303" spans="1:9" x14ac:dyDescent="0.25">
      <c r="A5303" s="1">
        <v>2410090289</v>
      </c>
      <c r="B5303" s="1" t="s">
        <v>3255</v>
      </c>
      <c r="C5303" s="1" t="s">
        <v>2333</v>
      </c>
      <c r="D5303" s="1" t="s">
        <v>2334</v>
      </c>
      <c r="E5303" s="1">
        <v>2.3140000000000001</v>
      </c>
      <c r="F5303" s="1" t="s">
        <v>89</v>
      </c>
      <c r="G5303" s="1">
        <v>0</v>
      </c>
      <c r="H5303" s="1">
        <v>0</v>
      </c>
      <c r="I5303" s="1">
        <v>83.370787000000007</v>
      </c>
    </row>
    <row r="5304" spans="1:9" x14ac:dyDescent="0.25">
      <c r="A5304" s="1">
        <v>2410090290</v>
      </c>
      <c r="B5304" s="1" t="s">
        <v>3256</v>
      </c>
      <c r="C5304" s="1" t="s">
        <v>130</v>
      </c>
      <c r="D5304" s="1" t="s">
        <v>131</v>
      </c>
      <c r="E5304" s="3">
        <v>16.22</v>
      </c>
      <c r="F5304" s="1" t="s">
        <v>89</v>
      </c>
      <c r="G5304" s="1">
        <v>0</v>
      </c>
      <c r="H5304" s="1">
        <v>0</v>
      </c>
      <c r="I5304" s="1">
        <v>85.461776</v>
      </c>
    </row>
    <row r="5305" spans="1:9" x14ac:dyDescent="0.25">
      <c r="A5305" s="1">
        <v>2410090291</v>
      </c>
      <c r="B5305" s="1" t="s">
        <v>3257</v>
      </c>
      <c r="C5305" s="1" t="s">
        <v>130</v>
      </c>
      <c r="D5305" s="1" t="s">
        <v>131</v>
      </c>
      <c r="E5305" s="3">
        <v>12.356</v>
      </c>
      <c r="F5305" s="1" t="s">
        <v>89</v>
      </c>
      <c r="G5305" s="1">
        <v>0</v>
      </c>
      <c r="H5305" s="1">
        <v>0</v>
      </c>
      <c r="I5305" s="1">
        <v>41.429265000000001</v>
      </c>
    </row>
    <row r="5306" spans="1:9" x14ac:dyDescent="0.25">
      <c r="A5306" s="1">
        <v>2410090291</v>
      </c>
      <c r="B5306" s="1" t="s">
        <v>3257</v>
      </c>
      <c r="C5306" s="1" t="s">
        <v>2174</v>
      </c>
      <c r="D5306" s="1" t="s">
        <v>2175</v>
      </c>
      <c r="E5306" s="3">
        <v>6.0000000000000001E-3</v>
      </c>
      <c r="F5306" s="1" t="s">
        <v>89</v>
      </c>
      <c r="G5306" s="1">
        <v>0</v>
      </c>
      <c r="H5306" s="1">
        <v>0</v>
      </c>
      <c r="I5306" s="1">
        <v>41.666666999999997</v>
      </c>
    </row>
    <row r="5307" spans="1:9" x14ac:dyDescent="0.25">
      <c r="A5307" s="1">
        <v>2410090292</v>
      </c>
      <c r="B5307" s="1" t="s">
        <v>3258</v>
      </c>
      <c r="C5307" s="1" t="s">
        <v>130</v>
      </c>
      <c r="D5307" s="1" t="s">
        <v>131</v>
      </c>
      <c r="E5307" s="1">
        <v>25.564</v>
      </c>
      <c r="F5307" s="1" t="s">
        <v>89</v>
      </c>
      <c r="G5307" s="1">
        <v>0</v>
      </c>
      <c r="H5307" s="1">
        <v>0</v>
      </c>
      <c r="I5307" s="1">
        <v>39.566969</v>
      </c>
    </row>
    <row r="5308" spans="1:9" x14ac:dyDescent="0.25">
      <c r="A5308" s="1">
        <v>2410090292</v>
      </c>
      <c r="B5308" s="1" t="s">
        <v>3258</v>
      </c>
      <c r="C5308" s="1" t="s">
        <v>2174</v>
      </c>
      <c r="D5308" s="1" t="s">
        <v>2175</v>
      </c>
      <c r="E5308" s="3">
        <v>0.4</v>
      </c>
      <c r="F5308" s="1" t="s">
        <v>89</v>
      </c>
      <c r="G5308" s="1">
        <v>0</v>
      </c>
      <c r="H5308" s="1">
        <v>0</v>
      </c>
      <c r="I5308" s="1">
        <v>39.575000000000003</v>
      </c>
    </row>
    <row r="5309" spans="1:9" x14ac:dyDescent="0.25">
      <c r="A5309" s="1">
        <v>2410090294</v>
      </c>
      <c r="B5309" s="1" t="s">
        <v>101</v>
      </c>
      <c r="C5309" s="1" t="s">
        <v>130</v>
      </c>
      <c r="D5309" s="1" t="s">
        <v>131</v>
      </c>
      <c r="E5309" s="1">
        <v>74.900000000000006</v>
      </c>
      <c r="F5309" s="1" t="s">
        <v>89</v>
      </c>
      <c r="G5309" s="1">
        <v>0</v>
      </c>
      <c r="H5309" s="3">
        <v>0</v>
      </c>
      <c r="I5309" s="1">
        <v>20.024166000000001</v>
      </c>
    </row>
    <row r="5310" spans="1:9" x14ac:dyDescent="0.25">
      <c r="A5310" s="1">
        <v>2410090294</v>
      </c>
      <c r="B5310" s="1" t="s">
        <v>101</v>
      </c>
      <c r="C5310" s="1" t="s">
        <v>2333</v>
      </c>
      <c r="D5310" s="1" t="s">
        <v>2334</v>
      </c>
      <c r="E5310" s="3">
        <v>7.0860000000000003</v>
      </c>
      <c r="F5310" s="1" t="s">
        <v>89</v>
      </c>
      <c r="G5310" s="1">
        <v>0</v>
      </c>
      <c r="H5310" s="1">
        <v>0</v>
      </c>
      <c r="I5310" s="1">
        <v>20.026813000000001</v>
      </c>
    </row>
    <row r="5311" spans="1:9" x14ac:dyDescent="0.25">
      <c r="A5311" s="1">
        <v>2410090295</v>
      </c>
      <c r="B5311" s="1" t="s">
        <v>88</v>
      </c>
      <c r="C5311" s="1" t="s">
        <v>130</v>
      </c>
      <c r="D5311" s="1" t="s">
        <v>131</v>
      </c>
      <c r="E5311" s="3">
        <v>168.33920000000001</v>
      </c>
      <c r="F5311" s="1" t="s">
        <v>89</v>
      </c>
      <c r="G5311" s="1">
        <v>0</v>
      </c>
      <c r="H5311" s="1">
        <v>0</v>
      </c>
      <c r="I5311" s="1">
        <v>18.454999999999998</v>
      </c>
    </row>
    <row r="5312" spans="1:9" x14ac:dyDescent="0.25">
      <c r="A5312" s="1">
        <v>2410090295</v>
      </c>
      <c r="B5312" s="1" t="s">
        <v>88</v>
      </c>
      <c r="C5312" s="1" t="s">
        <v>2333</v>
      </c>
      <c r="D5312" s="1" t="s">
        <v>2334</v>
      </c>
      <c r="E5312" s="3">
        <v>3.76</v>
      </c>
      <c r="F5312" s="1" t="s">
        <v>89</v>
      </c>
      <c r="G5312" s="1">
        <v>0</v>
      </c>
      <c r="H5312" s="1">
        <v>0</v>
      </c>
      <c r="I5312" s="1">
        <v>18.452127999999998</v>
      </c>
    </row>
    <row r="5313" spans="1:9" x14ac:dyDescent="0.25">
      <c r="A5313" s="1">
        <v>2410090296</v>
      </c>
      <c r="B5313" s="1" t="s">
        <v>102</v>
      </c>
      <c r="C5313" s="1" t="s">
        <v>130</v>
      </c>
      <c r="D5313" s="1" t="s">
        <v>131</v>
      </c>
      <c r="E5313" s="3">
        <v>80.69</v>
      </c>
      <c r="F5313" s="1" t="s">
        <v>89</v>
      </c>
      <c r="G5313" s="1">
        <v>0</v>
      </c>
      <c r="H5313" s="1">
        <v>0</v>
      </c>
      <c r="I5313" s="1">
        <v>20.628330999999999</v>
      </c>
    </row>
    <row r="5314" spans="1:9" x14ac:dyDescent="0.25">
      <c r="A5314" s="1">
        <v>2410090296</v>
      </c>
      <c r="B5314" s="1" t="s">
        <v>102</v>
      </c>
      <c r="C5314" s="1" t="s">
        <v>2333</v>
      </c>
      <c r="D5314" s="1" t="s">
        <v>2334</v>
      </c>
      <c r="E5314" s="1">
        <v>4.92</v>
      </c>
      <c r="F5314" s="1" t="s">
        <v>89</v>
      </c>
      <c r="G5314" s="1">
        <v>0</v>
      </c>
      <c r="H5314" s="1">
        <v>0</v>
      </c>
      <c r="I5314" s="1">
        <v>20.632114000000001</v>
      </c>
    </row>
    <row r="5315" spans="1:9" x14ac:dyDescent="0.25">
      <c r="A5315" s="1">
        <v>2410090297</v>
      </c>
      <c r="B5315" s="1" t="s">
        <v>104</v>
      </c>
      <c r="C5315" s="1" t="s">
        <v>130</v>
      </c>
      <c r="D5315" s="1" t="s">
        <v>131</v>
      </c>
      <c r="E5315" s="3">
        <v>38.460500000000003</v>
      </c>
      <c r="F5315" s="1" t="s">
        <v>89</v>
      </c>
      <c r="G5315" s="1">
        <v>0</v>
      </c>
      <c r="H5315" s="1">
        <v>0</v>
      </c>
      <c r="I5315" s="1">
        <v>14.927002999999999</v>
      </c>
    </row>
    <row r="5316" spans="1:9" x14ac:dyDescent="0.25">
      <c r="A5316" s="1">
        <v>2410090297</v>
      </c>
      <c r="B5316" s="1" t="s">
        <v>104</v>
      </c>
      <c r="C5316" s="1" t="s">
        <v>2333</v>
      </c>
      <c r="D5316" s="1" t="s">
        <v>2334</v>
      </c>
      <c r="E5316" s="3">
        <v>5.6325000000000003</v>
      </c>
      <c r="F5316" s="1" t="s">
        <v>89</v>
      </c>
      <c r="G5316" s="1">
        <v>0</v>
      </c>
      <c r="H5316" s="1">
        <v>0</v>
      </c>
      <c r="I5316" s="1">
        <v>14.881491</v>
      </c>
    </row>
    <row r="5317" spans="1:9" x14ac:dyDescent="0.25">
      <c r="A5317" s="1">
        <v>2410090298</v>
      </c>
      <c r="B5317" s="1" t="s">
        <v>106</v>
      </c>
      <c r="C5317" s="1" t="s">
        <v>130</v>
      </c>
      <c r="D5317" s="1" t="s">
        <v>131</v>
      </c>
      <c r="E5317" s="1">
        <v>89.23</v>
      </c>
      <c r="F5317" s="1" t="s">
        <v>89</v>
      </c>
      <c r="G5317" s="1">
        <v>0</v>
      </c>
      <c r="H5317" s="1">
        <v>0</v>
      </c>
      <c r="I5317" s="1">
        <v>17.241623000000001</v>
      </c>
    </row>
    <row r="5318" spans="1:9" x14ac:dyDescent="0.25">
      <c r="A5318" s="1">
        <v>2410090298</v>
      </c>
      <c r="B5318" s="1" t="s">
        <v>106</v>
      </c>
      <c r="C5318" s="1" t="s">
        <v>2333</v>
      </c>
      <c r="D5318" s="1" t="s">
        <v>2334</v>
      </c>
      <c r="E5318" s="3">
        <v>0.317</v>
      </c>
      <c r="F5318" s="1" t="s">
        <v>89</v>
      </c>
      <c r="G5318" s="1">
        <v>0</v>
      </c>
      <c r="H5318" s="1">
        <v>0</v>
      </c>
      <c r="I5318" s="1">
        <v>17.255521000000002</v>
      </c>
    </row>
    <row r="5319" spans="1:9" x14ac:dyDescent="0.25">
      <c r="A5319" s="1">
        <v>2410090299</v>
      </c>
      <c r="B5319" s="1" t="s">
        <v>110</v>
      </c>
      <c r="C5319" s="1" t="s">
        <v>130</v>
      </c>
      <c r="D5319" s="1" t="s">
        <v>131</v>
      </c>
      <c r="E5319" s="1">
        <v>132.19</v>
      </c>
      <c r="F5319" s="1" t="s">
        <v>89</v>
      </c>
      <c r="G5319" s="1">
        <v>0</v>
      </c>
      <c r="H5319" s="1">
        <v>0</v>
      </c>
      <c r="I5319" s="1">
        <v>12.364929</v>
      </c>
    </row>
    <row r="5320" spans="1:9" x14ac:dyDescent="0.25">
      <c r="A5320" s="1">
        <v>2410090299</v>
      </c>
      <c r="B5320" s="1" t="s">
        <v>110</v>
      </c>
      <c r="C5320" s="1" t="s">
        <v>2333</v>
      </c>
      <c r="D5320" s="1" t="s">
        <v>2334</v>
      </c>
      <c r="E5320" s="1">
        <v>3.5030000000000001</v>
      </c>
      <c r="F5320" s="1" t="s">
        <v>89</v>
      </c>
      <c r="G5320" s="1">
        <v>0</v>
      </c>
      <c r="H5320" s="1">
        <v>0</v>
      </c>
      <c r="I5320" s="1">
        <v>12.403654</v>
      </c>
    </row>
    <row r="5321" spans="1:9" x14ac:dyDescent="0.25">
      <c r="A5321" s="1">
        <v>2410090300</v>
      </c>
      <c r="B5321" s="1" t="s">
        <v>111</v>
      </c>
      <c r="C5321" s="1" t="s">
        <v>130</v>
      </c>
      <c r="D5321" s="1" t="s">
        <v>131</v>
      </c>
      <c r="E5321" s="1">
        <v>33.6</v>
      </c>
      <c r="F5321" s="1" t="s">
        <v>89</v>
      </c>
      <c r="G5321" s="1">
        <v>0</v>
      </c>
      <c r="H5321" s="1">
        <v>0</v>
      </c>
      <c r="I5321" s="1">
        <v>17.620238000000001</v>
      </c>
    </row>
    <row r="5322" spans="1:9" x14ac:dyDescent="0.25">
      <c r="A5322" s="1">
        <v>2410090300</v>
      </c>
      <c r="B5322" s="1" t="s">
        <v>111</v>
      </c>
      <c r="C5322" s="1" t="s">
        <v>2333</v>
      </c>
      <c r="D5322" s="1" t="s">
        <v>2334</v>
      </c>
      <c r="E5322" s="1">
        <v>2.6019999999999999</v>
      </c>
      <c r="F5322" s="1" t="s">
        <v>89</v>
      </c>
      <c r="G5322" s="1">
        <v>0</v>
      </c>
      <c r="H5322" s="1">
        <v>0</v>
      </c>
      <c r="I5322" s="1">
        <v>17.624904000000001</v>
      </c>
    </row>
    <row r="5323" spans="1:9" x14ac:dyDescent="0.25">
      <c r="A5323" s="1">
        <v>2410090302</v>
      </c>
      <c r="B5323" s="1" t="s">
        <v>3259</v>
      </c>
      <c r="C5323" s="1" t="s">
        <v>130</v>
      </c>
      <c r="D5323" s="1" t="s">
        <v>131</v>
      </c>
      <c r="E5323" s="1">
        <v>22.4</v>
      </c>
      <c r="F5323" s="1" t="s">
        <v>89</v>
      </c>
      <c r="G5323" s="1">
        <v>0</v>
      </c>
      <c r="H5323" s="1">
        <v>0</v>
      </c>
      <c r="I5323" s="1">
        <v>40.179017999999999</v>
      </c>
    </row>
    <row r="5324" spans="1:9" x14ac:dyDescent="0.25">
      <c r="A5324" s="1">
        <v>2410090302</v>
      </c>
      <c r="B5324" s="1" t="s">
        <v>3259</v>
      </c>
      <c r="C5324" s="1" t="s">
        <v>2333</v>
      </c>
      <c r="D5324" s="1" t="s">
        <v>2334</v>
      </c>
      <c r="E5324" s="1">
        <v>0.40899999999999997</v>
      </c>
      <c r="F5324" s="1" t="s">
        <v>89</v>
      </c>
      <c r="G5324" s="1">
        <v>0</v>
      </c>
      <c r="H5324" s="1">
        <v>0</v>
      </c>
      <c r="I5324" s="1">
        <v>40.171149</v>
      </c>
    </row>
    <row r="5325" spans="1:9" x14ac:dyDescent="0.25">
      <c r="A5325" s="1">
        <v>2410090303</v>
      </c>
      <c r="B5325" s="1" t="s">
        <v>3260</v>
      </c>
      <c r="C5325" s="1" t="s">
        <v>130</v>
      </c>
      <c r="D5325" s="1" t="s">
        <v>131</v>
      </c>
      <c r="E5325" s="3">
        <v>32.796999999999997</v>
      </c>
      <c r="F5325" s="1" t="s">
        <v>89</v>
      </c>
      <c r="G5325" s="1">
        <v>0</v>
      </c>
      <c r="H5325" s="1">
        <v>0</v>
      </c>
      <c r="I5325" s="1">
        <v>46.534134000000002</v>
      </c>
    </row>
    <row r="5326" spans="1:9" x14ac:dyDescent="0.25">
      <c r="A5326" s="1">
        <v>2410090305</v>
      </c>
      <c r="B5326" s="1" t="s">
        <v>3261</v>
      </c>
      <c r="C5326" s="1" t="s">
        <v>130</v>
      </c>
      <c r="D5326" s="1" t="s">
        <v>131</v>
      </c>
      <c r="E5326" s="1">
        <v>105.717</v>
      </c>
      <c r="F5326" s="1" t="s">
        <v>89</v>
      </c>
      <c r="G5326" s="1">
        <v>0</v>
      </c>
      <c r="H5326" s="1">
        <v>0</v>
      </c>
      <c r="I5326" s="1">
        <v>39.245722000000001</v>
      </c>
    </row>
    <row r="5327" spans="1:9" x14ac:dyDescent="0.25">
      <c r="A5327" s="1">
        <v>2410090306</v>
      </c>
      <c r="B5327" s="1" t="s">
        <v>3262</v>
      </c>
      <c r="C5327" s="1" t="s">
        <v>130</v>
      </c>
      <c r="D5327" s="1" t="s">
        <v>131</v>
      </c>
      <c r="E5327" s="3">
        <v>189.69</v>
      </c>
      <c r="F5327" s="1" t="s">
        <v>89</v>
      </c>
      <c r="G5327" s="1">
        <v>5.0179999999999998</v>
      </c>
      <c r="H5327" s="1">
        <v>0</v>
      </c>
      <c r="I5327" s="1">
        <v>43.042068999999998</v>
      </c>
    </row>
    <row r="5328" spans="1:9" x14ac:dyDescent="0.25">
      <c r="A5328" s="1">
        <v>2410090306</v>
      </c>
      <c r="B5328" s="1" t="s">
        <v>3262</v>
      </c>
      <c r="C5328" s="1" t="s">
        <v>2174</v>
      </c>
      <c r="D5328" s="1" t="s">
        <v>2175</v>
      </c>
      <c r="E5328" s="3">
        <v>5.0179999999999998</v>
      </c>
      <c r="F5328" s="1" t="s">
        <v>89</v>
      </c>
      <c r="G5328" s="1">
        <v>0</v>
      </c>
      <c r="H5328" s="1">
        <v>5.0179999999999998</v>
      </c>
      <c r="I5328" s="1">
        <v>43.041052000000001</v>
      </c>
    </row>
    <row r="5329" spans="1:9" x14ac:dyDescent="0.25">
      <c r="A5329" s="1">
        <v>2410090307</v>
      </c>
      <c r="B5329" s="1" t="s">
        <v>3263</v>
      </c>
      <c r="C5329" s="1" t="s">
        <v>130</v>
      </c>
      <c r="D5329" s="1" t="s">
        <v>131</v>
      </c>
      <c r="E5329" s="3">
        <v>58.07</v>
      </c>
      <c r="F5329" s="1" t="s">
        <v>89</v>
      </c>
      <c r="G5329" s="1">
        <v>20.143000000000001</v>
      </c>
      <c r="H5329" s="1">
        <v>0</v>
      </c>
      <c r="I5329" s="1">
        <v>40.108662000000002</v>
      </c>
    </row>
    <row r="5330" spans="1:9" x14ac:dyDescent="0.25">
      <c r="A5330" s="1">
        <v>2410090307</v>
      </c>
      <c r="B5330" s="1" t="s">
        <v>3263</v>
      </c>
      <c r="C5330" s="1" t="s">
        <v>2174</v>
      </c>
      <c r="D5330" s="1" t="s">
        <v>2175</v>
      </c>
      <c r="E5330" s="3">
        <v>0.16900000000000001</v>
      </c>
      <c r="F5330" s="1" t="s">
        <v>89</v>
      </c>
      <c r="G5330" s="1">
        <v>0</v>
      </c>
      <c r="H5330" s="1">
        <v>20.143000000000001</v>
      </c>
      <c r="I5330" s="1">
        <v>40.118343000000003</v>
      </c>
    </row>
    <row r="5331" spans="1:9" x14ac:dyDescent="0.25">
      <c r="A5331" s="1">
        <v>2410090308</v>
      </c>
      <c r="B5331" s="1" t="s">
        <v>3264</v>
      </c>
      <c r="C5331" s="1" t="s">
        <v>130</v>
      </c>
      <c r="D5331" s="1" t="s">
        <v>131</v>
      </c>
      <c r="E5331" s="3">
        <v>21.85</v>
      </c>
      <c r="F5331" s="1" t="s">
        <v>89</v>
      </c>
      <c r="G5331" s="1">
        <v>0</v>
      </c>
      <c r="H5331" s="1">
        <v>0</v>
      </c>
      <c r="I5331" s="1">
        <v>42.427002000000002</v>
      </c>
    </row>
    <row r="5332" spans="1:9" x14ac:dyDescent="0.25">
      <c r="A5332" s="1">
        <v>2410090309</v>
      </c>
      <c r="B5332" s="1" t="s">
        <v>3265</v>
      </c>
      <c r="C5332" s="1" t="s">
        <v>130</v>
      </c>
      <c r="D5332" s="1" t="s">
        <v>131</v>
      </c>
      <c r="E5332" s="3">
        <v>19.5</v>
      </c>
      <c r="F5332" s="1" t="s">
        <v>89</v>
      </c>
      <c r="G5332" s="1">
        <v>0</v>
      </c>
      <c r="H5332" s="1">
        <v>0</v>
      </c>
      <c r="I5332" s="1">
        <v>44.435896999999997</v>
      </c>
    </row>
    <row r="5333" spans="1:9" x14ac:dyDescent="0.25">
      <c r="A5333" s="1">
        <v>2410090310</v>
      </c>
      <c r="B5333" s="1" t="s">
        <v>99</v>
      </c>
      <c r="C5333" s="1" t="s">
        <v>130</v>
      </c>
      <c r="D5333" s="1" t="s">
        <v>131</v>
      </c>
      <c r="E5333" s="3">
        <v>337.44319999999999</v>
      </c>
      <c r="F5333" s="1" t="s">
        <v>89</v>
      </c>
      <c r="G5333" s="1">
        <v>0</v>
      </c>
      <c r="H5333" s="1">
        <v>0</v>
      </c>
      <c r="I5333" s="1">
        <v>8.8844879999999993</v>
      </c>
    </row>
    <row r="5334" spans="1:9" x14ac:dyDescent="0.25">
      <c r="A5334" s="1">
        <v>2410090310</v>
      </c>
      <c r="B5334" s="1" t="s">
        <v>99</v>
      </c>
      <c r="C5334" s="1" t="s">
        <v>2333</v>
      </c>
      <c r="D5334" s="1" t="s">
        <v>2334</v>
      </c>
      <c r="E5334" s="3">
        <v>6.141</v>
      </c>
      <c r="F5334" s="1" t="s">
        <v>89</v>
      </c>
      <c r="G5334" s="1">
        <v>0</v>
      </c>
      <c r="H5334" s="1">
        <v>0</v>
      </c>
      <c r="I5334" s="1">
        <v>8.8845460000000003</v>
      </c>
    </row>
    <row r="5335" spans="1:9" x14ac:dyDescent="0.25">
      <c r="A5335" s="1">
        <v>2410090312</v>
      </c>
      <c r="B5335" s="1" t="s">
        <v>3266</v>
      </c>
      <c r="C5335" s="1" t="s">
        <v>130</v>
      </c>
      <c r="D5335" s="1" t="s">
        <v>131</v>
      </c>
      <c r="E5335" s="3">
        <v>0.9</v>
      </c>
      <c r="F5335" s="1" t="s">
        <v>89</v>
      </c>
      <c r="G5335" s="1">
        <v>0</v>
      </c>
      <c r="H5335" s="1">
        <v>0</v>
      </c>
      <c r="I5335" s="1">
        <v>108.277778</v>
      </c>
    </row>
    <row r="5336" spans="1:9" x14ac:dyDescent="0.25">
      <c r="A5336" s="1">
        <v>2410090317</v>
      </c>
      <c r="B5336" s="1" t="s">
        <v>3267</v>
      </c>
      <c r="C5336" s="1" t="s">
        <v>130</v>
      </c>
      <c r="D5336" s="1" t="s">
        <v>131</v>
      </c>
      <c r="E5336" s="1">
        <v>69.679000000000002</v>
      </c>
      <c r="F5336" s="1" t="s">
        <v>89</v>
      </c>
      <c r="G5336" s="1">
        <v>0</v>
      </c>
      <c r="H5336" s="1">
        <v>0</v>
      </c>
      <c r="I5336" s="1">
        <v>78.355458999999996</v>
      </c>
    </row>
    <row r="5337" spans="1:9" x14ac:dyDescent="0.25">
      <c r="A5337" s="1">
        <v>2410100007</v>
      </c>
      <c r="B5337" s="1" t="s">
        <v>3268</v>
      </c>
      <c r="C5337" s="1" t="s">
        <v>130</v>
      </c>
      <c r="D5337" s="1" t="s">
        <v>131</v>
      </c>
      <c r="E5337" s="3">
        <v>628.70000000000005</v>
      </c>
      <c r="F5337" s="1" t="s">
        <v>89</v>
      </c>
      <c r="G5337" s="1">
        <v>0</v>
      </c>
      <c r="H5337" s="1">
        <v>0</v>
      </c>
      <c r="I5337" s="1">
        <v>6.4761730000000002</v>
      </c>
    </row>
    <row r="5338" spans="1:9" x14ac:dyDescent="0.25">
      <c r="A5338" s="1">
        <v>2410100010</v>
      </c>
      <c r="B5338" s="1" t="s">
        <v>3269</v>
      </c>
      <c r="C5338" s="1" t="s">
        <v>130</v>
      </c>
      <c r="D5338" s="1" t="s">
        <v>131</v>
      </c>
      <c r="E5338" s="1">
        <v>875</v>
      </c>
      <c r="F5338" s="1" t="s">
        <v>89</v>
      </c>
      <c r="G5338" s="1">
        <v>0</v>
      </c>
      <c r="H5338" s="1">
        <v>0</v>
      </c>
      <c r="I5338" s="1">
        <v>7.5373939999999999</v>
      </c>
    </row>
    <row r="5339" spans="1:9" x14ac:dyDescent="0.25">
      <c r="A5339" s="1">
        <v>2410100014</v>
      </c>
      <c r="B5339" s="1" t="s">
        <v>3270</v>
      </c>
      <c r="C5339" s="1" t="s">
        <v>130</v>
      </c>
      <c r="D5339" s="1" t="s">
        <v>131</v>
      </c>
      <c r="E5339" s="3">
        <v>36776</v>
      </c>
      <c r="F5339" s="1" t="s">
        <v>36</v>
      </c>
      <c r="G5339" s="3">
        <v>0</v>
      </c>
      <c r="H5339" s="3">
        <v>50000</v>
      </c>
      <c r="I5339" s="1">
        <v>6.1440000000000002E-2</v>
      </c>
    </row>
    <row r="5340" spans="1:9" x14ac:dyDescent="0.25">
      <c r="A5340" s="1">
        <v>2410100014</v>
      </c>
      <c r="B5340" s="1" t="s">
        <v>3270</v>
      </c>
      <c r="C5340" s="1" t="s">
        <v>142</v>
      </c>
      <c r="D5340" s="1" t="s">
        <v>143</v>
      </c>
      <c r="E5340" s="3">
        <v>11403</v>
      </c>
      <c r="F5340" s="1" t="s">
        <v>36</v>
      </c>
      <c r="G5340" s="3">
        <v>0</v>
      </c>
      <c r="H5340" s="1">
        <v>0</v>
      </c>
      <c r="I5340" s="1">
        <v>6.1439000000000001E-2</v>
      </c>
    </row>
    <row r="5341" spans="1:9" x14ac:dyDescent="0.25">
      <c r="A5341" s="1">
        <v>2410110027</v>
      </c>
      <c r="B5341" s="1" t="s">
        <v>3271</v>
      </c>
      <c r="C5341" s="1" t="s">
        <v>130</v>
      </c>
      <c r="D5341" s="1" t="s">
        <v>131</v>
      </c>
      <c r="E5341" s="3">
        <v>249.4</v>
      </c>
      <c r="F5341" s="1" t="s">
        <v>89</v>
      </c>
      <c r="G5341" s="3">
        <v>0</v>
      </c>
      <c r="H5341" s="1">
        <v>0</v>
      </c>
      <c r="I5341" s="1">
        <v>47.467682000000003</v>
      </c>
    </row>
    <row r="5342" spans="1:9" x14ac:dyDescent="0.25">
      <c r="A5342" s="1">
        <v>2410110028</v>
      </c>
      <c r="B5342" s="1" t="s">
        <v>3272</v>
      </c>
      <c r="C5342" s="1" t="s">
        <v>130</v>
      </c>
      <c r="D5342" s="1" t="s">
        <v>131</v>
      </c>
      <c r="E5342" s="1">
        <v>179.6</v>
      </c>
      <c r="F5342" s="1" t="s">
        <v>89</v>
      </c>
      <c r="G5342" s="1">
        <v>0</v>
      </c>
      <c r="H5342" s="3">
        <v>0</v>
      </c>
      <c r="I5342" s="1">
        <v>60.472884000000001</v>
      </c>
    </row>
    <row r="5343" spans="1:9" x14ac:dyDescent="0.25">
      <c r="A5343" s="1">
        <v>2410110036</v>
      </c>
      <c r="B5343" s="1" t="s">
        <v>3273</v>
      </c>
      <c r="C5343" s="1" t="s">
        <v>130</v>
      </c>
      <c r="D5343" s="1" t="s">
        <v>131</v>
      </c>
      <c r="E5343" s="1">
        <v>348.6</v>
      </c>
      <c r="F5343" s="1" t="s">
        <v>89</v>
      </c>
      <c r="G5343" s="1">
        <v>0</v>
      </c>
      <c r="H5343" s="1">
        <v>0</v>
      </c>
      <c r="I5343" s="1">
        <v>66.966149999999999</v>
      </c>
    </row>
    <row r="5344" spans="1:9" x14ac:dyDescent="0.25">
      <c r="A5344" s="1">
        <v>2410110037</v>
      </c>
      <c r="B5344" s="1" t="s">
        <v>3274</v>
      </c>
      <c r="C5344" s="1" t="s">
        <v>130</v>
      </c>
      <c r="D5344" s="1" t="s">
        <v>131</v>
      </c>
      <c r="E5344" s="3">
        <v>93.8</v>
      </c>
      <c r="F5344" s="1" t="s">
        <v>89</v>
      </c>
      <c r="G5344" s="1">
        <v>0</v>
      </c>
      <c r="H5344" s="1">
        <v>0</v>
      </c>
      <c r="I5344" s="1">
        <v>40.844029999999997</v>
      </c>
    </row>
    <row r="5345" spans="1:9" x14ac:dyDescent="0.25">
      <c r="A5345" s="1">
        <v>2410110038</v>
      </c>
      <c r="B5345" s="1" t="s">
        <v>3275</v>
      </c>
      <c r="C5345" s="1" t="s">
        <v>130</v>
      </c>
      <c r="D5345" s="1" t="s">
        <v>131</v>
      </c>
      <c r="E5345" s="3">
        <v>117</v>
      </c>
      <c r="F5345" s="1" t="s">
        <v>89</v>
      </c>
      <c r="G5345" s="1">
        <v>0</v>
      </c>
      <c r="H5345" s="1">
        <v>0</v>
      </c>
      <c r="I5345" s="1">
        <v>79.732906</v>
      </c>
    </row>
    <row r="5346" spans="1:9" x14ac:dyDescent="0.25">
      <c r="A5346" s="1">
        <v>2410110039</v>
      </c>
      <c r="B5346" s="1" t="s">
        <v>3276</v>
      </c>
      <c r="C5346" s="1" t="s">
        <v>130</v>
      </c>
      <c r="D5346" s="1" t="s">
        <v>131</v>
      </c>
      <c r="E5346" s="1">
        <v>26</v>
      </c>
      <c r="F5346" s="1" t="s">
        <v>89</v>
      </c>
      <c r="G5346" s="1">
        <v>0</v>
      </c>
      <c r="H5346" s="1">
        <v>0</v>
      </c>
      <c r="I5346" s="1">
        <v>71.48</v>
      </c>
    </row>
    <row r="5347" spans="1:9" x14ac:dyDescent="0.25">
      <c r="A5347" s="1">
        <v>2410110040</v>
      </c>
      <c r="B5347" s="1" t="s">
        <v>3277</v>
      </c>
      <c r="C5347" s="1" t="s">
        <v>130</v>
      </c>
      <c r="D5347" s="1" t="s">
        <v>131</v>
      </c>
      <c r="E5347" s="3">
        <v>42.6</v>
      </c>
      <c r="F5347" s="1" t="s">
        <v>89</v>
      </c>
      <c r="G5347" s="1">
        <v>0</v>
      </c>
      <c r="H5347" s="1">
        <v>0</v>
      </c>
      <c r="I5347" s="1">
        <v>71.265493000000006</v>
      </c>
    </row>
    <row r="5348" spans="1:9" x14ac:dyDescent="0.25">
      <c r="A5348" s="1">
        <v>2410110041</v>
      </c>
      <c r="B5348" s="1" t="s">
        <v>3278</v>
      </c>
      <c r="C5348" s="1" t="s">
        <v>130</v>
      </c>
      <c r="D5348" s="1" t="s">
        <v>131</v>
      </c>
      <c r="E5348" s="3">
        <v>34.6</v>
      </c>
      <c r="F5348" s="1" t="s">
        <v>89</v>
      </c>
      <c r="G5348" s="1">
        <v>0</v>
      </c>
      <c r="H5348" s="1">
        <v>0</v>
      </c>
      <c r="I5348" s="1">
        <v>70.435838000000004</v>
      </c>
    </row>
    <row r="5349" spans="1:9" x14ac:dyDescent="0.25">
      <c r="A5349" s="1">
        <v>2410110043</v>
      </c>
      <c r="B5349" s="1" t="s">
        <v>3279</v>
      </c>
      <c r="C5349" s="1" t="s">
        <v>130</v>
      </c>
      <c r="D5349" s="1" t="s">
        <v>131</v>
      </c>
      <c r="E5349" s="1">
        <v>17.399999999999999</v>
      </c>
      <c r="F5349" s="1" t="s">
        <v>89</v>
      </c>
      <c r="G5349" s="1">
        <v>0</v>
      </c>
      <c r="H5349" s="1">
        <v>0</v>
      </c>
      <c r="I5349" s="1">
        <v>71.096552000000003</v>
      </c>
    </row>
    <row r="5350" spans="1:9" x14ac:dyDescent="0.25">
      <c r="A5350" s="1">
        <v>2410110044</v>
      </c>
      <c r="B5350" s="1" t="s">
        <v>3280</v>
      </c>
      <c r="C5350" s="1" t="s">
        <v>130</v>
      </c>
      <c r="D5350" s="1" t="s">
        <v>131</v>
      </c>
      <c r="E5350" s="1">
        <v>32.200000000000003</v>
      </c>
      <c r="F5350" s="1" t="s">
        <v>89</v>
      </c>
      <c r="G5350" s="1">
        <v>0</v>
      </c>
      <c r="H5350" s="1">
        <v>0</v>
      </c>
      <c r="I5350" s="1">
        <v>75.605901000000003</v>
      </c>
    </row>
    <row r="5351" spans="1:9" x14ac:dyDescent="0.25">
      <c r="A5351" s="1">
        <v>2410110046</v>
      </c>
      <c r="B5351" s="1" t="s">
        <v>3281</v>
      </c>
      <c r="C5351" s="1" t="s">
        <v>157</v>
      </c>
      <c r="D5351" s="1" t="s">
        <v>158</v>
      </c>
      <c r="E5351" s="3">
        <v>455.5</v>
      </c>
      <c r="F5351" s="1" t="s">
        <v>89</v>
      </c>
      <c r="G5351" s="1">
        <v>0</v>
      </c>
      <c r="H5351" s="1">
        <v>0</v>
      </c>
      <c r="I5351" s="1">
        <v>27.197299999999998</v>
      </c>
    </row>
    <row r="5352" spans="1:9" x14ac:dyDescent="0.25">
      <c r="A5352" s="1">
        <v>2410110053</v>
      </c>
      <c r="B5352" s="1" t="s">
        <v>3282</v>
      </c>
      <c r="C5352" s="1" t="s">
        <v>130</v>
      </c>
      <c r="D5352" s="1" t="s">
        <v>131</v>
      </c>
      <c r="E5352" s="3">
        <v>380</v>
      </c>
      <c r="F5352" s="1" t="s">
        <v>89</v>
      </c>
      <c r="G5352" s="1">
        <v>13</v>
      </c>
      <c r="H5352" s="1">
        <v>0</v>
      </c>
      <c r="I5352" s="1">
        <v>14.426500000000001</v>
      </c>
    </row>
    <row r="5353" spans="1:9" x14ac:dyDescent="0.25">
      <c r="A5353" s="1">
        <v>2410110053</v>
      </c>
      <c r="B5353" s="1" t="s">
        <v>3282</v>
      </c>
      <c r="C5353" s="1" t="s">
        <v>1698</v>
      </c>
      <c r="D5353" s="1" t="s">
        <v>1699</v>
      </c>
      <c r="E5353" s="3">
        <v>28.276</v>
      </c>
      <c r="F5353" s="1" t="s">
        <v>89</v>
      </c>
      <c r="G5353" s="1">
        <v>0</v>
      </c>
      <c r="H5353" s="1">
        <v>13</v>
      </c>
      <c r="I5353" s="1">
        <v>14.446173</v>
      </c>
    </row>
    <row r="5354" spans="1:9" x14ac:dyDescent="0.25">
      <c r="A5354" s="1">
        <v>2410110063</v>
      </c>
      <c r="B5354" s="1" t="s">
        <v>3283</v>
      </c>
      <c r="C5354" s="1" t="s">
        <v>130</v>
      </c>
      <c r="D5354" s="1" t="s">
        <v>131</v>
      </c>
      <c r="E5354" s="3">
        <v>25.31</v>
      </c>
      <c r="F5354" s="1" t="s">
        <v>89</v>
      </c>
      <c r="G5354" s="1">
        <v>0</v>
      </c>
      <c r="H5354" s="1">
        <v>0</v>
      </c>
      <c r="I5354" s="1">
        <v>20.775977999999999</v>
      </c>
    </row>
    <row r="5355" spans="1:9" x14ac:dyDescent="0.25">
      <c r="A5355" s="1">
        <v>2410110069</v>
      </c>
      <c r="B5355" s="1" t="s">
        <v>3284</v>
      </c>
      <c r="C5355" s="1" t="s">
        <v>130</v>
      </c>
      <c r="D5355" s="1" t="s">
        <v>131</v>
      </c>
      <c r="E5355" s="3">
        <v>433</v>
      </c>
      <c r="F5355" s="1" t="s">
        <v>89</v>
      </c>
      <c r="G5355" s="1">
        <v>0</v>
      </c>
      <c r="H5355" s="1">
        <v>0</v>
      </c>
      <c r="I5355" s="1">
        <v>23.328544999999998</v>
      </c>
    </row>
    <row r="5356" spans="1:9" x14ac:dyDescent="0.25">
      <c r="A5356" s="1">
        <v>2410110073</v>
      </c>
      <c r="B5356" s="1" t="s">
        <v>3285</v>
      </c>
      <c r="C5356" s="1" t="s">
        <v>130</v>
      </c>
      <c r="D5356" s="1" t="s">
        <v>131</v>
      </c>
      <c r="E5356" s="3">
        <v>25.8</v>
      </c>
      <c r="F5356" s="1" t="s">
        <v>89</v>
      </c>
      <c r="G5356" s="1">
        <v>0</v>
      </c>
      <c r="H5356" s="1">
        <v>0</v>
      </c>
      <c r="I5356" s="1">
        <v>44.409689999999998</v>
      </c>
    </row>
    <row r="5357" spans="1:9" x14ac:dyDescent="0.25">
      <c r="A5357" s="1">
        <v>2410110074</v>
      </c>
      <c r="B5357" s="1" t="s">
        <v>3286</v>
      </c>
      <c r="C5357" s="1" t="s">
        <v>130</v>
      </c>
      <c r="D5357" s="1" t="s">
        <v>131</v>
      </c>
      <c r="E5357" s="1">
        <v>26.7</v>
      </c>
      <c r="F5357" s="1" t="s">
        <v>89</v>
      </c>
      <c r="G5357" s="1">
        <v>0</v>
      </c>
      <c r="H5357" s="1">
        <v>0</v>
      </c>
      <c r="I5357" s="1">
        <v>44.379401000000001</v>
      </c>
    </row>
    <row r="5358" spans="1:9" x14ac:dyDescent="0.25">
      <c r="A5358" s="1">
        <v>2410110075</v>
      </c>
      <c r="B5358" s="1" t="s">
        <v>3287</v>
      </c>
      <c r="C5358" s="1" t="s">
        <v>130</v>
      </c>
      <c r="D5358" s="1" t="s">
        <v>131</v>
      </c>
      <c r="E5358" s="3">
        <v>27.1</v>
      </c>
      <c r="F5358" s="1" t="s">
        <v>89</v>
      </c>
      <c r="G5358" s="1">
        <v>0</v>
      </c>
      <c r="H5358" s="1">
        <v>0</v>
      </c>
      <c r="I5358" s="1">
        <v>44.333947999999999</v>
      </c>
    </row>
    <row r="5359" spans="1:9" x14ac:dyDescent="0.25">
      <c r="A5359" s="1">
        <v>2410110076</v>
      </c>
      <c r="B5359" s="1" t="s">
        <v>3288</v>
      </c>
      <c r="C5359" s="1" t="s">
        <v>130</v>
      </c>
      <c r="D5359" s="1" t="s">
        <v>131</v>
      </c>
      <c r="E5359" s="3">
        <v>25.6</v>
      </c>
      <c r="F5359" s="1" t="s">
        <v>89</v>
      </c>
      <c r="G5359" s="1">
        <v>0</v>
      </c>
      <c r="H5359" s="1">
        <v>0</v>
      </c>
      <c r="I5359" s="1">
        <v>44.502733999999997</v>
      </c>
    </row>
    <row r="5360" spans="1:9" x14ac:dyDescent="0.25">
      <c r="A5360" s="1">
        <v>2410110077</v>
      </c>
      <c r="B5360" s="1" t="s">
        <v>3289</v>
      </c>
      <c r="C5360" s="1" t="s">
        <v>130</v>
      </c>
      <c r="D5360" s="1" t="s">
        <v>131</v>
      </c>
      <c r="E5360" s="1">
        <v>24.6</v>
      </c>
      <c r="F5360" s="1" t="s">
        <v>89</v>
      </c>
      <c r="G5360" s="1">
        <v>0</v>
      </c>
      <c r="H5360" s="1">
        <v>0</v>
      </c>
      <c r="I5360" s="1">
        <v>44.55</v>
      </c>
    </row>
    <row r="5361" spans="1:9" x14ac:dyDescent="0.25">
      <c r="A5361" s="1">
        <v>2410110078</v>
      </c>
      <c r="B5361" s="1" t="s">
        <v>3290</v>
      </c>
      <c r="C5361" s="1" t="s">
        <v>130</v>
      </c>
      <c r="D5361" s="1" t="s">
        <v>131</v>
      </c>
      <c r="E5361" s="3">
        <v>25.3</v>
      </c>
      <c r="F5361" s="1" t="s">
        <v>89</v>
      </c>
      <c r="G5361" s="1">
        <v>0</v>
      </c>
      <c r="H5361" s="1">
        <v>0</v>
      </c>
      <c r="I5361" s="1">
        <v>44.565612999999999</v>
      </c>
    </row>
    <row r="5362" spans="1:9" x14ac:dyDescent="0.25">
      <c r="A5362" s="1">
        <v>2410110079</v>
      </c>
      <c r="B5362" s="1" t="s">
        <v>3291</v>
      </c>
      <c r="C5362" s="1" t="s">
        <v>130</v>
      </c>
      <c r="D5362" s="1" t="s">
        <v>131</v>
      </c>
      <c r="E5362" s="3">
        <v>26.2</v>
      </c>
      <c r="F5362" s="1" t="s">
        <v>89</v>
      </c>
      <c r="G5362" s="1">
        <v>0</v>
      </c>
      <c r="H5362" s="1">
        <v>0</v>
      </c>
      <c r="I5362" s="1">
        <v>44.487405000000003</v>
      </c>
    </row>
    <row r="5363" spans="1:9" x14ac:dyDescent="0.25">
      <c r="A5363" s="1">
        <v>2410110080</v>
      </c>
      <c r="B5363" s="1" t="s">
        <v>3292</v>
      </c>
      <c r="C5363" s="1" t="s">
        <v>130</v>
      </c>
      <c r="D5363" s="1" t="s">
        <v>131</v>
      </c>
      <c r="E5363" s="3">
        <v>25.8</v>
      </c>
      <c r="F5363" s="1" t="s">
        <v>89</v>
      </c>
      <c r="G5363" s="1">
        <v>0</v>
      </c>
      <c r="H5363" s="1">
        <v>0</v>
      </c>
      <c r="I5363" s="1">
        <v>44.518605000000001</v>
      </c>
    </row>
    <row r="5364" spans="1:9" x14ac:dyDescent="0.25">
      <c r="A5364" s="1">
        <v>2410110081</v>
      </c>
      <c r="B5364" s="1" t="s">
        <v>3293</v>
      </c>
      <c r="C5364" s="1" t="s">
        <v>130</v>
      </c>
      <c r="D5364" s="1" t="s">
        <v>131</v>
      </c>
      <c r="E5364" s="3">
        <v>24.3</v>
      </c>
      <c r="F5364" s="1" t="s">
        <v>89</v>
      </c>
      <c r="G5364" s="1">
        <v>0</v>
      </c>
      <c r="H5364" s="1">
        <v>0</v>
      </c>
      <c r="I5364" s="1">
        <v>45.124690999999999</v>
      </c>
    </row>
    <row r="5365" spans="1:9" x14ac:dyDescent="0.25">
      <c r="A5365" s="1">
        <v>2410110082</v>
      </c>
      <c r="B5365" s="1" t="s">
        <v>3294</v>
      </c>
      <c r="C5365" s="1" t="s">
        <v>130</v>
      </c>
      <c r="D5365" s="1" t="s">
        <v>131</v>
      </c>
      <c r="E5365" s="3">
        <v>18.399999999999999</v>
      </c>
      <c r="F5365" s="1" t="s">
        <v>89</v>
      </c>
      <c r="G5365" s="1">
        <v>0</v>
      </c>
      <c r="H5365" s="3">
        <v>0</v>
      </c>
      <c r="I5365" s="1">
        <v>32.21087</v>
      </c>
    </row>
    <row r="5366" spans="1:9" x14ac:dyDescent="0.25">
      <c r="A5366" s="1">
        <v>2410110083</v>
      </c>
      <c r="B5366" s="1" t="s">
        <v>3295</v>
      </c>
      <c r="C5366" s="1" t="s">
        <v>130</v>
      </c>
      <c r="D5366" s="1" t="s">
        <v>131</v>
      </c>
      <c r="E5366" s="1">
        <v>91.1</v>
      </c>
      <c r="F5366" s="1" t="s">
        <v>89</v>
      </c>
      <c r="G5366" s="3">
        <v>0</v>
      </c>
      <c r="H5366" s="1">
        <v>0</v>
      </c>
      <c r="I5366" s="1">
        <v>20.746762</v>
      </c>
    </row>
    <row r="5367" spans="1:9" x14ac:dyDescent="0.25">
      <c r="A5367" s="1">
        <v>2410110087</v>
      </c>
      <c r="B5367" s="1" t="s">
        <v>3296</v>
      </c>
      <c r="C5367" s="1" t="s">
        <v>130</v>
      </c>
      <c r="D5367" s="1" t="s">
        <v>131</v>
      </c>
      <c r="E5367" s="3">
        <v>240</v>
      </c>
      <c r="F5367" s="1" t="s">
        <v>89</v>
      </c>
      <c r="G5367" s="1">
        <v>5</v>
      </c>
      <c r="H5367" s="1">
        <v>0</v>
      </c>
      <c r="I5367" s="1">
        <v>17.993749999999999</v>
      </c>
    </row>
    <row r="5368" spans="1:9" x14ac:dyDescent="0.25">
      <c r="A5368" s="1">
        <v>2410110087</v>
      </c>
      <c r="B5368" s="1" t="s">
        <v>3296</v>
      </c>
      <c r="C5368" s="1" t="s">
        <v>1698</v>
      </c>
      <c r="D5368" s="1" t="s">
        <v>1699</v>
      </c>
      <c r="E5368" s="3">
        <v>121.77589999999999</v>
      </c>
      <c r="F5368" s="1" t="s">
        <v>89</v>
      </c>
      <c r="G5368" s="1">
        <v>0</v>
      </c>
      <c r="H5368" s="1">
        <v>5</v>
      </c>
      <c r="I5368" s="1">
        <v>18.066956999999999</v>
      </c>
    </row>
    <row r="5369" spans="1:9" x14ac:dyDescent="0.25">
      <c r="A5369" s="1">
        <v>2410110088</v>
      </c>
      <c r="B5369" s="1" t="s">
        <v>3297</v>
      </c>
      <c r="C5369" s="1" t="s">
        <v>130</v>
      </c>
      <c r="D5369" s="1" t="s">
        <v>131</v>
      </c>
      <c r="E5369" s="3">
        <v>20.440000000000001</v>
      </c>
      <c r="F5369" s="1" t="s">
        <v>89</v>
      </c>
      <c r="G5369" s="1">
        <v>0</v>
      </c>
      <c r="H5369" s="1">
        <v>0</v>
      </c>
      <c r="I5369" s="1">
        <v>26.583169999999999</v>
      </c>
    </row>
    <row r="5370" spans="1:9" x14ac:dyDescent="0.25">
      <c r="A5370" s="1">
        <v>2410110088</v>
      </c>
      <c r="B5370" s="1" t="s">
        <v>3297</v>
      </c>
      <c r="C5370" s="1" t="s">
        <v>142</v>
      </c>
      <c r="D5370" s="1" t="s">
        <v>143</v>
      </c>
      <c r="E5370" s="1">
        <v>60</v>
      </c>
      <c r="F5370" s="1" t="s">
        <v>89</v>
      </c>
      <c r="G5370" s="1">
        <v>0</v>
      </c>
      <c r="H5370" s="1">
        <v>0</v>
      </c>
      <c r="I5370" s="1">
        <v>26.582833000000001</v>
      </c>
    </row>
    <row r="5371" spans="1:9" x14ac:dyDescent="0.25">
      <c r="A5371" s="1">
        <v>2410110089</v>
      </c>
      <c r="B5371" s="1" t="s">
        <v>3298</v>
      </c>
      <c r="C5371" s="1" t="s">
        <v>130</v>
      </c>
      <c r="D5371" s="1" t="s">
        <v>131</v>
      </c>
      <c r="E5371" s="3">
        <v>944.48400000000004</v>
      </c>
      <c r="F5371" s="1" t="s">
        <v>89</v>
      </c>
      <c r="G5371" s="1">
        <v>0</v>
      </c>
      <c r="H5371" s="1">
        <v>0</v>
      </c>
      <c r="I5371" s="1">
        <v>28.889849000000002</v>
      </c>
    </row>
    <row r="5372" spans="1:9" x14ac:dyDescent="0.25">
      <c r="A5372" s="1">
        <v>2410110089</v>
      </c>
      <c r="B5372" s="1" t="s">
        <v>3298</v>
      </c>
      <c r="C5372" s="1" t="s">
        <v>142</v>
      </c>
      <c r="D5372" s="1" t="s">
        <v>143</v>
      </c>
      <c r="E5372" s="3">
        <v>60</v>
      </c>
      <c r="F5372" s="1" t="s">
        <v>89</v>
      </c>
      <c r="G5372" s="1">
        <v>0</v>
      </c>
      <c r="H5372" s="1">
        <v>0</v>
      </c>
      <c r="I5372" s="1">
        <v>28.889832999999999</v>
      </c>
    </row>
    <row r="5373" spans="1:9" x14ac:dyDescent="0.25">
      <c r="A5373" s="1">
        <v>2410110090</v>
      </c>
      <c r="B5373" s="1" t="s">
        <v>3299</v>
      </c>
      <c r="C5373" s="1" t="s">
        <v>130</v>
      </c>
      <c r="D5373" s="1" t="s">
        <v>131</v>
      </c>
      <c r="E5373" s="3">
        <v>2562.6999999999998</v>
      </c>
      <c r="F5373" s="1" t="s">
        <v>89</v>
      </c>
      <c r="G5373" s="1">
        <v>0</v>
      </c>
      <c r="H5373" s="1">
        <v>0</v>
      </c>
      <c r="I5373" s="1">
        <v>25.098856999999999</v>
      </c>
    </row>
    <row r="5374" spans="1:9" x14ac:dyDescent="0.25">
      <c r="A5374" s="1">
        <v>2410110090</v>
      </c>
      <c r="B5374" s="1" t="s">
        <v>3299</v>
      </c>
      <c r="C5374" s="1" t="s">
        <v>142</v>
      </c>
      <c r="D5374" s="1" t="s">
        <v>143</v>
      </c>
      <c r="E5374" s="3">
        <v>60</v>
      </c>
      <c r="F5374" s="1" t="s">
        <v>89</v>
      </c>
      <c r="G5374" s="1">
        <v>0</v>
      </c>
      <c r="H5374" s="1">
        <v>0</v>
      </c>
      <c r="I5374" s="1">
        <v>25.098832999999999</v>
      </c>
    </row>
    <row r="5375" spans="1:9" x14ac:dyDescent="0.25">
      <c r="A5375" s="1">
        <v>2410110091</v>
      </c>
      <c r="B5375" s="1" t="s">
        <v>3300</v>
      </c>
      <c r="C5375" s="1" t="s">
        <v>130</v>
      </c>
      <c r="D5375" s="1" t="s">
        <v>131</v>
      </c>
      <c r="E5375" s="3">
        <v>1230.0999999999999</v>
      </c>
      <c r="F5375" s="1" t="s">
        <v>89</v>
      </c>
      <c r="G5375" s="1">
        <v>0</v>
      </c>
      <c r="H5375" s="3">
        <v>23.1</v>
      </c>
      <c r="I5375" s="1">
        <v>26.960913999999999</v>
      </c>
    </row>
    <row r="5376" spans="1:9" x14ac:dyDescent="0.25">
      <c r="A5376" s="1">
        <v>2410110091</v>
      </c>
      <c r="B5376" s="1" t="s">
        <v>3300</v>
      </c>
      <c r="C5376" s="1" t="s">
        <v>142</v>
      </c>
      <c r="D5376" s="1" t="s">
        <v>143</v>
      </c>
      <c r="E5376" s="1">
        <v>60</v>
      </c>
      <c r="F5376" s="1" t="s">
        <v>89</v>
      </c>
      <c r="G5376" s="3">
        <v>23.1</v>
      </c>
      <c r="H5376" s="1">
        <v>0</v>
      </c>
      <c r="I5376" s="1">
        <v>26.960833000000001</v>
      </c>
    </row>
    <row r="5377" spans="1:9" x14ac:dyDescent="0.25">
      <c r="A5377" s="1">
        <v>2410110092</v>
      </c>
      <c r="B5377" s="1" t="s">
        <v>3301</v>
      </c>
      <c r="C5377" s="1" t="s">
        <v>130</v>
      </c>
      <c r="D5377" s="1" t="s">
        <v>131</v>
      </c>
      <c r="E5377" s="3">
        <v>31.64</v>
      </c>
      <c r="F5377" s="1" t="s">
        <v>89</v>
      </c>
      <c r="G5377" s="1">
        <v>0</v>
      </c>
      <c r="H5377" s="1">
        <v>0</v>
      </c>
      <c r="I5377" s="1">
        <v>17.556258</v>
      </c>
    </row>
    <row r="5378" spans="1:9" x14ac:dyDescent="0.25">
      <c r="A5378" s="1">
        <v>2410110093</v>
      </c>
      <c r="B5378" s="1" t="s">
        <v>3302</v>
      </c>
      <c r="C5378" s="1" t="s">
        <v>130</v>
      </c>
      <c r="D5378" s="1" t="s">
        <v>131</v>
      </c>
      <c r="E5378" s="3">
        <v>23.91</v>
      </c>
      <c r="F5378" s="1" t="s">
        <v>89</v>
      </c>
      <c r="G5378" s="1">
        <v>0</v>
      </c>
      <c r="H5378" s="3">
        <v>0</v>
      </c>
      <c r="I5378" s="1">
        <v>17.598493999999999</v>
      </c>
    </row>
    <row r="5379" spans="1:9" x14ac:dyDescent="0.25">
      <c r="A5379" s="1">
        <v>2410110094</v>
      </c>
      <c r="B5379" s="1" t="s">
        <v>3303</v>
      </c>
      <c r="C5379" s="1" t="s">
        <v>130</v>
      </c>
      <c r="D5379" s="1" t="s">
        <v>131</v>
      </c>
      <c r="E5379" s="3">
        <v>40</v>
      </c>
      <c r="F5379" s="1" t="s">
        <v>89</v>
      </c>
      <c r="G5379" s="1">
        <v>0</v>
      </c>
      <c r="H5379" s="1">
        <v>0</v>
      </c>
      <c r="I5379" s="1">
        <v>16.545000000000002</v>
      </c>
    </row>
    <row r="5380" spans="1:9" x14ac:dyDescent="0.25">
      <c r="A5380" s="1">
        <v>2410110095</v>
      </c>
      <c r="B5380" s="1" t="s">
        <v>3304</v>
      </c>
      <c r="C5380" s="1" t="s">
        <v>130</v>
      </c>
      <c r="D5380" s="1" t="s">
        <v>131</v>
      </c>
      <c r="E5380" s="3">
        <v>31.6</v>
      </c>
      <c r="F5380" s="1" t="s">
        <v>89</v>
      </c>
      <c r="G5380" s="1">
        <v>0</v>
      </c>
      <c r="H5380" s="1">
        <v>0</v>
      </c>
      <c r="I5380" s="1">
        <v>23.908543999999999</v>
      </c>
    </row>
    <row r="5381" spans="1:9" x14ac:dyDescent="0.25">
      <c r="A5381" s="1">
        <v>2410110099</v>
      </c>
      <c r="B5381" s="1" t="s">
        <v>3305</v>
      </c>
      <c r="C5381" s="1" t="s">
        <v>130</v>
      </c>
      <c r="D5381" s="1" t="s">
        <v>131</v>
      </c>
      <c r="E5381" s="3">
        <v>32.81</v>
      </c>
      <c r="F5381" s="1" t="s">
        <v>89</v>
      </c>
      <c r="G5381" s="1">
        <v>0</v>
      </c>
      <c r="H5381" s="1">
        <v>0</v>
      </c>
      <c r="I5381" s="1">
        <v>26.054556999999999</v>
      </c>
    </row>
    <row r="5382" spans="1:9" x14ac:dyDescent="0.25">
      <c r="A5382" s="1">
        <v>2410110100</v>
      </c>
      <c r="B5382" s="1" t="s">
        <v>3306</v>
      </c>
      <c r="C5382" s="1" t="s">
        <v>130</v>
      </c>
      <c r="D5382" s="1" t="s">
        <v>131</v>
      </c>
      <c r="E5382" s="1">
        <v>39.700000000000003</v>
      </c>
      <c r="F5382" s="1" t="s">
        <v>89</v>
      </c>
      <c r="G5382" s="1">
        <v>0</v>
      </c>
      <c r="H5382" s="1">
        <v>0</v>
      </c>
      <c r="I5382" s="1">
        <v>24.792694999999998</v>
      </c>
    </row>
    <row r="5383" spans="1:9" x14ac:dyDescent="0.25">
      <c r="A5383" s="1">
        <v>2410110101</v>
      </c>
      <c r="B5383" s="1" t="s">
        <v>3307</v>
      </c>
      <c r="C5383" s="1" t="s">
        <v>130</v>
      </c>
      <c r="D5383" s="1" t="s">
        <v>131</v>
      </c>
      <c r="E5383" s="3">
        <v>20</v>
      </c>
      <c r="F5383" s="1" t="s">
        <v>89</v>
      </c>
      <c r="G5383" s="1">
        <v>0</v>
      </c>
      <c r="H5383" s="1">
        <v>0</v>
      </c>
      <c r="I5383" s="1">
        <v>19.03</v>
      </c>
    </row>
    <row r="5384" spans="1:9" x14ac:dyDescent="0.25">
      <c r="A5384" s="1">
        <v>2410110102</v>
      </c>
      <c r="B5384" s="1" t="s">
        <v>3308</v>
      </c>
      <c r="C5384" s="1" t="s">
        <v>130</v>
      </c>
      <c r="D5384" s="1" t="s">
        <v>131</v>
      </c>
      <c r="E5384" s="1">
        <v>10</v>
      </c>
      <c r="F5384" s="1" t="s">
        <v>89</v>
      </c>
      <c r="G5384" s="1">
        <v>0</v>
      </c>
      <c r="H5384" s="1">
        <v>0</v>
      </c>
      <c r="I5384" s="1">
        <v>22.343</v>
      </c>
    </row>
    <row r="5385" spans="1:9" x14ac:dyDescent="0.25">
      <c r="A5385" s="1">
        <v>2410110103</v>
      </c>
      <c r="B5385" s="1" t="s">
        <v>3309</v>
      </c>
      <c r="C5385" s="1" t="s">
        <v>130</v>
      </c>
      <c r="D5385" s="1" t="s">
        <v>131</v>
      </c>
      <c r="E5385" s="3">
        <v>12.1</v>
      </c>
      <c r="F5385" s="1" t="s">
        <v>89</v>
      </c>
      <c r="G5385" s="1">
        <v>0</v>
      </c>
      <c r="H5385" s="1">
        <v>500</v>
      </c>
      <c r="I5385" s="1">
        <v>52.383471</v>
      </c>
    </row>
    <row r="5386" spans="1:9" x14ac:dyDescent="0.25">
      <c r="A5386" s="1">
        <v>2410110104</v>
      </c>
      <c r="B5386" s="1" t="s">
        <v>3310</v>
      </c>
      <c r="C5386" s="1" t="s">
        <v>130</v>
      </c>
      <c r="D5386" s="1" t="s">
        <v>131</v>
      </c>
      <c r="E5386" s="3">
        <v>12.5</v>
      </c>
      <c r="F5386" s="1" t="s">
        <v>89</v>
      </c>
      <c r="G5386" s="1">
        <v>0</v>
      </c>
      <c r="H5386" s="1">
        <v>500</v>
      </c>
      <c r="I5386" s="1">
        <v>52.383200000000002</v>
      </c>
    </row>
    <row r="5387" spans="1:9" x14ac:dyDescent="0.25">
      <c r="A5387" s="1">
        <v>2410110105</v>
      </c>
      <c r="B5387" s="1" t="s">
        <v>3311</v>
      </c>
      <c r="C5387" s="1" t="s">
        <v>130</v>
      </c>
      <c r="D5387" s="1" t="s">
        <v>131</v>
      </c>
      <c r="E5387" s="3">
        <v>12.2</v>
      </c>
      <c r="F5387" s="1" t="s">
        <v>89</v>
      </c>
      <c r="G5387" s="1">
        <v>0</v>
      </c>
      <c r="H5387" s="1">
        <v>500</v>
      </c>
      <c r="I5387" s="1">
        <v>63.335245999999998</v>
      </c>
    </row>
    <row r="5388" spans="1:9" x14ac:dyDescent="0.25">
      <c r="A5388" s="1">
        <v>2410110106</v>
      </c>
      <c r="B5388" s="1" t="s">
        <v>3312</v>
      </c>
      <c r="C5388" s="1" t="s">
        <v>130</v>
      </c>
      <c r="D5388" s="1" t="s">
        <v>131</v>
      </c>
      <c r="E5388" s="3">
        <v>10.4</v>
      </c>
      <c r="F5388" s="1" t="s">
        <v>89</v>
      </c>
      <c r="G5388" s="1">
        <v>0</v>
      </c>
      <c r="H5388" s="1">
        <v>500</v>
      </c>
      <c r="I5388" s="1">
        <v>53.131731000000002</v>
      </c>
    </row>
    <row r="5389" spans="1:9" x14ac:dyDescent="0.25">
      <c r="A5389" s="1">
        <v>2410110108</v>
      </c>
      <c r="B5389" s="1" t="s">
        <v>3313</v>
      </c>
      <c r="C5389" s="1" t="s">
        <v>130</v>
      </c>
      <c r="D5389" s="1" t="s">
        <v>131</v>
      </c>
      <c r="E5389" s="1">
        <v>4</v>
      </c>
      <c r="F5389" s="1" t="s">
        <v>89</v>
      </c>
      <c r="G5389" s="1">
        <v>0</v>
      </c>
      <c r="H5389" s="1">
        <v>0</v>
      </c>
      <c r="I5389" s="1">
        <v>89.025000000000006</v>
      </c>
    </row>
    <row r="5390" spans="1:9" x14ac:dyDescent="0.25">
      <c r="A5390" s="1">
        <v>2410110108</v>
      </c>
      <c r="B5390" s="1" t="s">
        <v>3313</v>
      </c>
      <c r="C5390" s="1" t="s">
        <v>142</v>
      </c>
      <c r="D5390" s="1" t="s">
        <v>143</v>
      </c>
      <c r="E5390" s="3">
        <v>1.1365000000000001</v>
      </c>
      <c r="F5390" s="1" t="s">
        <v>89</v>
      </c>
      <c r="G5390" s="1">
        <v>0</v>
      </c>
      <c r="H5390" s="1">
        <v>0</v>
      </c>
      <c r="I5390" s="1">
        <v>89.036516000000006</v>
      </c>
    </row>
    <row r="5391" spans="1:9" x14ac:dyDescent="0.25">
      <c r="A5391" s="1">
        <v>2410120008</v>
      </c>
      <c r="B5391" s="1" t="s">
        <v>3314</v>
      </c>
      <c r="C5391" s="1" t="s">
        <v>157</v>
      </c>
      <c r="D5391" s="1" t="s">
        <v>158</v>
      </c>
      <c r="E5391" s="3">
        <v>2519.4</v>
      </c>
      <c r="F5391" s="1" t="s">
        <v>89</v>
      </c>
      <c r="G5391" s="1">
        <v>0</v>
      </c>
      <c r="H5391" s="1">
        <v>0</v>
      </c>
      <c r="I5391" s="1">
        <v>3.9141140000000001</v>
      </c>
    </row>
    <row r="5392" spans="1:9" x14ac:dyDescent="0.25">
      <c r="A5392" s="1">
        <v>2410120015</v>
      </c>
      <c r="B5392" s="1" t="s">
        <v>3315</v>
      </c>
      <c r="C5392" s="1" t="s">
        <v>130</v>
      </c>
      <c r="D5392" s="1" t="s">
        <v>131</v>
      </c>
      <c r="E5392" s="3">
        <v>31.4</v>
      </c>
      <c r="F5392" s="1" t="s">
        <v>89</v>
      </c>
      <c r="G5392" s="1">
        <v>0</v>
      </c>
      <c r="H5392" s="1">
        <v>0</v>
      </c>
      <c r="I5392" s="1">
        <v>12.541401</v>
      </c>
    </row>
    <row r="5393" spans="1:9" x14ac:dyDescent="0.25">
      <c r="A5393" s="1">
        <v>2410120031</v>
      </c>
      <c r="B5393" s="1" t="s">
        <v>2677</v>
      </c>
      <c r="C5393" s="1" t="s">
        <v>130</v>
      </c>
      <c r="D5393" s="1" t="s">
        <v>131</v>
      </c>
      <c r="E5393" s="3">
        <v>1179</v>
      </c>
      <c r="F5393" s="1" t="s">
        <v>89</v>
      </c>
      <c r="G5393" s="1">
        <v>0</v>
      </c>
      <c r="H5393" s="1">
        <v>0</v>
      </c>
      <c r="I5393" s="1">
        <v>4.0202119999999999</v>
      </c>
    </row>
    <row r="5394" spans="1:9" x14ac:dyDescent="0.25">
      <c r="A5394" s="1">
        <v>2410120035</v>
      </c>
      <c r="B5394" s="1" t="s">
        <v>3316</v>
      </c>
      <c r="C5394" s="1" t="s">
        <v>130</v>
      </c>
      <c r="D5394" s="1" t="s">
        <v>131</v>
      </c>
      <c r="E5394" s="3">
        <v>3.45</v>
      </c>
      <c r="F5394" s="1" t="s">
        <v>89</v>
      </c>
      <c r="G5394" s="1">
        <v>0</v>
      </c>
      <c r="H5394" s="1">
        <v>0</v>
      </c>
      <c r="I5394" s="1">
        <v>8.5130429999999997</v>
      </c>
    </row>
    <row r="5395" spans="1:9" x14ac:dyDescent="0.25">
      <c r="A5395" s="1">
        <v>2410120036</v>
      </c>
      <c r="B5395" s="1" t="s">
        <v>3317</v>
      </c>
      <c r="C5395" s="1" t="s">
        <v>130</v>
      </c>
      <c r="D5395" s="1" t="s">
        <v>131</v>
      </c>
      <c r="E5395" s="3">
        <v>118.392</v>
      </c>
      <c r="F5395" s="1" t="s">
        <v>89</v>
      </c>
      <c r="G5395" s="1">
        <v>0</v>
      </c>
      <c r="H5395" s="1">
        <v>0</v>
      </c>
      <c r="I5395" s="1">
        <v>15.370887</v>
      </c>
    </row>
    <row r="5396" spans="1:9" x14ac:dyDescent="0.25">
      <c r="A5396" s="1">
        <v>2410120037</v>
      </c>
      <c r="B5396" s="1" t="s">
        <v>3318</v>
      </c>
      <c r="C5396" s="1" t="s">
        <v>130</v>
      </c>
      <c r="D5396" s="1" t="s">
        <v>131</v>
      </c>
      <c r="E5396" s="3">
        <v>3.1920000000000002</v>
      </c>
      <c r="F5396" s="1" t="s">
        <v>89</v>
      </c>
      <c r="G5396" s="1">
        <v>0</v>
      </c>
      <c r="H5396" s="1">
        <v>0</v>
      </c>
      <c r="I5396" s="1">
        <v>5.1535089999999997</v>
      </c>
    </row>
    <row r="5397" spans="1:9" x14ac:dyDescent="0.25">
      <c r="A5397" s="1">
        <v>2410120039</v>
      </c>
      <c r="B5397" s="1" t="s">
        <v>3319</v>
      </c>
      <c r="C5397" s="1" t="s">
        <v>130</v>
      </c>
      <c r="D5397" s="1" t="s">
        <v>131</v>
      </c>
      <c r="E5397" s="3">
        <v>710.2</v>
      </c>
      <c r="F5397" s="1" t="s">
        <v>89</v>
      </c>
      <c r="G5397" s="1">
        <v>0</v>
      </c>
      <c r="H5397" s="1">
        <v>0</v>
      </c>
      <c r="I5397" s="1">
        <v>4.7412000000000001</v>
      </c>
    </row>
    <row r="5398" spans="1:9" x14ac:dyDescent="0.25">
      <c r="A5398" s="1">
        <v>2410120046</v>
      </c>
      <c r="B5398" s="1" t="s">
        <v>3320</v>
      </c>
      <c r="C5398" s="1" t="s">
        <v>130</v>
      </c>
      <c r="D5398" s="1" t="s">
        <v>131</v>
      </c>
      <c r="E5398" s="3">
        <v>4288.7</v>
      </c>
      <c r="F5398" s="1" t="s">
        <v>89</v>
      </c>
      <c r="G5398" s="1">
        <v>0</v>
      </c>
      <c r="H5398" s="1">
        <v>0</v>
      </c>
      <c r="I5398" s="1">
        <v>3.7559559999999999</v>
      </c>
    </row>
    <row r="5399" spans="1:9" x14ac:dyDescent="0.25">
      <c r="A5399" s="1">
        <v>2410120051</v>
      </c>
      <c r="B5399" s="1" t="s">
        <v>3321</v>
      </c>
      <c r="C5399" s="1" t="s">
        <v>130</v>
      </c>
      <c r="D5399" s="1" t="s">
        <v>131</v>
      </c>
      <c r="E5399" s="3">
        <v>3156.7892000000002</v>
      </c>
      <c r="F5399" s="1" t="s">
        <v>89</v>
      </c>
      <c r="G5399" s="1">
        <v>410.08199999999999</v>
      </c>
      <c r="H5399" s="1">
        <v>0</v>
      </c>
      <c r="I5399" s="1">
        <v>31.756435</v>
      </c>
    </row>
    <row r="5400" spans="1:9" x14ac:dyDescent="0.25">
      <c r="A5400" s="1">
        <v>2410120051</v>
      </c>
      <c r="B5400" s="1" t="s">
        <v>3321</v>
      </c>
      <c r="C5400" s="1" t="s">
        <v>2174</v>
      </c>
      <c r="D5400" s="1" t="s">
        <v>2175</v>
      </c>
      <c r="E5400" s="3">
        <v>116.373</v>
      </c>
      <c r="F5400" s="1" t="s">
        <v>89</v>
      </c>
      <c r="G5400" s="1">
        <v>0</v>
      </c>
      <c r="H5400" s="1">
        <v>410.08199999999999</v>
      </c>
      <c r="I5400" s="1">
        <v>31.756421</v>
      </c>
    </row>
    <row r="5401" spans="1:9" x14ac:dyDescent="0.25">
      <c r="A5401" s="1">
        <v>2410120053</v>
      </c>
      <c r="B5401" s="1" t="s">
        <v>3322</v>
      </c>
      <c r="C5401" s="1" t="s">
        <v>130</v>
      </c>
      <c r="D5401" s="1" t="s">
        <v>131</v>
      </c>
      <c r="E5401" s="3">
        <v>3026.2604999999999</v>
      </c>
      <c r="F5401" s="1" t="s">
        <v>3209</v>
      </c>
      <c r="G5401" s="3">
        <v>1000.474</v>
      </c>
      <c r="H5401" s="1">
        <v>0</v>
      </c>
      <c r="I5401" s="1">
        <v>7.6890970000000003</v>
      </c>
    </row>
    <row r="5402" spans="1:9" x14ac:dyDescent="0.25">
      <c r="A5402" s="1">
        <v>2410120053</v>
      </c>
      <c r="B5402" s="1" t="s">
        <v>3322</v>
      </c>
      <c r="C5402" s="1" t="s">
        <v>2174</v>
      </c>
      <c r="D5402" s="1" t="s">
        <v>2175</v>
      </c>
      <c r="E5402" s="3">
        <v>283.88299999999998</v>
      </c>
      <c r="F5402" s="1" t="s">
        <v>3209</v>
      </c>
      <c r="G5402" s="1">
        <v>0</v>
      </c>
      <c r="H5402" s="3">
        <v>1000.474</v>
      </c>
      <c r="I5402" s="1">
        <v>7.6890830000000001</v>
      </c>
    </row>
    <row r="5403" spans="1:9" x14ac:dyDescent="0.25">
      <c r="A5403" s="1">
        <v>2410120057</v>
      </c>
      <c r="B5403" s="1" t="s">
        <v>3323</v>
      </c>
      <c r="C5403" s="1" t="s">
        <v>130</v>
      </c>
      <c r="D5403" s="1" t="s">
        <v>131</v>
      </c>
      <c r="E5403" s="3">
        <v>99</v>
      </c>
      <c r="F5403" s="1" t="s">
        <v>89</v>
      </c>
      <c r="G5403" s="1">
        <v>0</v>
      </c>
      <c r="H5403" s="1">
        <v>0</v>
      </c>
      <c r="I5403" s="1">
        <v>97.157475000000005</v>
      </c>
    </row>
    <row r="5404" spans="1:9" x14ac:dyDescent="0.25">
      <c r="A5404" s="1">
        <v>2410120058</v>
      </c>
      <c r="B5404" s="1" t="s">
        <v>3324</v>
      </c>
      <c r="C5404" s="1" t="s">
        <v>130</v>
      </c>
      <c r="D5404" s="1" t="s">
        <v>131</v>
      </c>
      <c r="E5404" s="1">
        <v>2.5499999999999998</v>
      </c>
      <c r="F5404" s="1" t="s">
        <v>89</v>
      </c>
      <c r="G5404" s="1">
        <v>0</v>
      </c>
      <c r="H5404" s="1">
        <v>0</v>
      </c>
      <c r="I5404" s="1">
        <v>49.580392000000003</v>
      </c>
    </row>
    <row r="5405" spans="1:9" x14ac:dyDescent="0.25">
      <c r="A5405" s="1">
        <v>2410120059</v>
      </c>
      <c r="B5405" s="1" t="s">
        <v>3325</v>
      </c>
      <c r="C5405" s="1" t="s">
        <v>130</v>
      </c>
      <c r="D5405" s="1" t="s">
        <v>131</v>
      </c>
      <c r="E5405" s="3">
        <v>0</v>
      </c>
      <c r="F5405" s="1" t="s">
        <v>89</v>
      </c>
      <c r="G5405" s="1">
        <v>0</v>
      </c>
      <c r="H5405" s="3">
        <v>5250</v>
      </c>
      <c r="I5405" s="1">
        <v>0</v>
      </c>
    </row>
    <row r="5406" spans="1:9" x14ac:dyDescent="0.25">
      <c r="A5406" s="1">
        <v>2410120060</v>
      </c>
      <c r="B5406" s="1" t="s">
        <v>3326</v>
      </c>
      <c r="C5406" s="1" t="s">
        <v>130</v>
      </c>
      <c r="D5406" s="1" t="s">
        <v>131</v>
      </c>
      <c r="E5406" s="3">
        <v>0</v>
      </c>
      <c r="F5406" s="1" t="s">
        <v>89</v>
      </c>
      <c r="G5406" s="1">
        <v>0</v>
      </c>
      <c r="H5406" s="3">
        <v>5250</v>
      </c>
      <c r="I5406" s="1">
        <v>12.772475999999999</v>
      </c>
    </row>
    <row r="5407" spans="1:9" x14ac:dyDescent="0.25">
      <c r="A5407" s="1">
        <v>2410130015</v>
      </c>
      <c r="B5407" s="1" t="s">
        <v>3327</v>
      </c>
      <c r="C5407" s="1" t="s">
        <v>130</v>
      </c>
      <c r="D5407" s="1" t="s">
        <v>131</v>
      </c>
      <c r="E5407" s="3">
        <v>5600</v>
      </c>
      <c r="F5407" s="1" t="s">
        <v>36</v>
      </c>
      <c r="G5407" s="1">
        <v>0</v>
      </c>
      <c r="H5407" s="1">
        <v>0</v>
      </c>
      <c r="I5407" s="1">
        <v>2.0929E-2</v>
      </c>
    </row>
    <row r="5408" spans="1:9" x14ac:dyDescent="0.25">
      <c r="A5408" s="1">
        <v>2410130015</v>
      </c>
      <c r="B5408" s="1" t="s">
        <v>3327</v>
      </c>
      <c r="C5408" s="1" t="s">
        <v>582</v>
      </c>
      <c r="D5408" s="1" t="s">
        <v>583</v>
      </c>
      <c r="E5408" s="3">
        <v>1500000</v>
      </c>
      <c r="F5408" s="1" t="s">
        <v>36</v>
      </c>
      <c r="G5408" s="1">
        <v>0</v>
      </c>
      <c r="H5408" s="1">
        <v>0</v>
      </c>
      <c r="I5408" s="1">
        <v>1.8925999999999998E-2</v>
      </c>
    </row>
    <row r="5409" spans="1:9" x14ac:dyDescent="0.25">
      <c r="A5409" s="1">
        <v>2410130017</v>
      </c>
      <c r="B5409" s="1" t="s">
        <v>41</v>
      </c>
      <c r="C5409" s="1" t="s">
        <v>130</v>
      </c>
      <c r="D5409" s="1" t="s">
        <v>131</v>
      </c>
      <c r="E5409" s="3">
        <v>1516383</v>
      </c>
      <c r="F5409" s="1" t="s">
        <v>36</v>
      </c>
      <c r="G5409" s="3">
        <v>0</v>
      </c>
      <c r="H5409" s="1">
        <v>0</v>
      </c>
      <c r="I5409" s="1">
        <v>7.5389999999999997E-3</v>
      </c>
    </row>
    <row r="5410" spans="1:9" x14ac:dyDescent="0.25">
      <c r="A5410" s="1">
        <v>2410130017</v>
      </c>
      <c r="B5410" s="1" t="s">
        <v>41</v>
      </c>
      <c r="C5410" s="1" t="s">
        <v>126</v>
      </c>
      <c r="D5410" s="1" t="s">
        <v>127</v>
      </c>
      <c r="E5410" s="3">
        <v>139000</v>
      </c>
      <c r="F5410" s="1" t="s">
        <v>36</v>
      </c>
      <c r="G5410" s="1">
        <v>0</v>
      </c>
      <c r="H5410" s="1">
        <v>0</v>
      </c>
      <c r="I5410" s="1">
        <v>7.5389999999999997E-3</v>
      </c>
    </row>
    <row r="5411" spans="1:9" x14ac:dyDescent="0.25">
      <c r="A5411" s="1">
        <v>2410130017</v>
      </c>
      <c r="B5411" s="1" t="s">
        <v>41</v>
      </c>
      <c r="C5411" s="1" t="s">
        <v>142</v>
      </c>
      <c r="D5411" s="1" t="s">
        <v>143</v>
      </c>
      <c r="E5411" s="3">
        <v>84367</v>
      </c>
      <c r="F5411" s="1" t="s">
        <v>36</v>
      </c>
      <c r="G5411" s="1">
        <v>0</v>
      </c>
      <c r="H5411" s="1">
        <v>0</v>
      </c>
      <c r="I5411" s="1">
        <v>7.5389999999999997E-3</v>
      </c>
    </row>
    <row r="5412" spans="1:9" x14ac:dyDescent="0.25">
      <c r="A5412" s="1">
        <v>2410130017</v>
      </c>
      <c r="B5412" s="1" t="s">
        <v>41</v>
      </c>
      <c r="C5412" s="1" t="s">
        <v>582</v>
      </c>
      <c r="D5412" s="1" t="s">
        <v>583</v>
      </c>
      <c r="E5412" s="3">
        <v>4000000</v>
      </c>
      <c r="F5412" s="1" t="s">
        <v>36</v>
      </c>
      <c r="G5412" s="1">
        <v>0</v>
      </c>
      <c r="H5412" s="1">
        <v>0</v>
      </c>
      <c r="I5412" s="1">
        <v>7.0829999999999999E-3</v>
      </c>
    </row>
    <row r="5413" spans="1:9" x14ac:dyDescent="0.25">
      <c r="A5413" s="1">
        <v>2410140015</v>
      </c>
      <c r="B5413" s="1" t="s">
        <v>3328</v>
      </c>
      <c r="C5413" s="1" t="s">
        <v>130</v>
      </c>
      <c r="D5413" s="1" t="s">
        <v>131</v>
      </c>
      <c r="E5413" s="3">
        <v>44.72</v>
      </c>
      <c r="F5413" s="1" t="s">
        <v>89</v>
      </c>
      <c r="G5413" s="1">
        <v>0</v>
      </c>
      <c r="H5413" s="1">
        <v>0</v>
      </c>
      <c r="I5413" s="1">
        <v>14.796958999999999</v>
      </c>
    </row>
    <row r="5414" spans="1:9" x14ac:dyDescent="0.25">
      <c r="A5414" s="1">
        <v>2410150001</v>
      </c>
      <c r="B5414" s="1" t="s">
        <v>3329</v>
      </c>
      <c r="C5414" s="1" t="s">
        <v>130</v>
      </c>
      <c r="D5414" s="1" t="s">
        <v>131</v>
      </c>
      <c r="E5414" s="3">
        <v>39.479999999999997</v>
      </c>
      <c r="F5414" s="1" t="s">
        <v>89</v>
      </c>
      <c r="G5414" s="1">
        <v>0</v>
      </c>
      <c r="H5414" s="1">
        <v>0</v>
      </c>
      <c r="I5414" s="1">
        <v>0.64007099999999995</v>
      </c>
    </row>
    <row r="5415" spans="1:9" x14ac:dyDescent="0.25">
      <c r="A5415" s="1">
        <v>2410150008</v>
      </c>
      <c r="B5415" s="1" t="s">
        <v>3330</v>
      </c>
      <c r="C5415" s="1" t="s">
        <v>130</v>
      </c>
      <c r="D5415" s="1" t="s">
        <v>131</v>
      </c>
      <c r="E5415" s="3">
        <v>1292.1199999999999</v>
      </c>
      <c r="F5415" s="1" t="s">
        <v>89</v>
      </c>
      <c r="G5415" s="1">
        <v>0</v>
      </c>
      <c r="H5415" s="1">
        <v>0</v>
      </c>
      <c r="I5415" s="1">
        <v>2.2208459999999999</v>
      </c>
    </row>
    <row r="5416" spans="1:9" x14ac:dyDescent="0.25">
      <c r="A5416" s="1">
        <v>2410150008</v>
      </c>
      <c r="B5416" s="1" t="s">
        <v>3330</v>
      </c>
      <c r="C5416" s="1" t="s">
        <v>142</v>
      </c>
      <c r="D5416" s="1" t="s">
        <v>143</v>
      </c>
      <c r="E5416" s="1">
        <v>640</v>
      </c>
      <c r="F5416" s="1" t="s">
        <v>89</v>
      </c>
      <c r="G5416" s="1">
        <v>0</v>
      </c>
      <c r="H5416" s="1">
        <v>0</v>
      </c>
      <c r="I5416" s="1">
        <v>2.220844</v>
      </c>
    </row>
    <row r="5417" spans="1:9" x14ac:dyDescent="0.25">
      <c r="A5417" s="1">
        <v>2410150008</v>
      </c>
      <c r="B5417" s="1" t="s">
        <v>3330</v>
      </c>
      <c r="C5417" s="1" t="s">
        <v>2174</v>
      </c>
      <c r="D5417" s="1" t="s">
        <v>2175</v>
      </c>
      <c r="E5417" s="1">
        <v>330.9</v>
      </c>
      <c r="F5417" s="1" t="s">
        <v>89</v>
      </c>
      <c r="G5417" s="1">
        <v>0</v>
      </c>
      <c r="H5417" s="1">
        <v>0</v>
      </c>
      <c r="I5417" s="1">
        <v>2.2230889999999999</v>
      </c>
    </row>
    <row r="5418" spans="1:9" x14ac:dyDescent="0.25">
      <c r="A5418" s="1">
        <v>2410150022</v>
      </c>
      <c r="B5418" s="1" t="s">
        <v>3331</v>
      </c>
      <c r="C5418" s="1" t="s">
        <v>130</v>
      </c>
      <c r="D5418" s="1" t="s">
        <v>131</v>
      </c>
      <c r="E5418" s="1">
        <v>86.92</v>
      </c>
      <c r="F5418" s="1" t="s">
        <v>89</v>
      </c>
      <c r="G5418" s="1">
        <v>0</v>
      </c>
      <c r="H5418" s="1">
        <v>0</v>
      </c>
      <c r="I5418" s="1">
        <v>1.1048089999999999</v>
      </c>
    </row>
    <row r="5419" spans="1:9" x14ac:dyDescent="0.25">
      <c r="A5419" s="1">
        <v>2410160001</v>
      </c>
      <c r="B5419" s="1" t="s">
        <v>3332</v>
      </c>
      <c r="C5419" s="1" t="s">
        <v>157</v>
      </c>
      <c r="D5419" s="1" t="s">
        <v>158</v>
      </c>
      <c r="E5419" s="3">
        <v>270000</v>
      </c>
      <c r="F5419" s="1" t="s">
        <v>36</v>
      </c>
      <c r="G5419" s="1">
        <v>0</v>
      </c>
      <c r="H5419" s="1">
        <v>0</v>
      </c>
      <c r="I5419" s="1">
        <v>1.4478E-2</v>
      </c>
    </row>
    <row r="5420" spans="1:9" x14ac:dyDescent="0.25">
      <c r="A5420" s="1">
        <v>2410160010</v>
      </c>
      <c r="B5420" s="1" t="s">
        <v>3333</v>
      </c>
      <c r="C5420" s="1" t="s">
        <v>130</v>
      </c>
      <c r="D5420" s="1" t="s">
        <v>131</v>
      </c>
      <c r="E5420" s="3">
        <v>10020</v>
      </c>
      <c r="F5420" s="1" t="s">
        <v>36</v>
      </c>
      <c r="G5420" s="1">
        <v>0</v>
      </c>
      <c r="H5420" s="3">
        <v>10000</v>
      </c>
      <c r="I5420" s="1">
        <v>6.5050000000000004E-3</v>
      </c>
    </row>
    <row r="5421" spans="1:9" x14ac:dyDescent="0.25">
      <c r="A5421" s="1">
        <v>2410170035</v>
      </c>
      <c r="B5421" s="1" t="s">
        <v>3334</v>
      </c>
      <c r="C5421" s="1" t="s">
        <v>130</v>
      </c>
      <c r="D5421" s="1" t="s">
        <v>131</v>
      </c>
      <c r="E5421" s="1">
        <v>253.87200000000001</v>
      </c>
      <c r="F5421" s="1" t="s">
        <v>89</v>
      </c>
      <c r="G5421" s="1">
        <v>0</v>
      </c>
      <c r="H5421" s="1">
        <v>0</v>
      </c>
      <c r="I5421" s="1">
        <v>13.100498999999999</v>
      </c>
    </row>
    <row r="5422" spans="1:9" x14ac:dyDescent="0.25">
      <c r="A5422" s="1">
        <v>2410170036</v>
      </c>
      <c r="B5422" s="1" t="s">
        <v>3335</v>
      </c>
      <c r="C5422" s="1" t="s">
        <v>130</v>
      </c>
      <c r="D5422" s="1" t="s">
        <v>131</v>
      </c>
      <c r="E5422" s="1">
        <v>8.3000000000000007</v>
      </c>
      <c r="F5422" s="1" t="s">
        <v>89</v>
      </c>
      <c r="G5422" s="1">
        <v>0</v>
      </c>
      <c r="H5422" s="1">
        <v>0</v>
      </c>
      <c r="I5422" s="1">
        <v>12.16506</v>
      </c>
    </row>
    <row r="5423" spans="1:9" x14ac:dyDescent="0.25">
      <c r="A5423" s="1">
        <v>2410170036</v>
      </c>
      <c r="B5423" s="1" t="s">
        <v>3335</v>
      </c>
      <c r="C5423" s="1" t="s">
        <v>126</v>
      </c>
      <c r="D5423" s="1" t="s">
        <v>127</v>
      </c>
      <c r="E5423" s="1">
        <v>99.09</v>
      </c>
      <c r="F5423" s="1" t="s">
        <v>89</v>
      </c>
      <c r="G5423" s="1">
        <v>0</v>
      </c>
      <c r="H5423" s="1">
        <v>0</v>
      </c>
      <c r="I5423" s="1">
        <v>12.164901</v>
      </c>
    </row>
    <row r="5424" spans="1:9" x14ac:dyDescent="0.25">
      <c r="A5424" s="1">
        <v>2410170037</v>
      </c>
      <c r="B5424" s="1" t="s">
        <v>3336</v>
      </c>
      <c r="C5424" s="1" t="s">
        <v>130</v>
      </c>
      <c r="D5424" s="1" t="s">
        <v>131</v>
      </c>
      <c r="E5424" s="3">
        <v>1315600</v>
      </c>
      <c r="F5424" s="1" t="s">
        <v>36</v>
      </c>
      <c r="G5424" s="3">
        <v>66240</v>
      </c>
      <c r="H5424" s="1">
        <v>0</v>
      </c>
      <c r="I5424" s="1">
        <v>4.2382999999999997E-2</v>
      </c>
    </row>
    <row r="5425" spans="1:9" x14ac:dyDescent="0.25">
      <c r="A5425" s="1">
        <v>2410170037</v>
      </c>
      <c r="B5425" s="1" t="s">
        <v>3336</v>
      </c>
      <c r="C5425" s="1" t="s">
        <v>126</v>
      </c>
      <c r="D5425" s="1" t="s">
        <v>127</v>
      </c>
      <c r="E5425" s="3">
        <v>8280</v>
      </c>
      <c r="F5425" s="1" t="s">
        <v>36</v>
      </c>
      <c r="G5425" s="1">
        <v>0</v>
      </c>
      <c r="H5425" s="1">
        <v>0</v>
      </c>
      <c r="I5425" s="1">
        <v>4.2777000000000003E-2</v>
      </c>
    </row>
    <row r="5426" spans="1:9" x14ac:dyDescent="0.25">
      <c r="A5426" s="1">
        <v>2410170037</v>
      </c>
      <c r="B5426" s="1" t="s">
        <v>3336</v>
      </c>
      <c r="C5426" s="1" t="s">
        <v>142</v>
      </c>
      <c r="D5426" s="1" t="s">
        <v>143</v>
      </c>
      <c r="E5426" s="3">
        <v>33926</v>
      </c>
      <c r="F5426" s="1" t="s">
        <v>36</v>
      </c>
      <c r="G5426" s="1">
        <v>0</v>
      </c>
      <c r="H5426" s="3">
        <v>66240</v>
      </c>
      <c r="I5426" s="1">
        <v>4.2382999999999997E-2</v>
      </c>
    </row>
    <row r="5427" spans="1:9" x14ac:dyDescent="0.25">
      <c r="A5427" s="1">
        <v>2410170038</v>
      </c>
      <c r="B5427" s="1" t="s">
        <v>3337</v>
      </c>
      <c r="C5427" s="1" t="s">
        <v>130</v>
      </c>
      <c r="D5427" s="1" t="s">
        <v>131</v>
      </c>
      <c r="E5427" s="3">
        <v>52860</v>
      </c>
      <c r="F5427" s="1" t="s">
        <v>36</v>
      </c>
      <c r="G5427" s="1">
        <v>0</v>
      </c>
      <c r="H5427" s="1">
        <v>0</v>
      </c>
      <c r="I5427" s="1">
        <v>3.3688999999999997E-2</v>
      </c>
    </row>
    <row r="5428" spans="1:9" x14ac:dyDescent="0.25">
      <c r="A5428" s="1">
        <v>2410170050</v>
      </c>
      <c r="B5428" s="1" t="s">
        <v>3338</v>
      </c>
      <c r="C5428" s="1" t="s">
        <v>130</v>
      </c>
      <c r="D5428" s="1" t="s">
        <v>131</v>
      </c>
      <c r="E5428" s="3">
        <v>2899960</v>
      </c>
      <c r="F5428" s="1" t="s">
        <v>36</v>
      </c>
      <c r="G5428" s="1">
        <v>0</v>
      </c>
      <c r="H5428" s="1">
        <v>0</v>
      </c>
      <c r="I5428" s="1">
        <v>6.8033999999999997E-2</v>
      </c>
    </row>
    <row r="5429" spans="1:9" x14ac:dyDescent="0.25">
      <c r="A5429" s="1">
        <v>2410170050</v>
      </c>
      <c r="B5429" s="1" t="s">
        <v>3338</v>
      </c>
      <c r="C5429" s="1" t="s">
        <v>142</v>
      </c>
      <c r="D5429" s="1" t="s">
        <v>143</v>
      </c>
      <c r="E5429" s="3">
        <v>59040</v>
      </c>
      <c r="F5429" s="1" t="s">
        <v>36</v>
      </c>
      <c r="G5429" s="1">
        <v>0</v>
      </c>
      <c r="H5429" s="1">
        <v>0</v>
      </c>
      <c r="I5429" s="1">
        <v>6.8033999999999997E-2</v>
      </c>
    </row>
    <row r="5430" spans="1:9" x14ac:dyDescent="0.25">
      <c r="A5430" s="1">
        <v>2410170055</v>
      </c>
      <c r="B5430" s="1" t="s">
        <v>3339</v>
      </c>
      <c r="C5430" s="1" t="s">
        <v>130</v>
      </c>
      <c r="D5430" s="1" t="s">
        <v>131</v>
      </c>
      <c r="E5430" s="1">
        <v>408.79</v>
      </c>
      <c r="F5430" s="1" t="s">
        <v>89</v>
      </c>
      <c r="G5430" s="1">
        <v>0</v>
      </c>
      <c r="H5430" s="1">
        <v>0</v>
      </c>
      <c r="I5430" s="1">
        <v>50.265931000000002</v>
      </c>
    </row>
    <row r="5431" spans="1:9" x14ac:dyDescent="0.25">
      <c r="A5431" s="1">
        <v>2410170056</v>
      </c>
      <c r="B5431" s="1" t="s">
        <v>3340</v>
      </c>
      <c r="C5431" s="1" t="s">
        <v>130</v>
      </c>
      <c r="D5431" s="1" t="s">
        <v>131</v>
      </c>
      <c r="E5431" s="1">
        <v>273.5</v>
      </c>
      <c r="F5431" s="1" t="s">
        <v>89</v>
      </c>
      <c r="G5431" s="1">
        <v>0</v>
      </c>
      <c r="H5431" s="1">
        <v>0</v>
      </c>
      <c r="I5431" s="1">
        <v>34.893967000000004</v>
      </c>
    </row>
    <row r="5432" spans="1:9" x14ac:dyDescent="0.25">
      <c r="A5432" s="1">
        <v>2410170057</v>
      </c>
      <c r="B5432" s="1" t="s">
        <v>3341</v>
      </c>
      <c r="C5432" s="1" t="s">
        <v>130</v>
      </c>
      <c r="D5432" s="1" t="s">
        <v>131</v>
      </c>
      <c r="E5432" s="1">
        <v>97.9</v>
      </c>
      <c r="F5432" s="1" t="s">
        <v>89</v>
      </c>
      <c r="G5432" s="1">
        <v>0</v>
      </c>
      <c r="H5432" s="1">
        <v>0</v>
      </c>
      <c r="I5432" s="1">
        <v>38.073850999999998</v>
      </c>
    </row>
    <row r="5433" spans="1:9" x14ac:dyDescent="0.25">
      <c r="A5433" s="1">
        <v>2410170058</v>
      </c>
      <c r="B5433" s="1" t="s">
        <v>3342</v>
      </c>
      <c r="C5433" s="1" t="s">
        <v>130</v>
      </c>
      <c r="D5433" s="1" t="s">
        <v>131</v>
      </c>
      <c r="E5433" s="1">
        <v>109.5</v>
      </c>
      <c r="F5433" s="1" t="s">
        <v>89</v>
      </c>
      <c r="G5433" s="1">
        <v>0</v>
      </c>
      <c r="H5433" s="1">
        <v>0</v>
      </c>
      <c r="I5433" s="1">
        <v>29.906666999999999</v>
      </c>
    </row>
    <row r="5434" spans="1:9" x14ac:dyDescent="0.25">
      <c r="A5434" s="1">
        <v>2410170071</v>
      </c>
      <c r="B5434" s="1" t="s">
        <v>39</v>
      </c>
      <c r="C5434" s="1" t="s">
        <v>130</v>
      </c>
      <c r="D5434" s="1" t="s">
        <v>131</v>
      </c>
      <c r="E5434" s="3">
        <v>1447862</v>
      </c>
      <c r="F5434" s="1" t="s">
        <v>36</v>
      </c>
      <c r="G5434" s="1">
        <v>0</v>
      </c>
      <c r="H5434" s="3">
        <v>23880</v>
      </c>
      <c r="I5434" s="1">
        <v>1.4323000000000001E-2</v>
      </c>
    </row>
    <row r="5435" spans="1:9" x14ac:dyDescent="0.25">
      <c r="A5435" s="1">
        <v>2410170071</v>
      </c>
      <c r="B5435" s="1" t="s">
        <v>39</v>
      </c>
      <c r="C5435" s="1" t="s">
        <v>142</v>
      </c>
      <c r="D5435" s="1" t="s">
        <v>143</v>
      </c>
      <c r="E5435" s="3">
        <v>20441</v>
      </c>
      <c r="F5435" s="1" t="s">
        <v>36</v>
      </c>
      <c r="G5435" s="1">
        <v>0</v>
      </c>
      <c r="H5435" s="1">
        <v>0</v>
      </c>
      <c r="I5435" s="1">
        <v>1.4323000000000001E-2</v>
      </c>
    </row>
    <row r="5436" spans="1:9" x14ac:dyDescent="0.25">
      <c r="A5436" s="1">
        <v>2410170091</v>
      </c>
      <c r="B5436" s="1" t="s">
        <v>3343</v>
      </c>
      <c r="C5436" s="1" t="s">
        <v>130</v>
      </c>
      <c r="D5436" s="1" t="s">
        <v>131</v>
      </c>
      <c r="E5436" s="3">
        <v>187580</v>
      </c>
      <c r="F5436" s="1" t="s">
        <v>36</v>
      </c>
      <c r="G5436" s="3">
        <v>20500</v>
      </c>
      <c r="H5436" s="1">
        <v>0</v>
      </c>
      <c r="I5436" s="1">
        <v>2.5811000000000001E-2</v>
      </c>
    </row>
    <row r="5437" spans="1:9" x14ac:dyDescent="0.25">
      <c r="A5437" s="1">
        <v>2410170091</v>
      </c>
      <c r="B5437" s="1" t="s">
        <v>3343</v>
      </c>
      <c r="C5437" s="1" t="s">
        <v>142</v>
      </c>
      <c r="D5437" s="1" t="s">
        <v>143</v>
      </c>
      <c r="E5437" s="1">
        <v>0</v>
      </c>
      <c r="F5437" s="1" t="s">
        <v>36</v>
      </c>
      <c r="G5437" s="1">
        <v>0</v>
      </c>
      <c r="H5437" s="3">
        <v>20500</v>
      </c>
      <c r="I5437" s="1">
        <v>2.5811000000000001E-2</v>
      </c>
    </row>
    <row r="5438" spans="1:9" x14ac:dyDescent="0.25">
      <c r="A5438" s="1">
        <v>2410170092</v>
      </c>
      <c r="B5438" s="1" t="s">
        <v>3344</v>
      </c>
      <c r="C5438" s="1" t="s">
        <v>130</v>
      </c>
      <c r="D5438" s="1" t="s">
        <v>131</v>
      </c>
      <c r="E5438" s="3">
        <v>157020</v>
      </c>
      <c r="F5438" s="1" t="s">
        <v>36</v>
      </c>
      <c r="G5438" s="1">
        <v>0</v>
      </c>
      <c r="H5438" s="1">
        <v>0</v>
      </c>
      <c r="I5438" s="1">
        <v>2.9576000000000002E-2</v>
      </c>
    </row>
    <row r="5439" spans="1:9" x14ac:dyDescent="0.25">
      <c r="A5439" s="1">
        <v>2410170093</v>
      </c>
      <c r="B5439" s="1" t="s">
        <v>3345</v>
      </c>
      <c r="C5439" s="1" t="s">
        <v>130</v>
      </c>
      <c r="D5439" s="1" t="s">
        <v>131</v>
      </c>
      <c r="E5439" s="1">
        <v>5.5</v>
      </c>
      <c r="F5439" s="1" t="s">
        <v>89</v>
      </c>
      <c r="G5439" s="1">
        <v>0</v>
      </c>
      <c r="H5439" s="1">
        <v>0</v>
      </c>
      <c r="I5439" s="1">
        <v>14.523636</v>
      </c>
    </row>
    <row r="5440" spans="1:9" x14ac:dyDescent="0.25">
      <c r="A5440" s="1">
        <v>2410170096</v>
      </c>
      <c r="B5440" s="1" t="s">
        <v>3346</v>
      </c>
      <c r="C5440" s="1" t="s">
        <v>130</v>
      </c>
      <c r="D5440" s="1" t="s">
        <v>131</v>
      </c>
      <c r="E5440" s="1">
        <v>62.1</v>
      </c>
      <c r="F5440" s="1" t="s">
        <v>89</v>
      </c>
      <c r="G5440" s="1">
        <v>0</v>
      </c>
      <c r="H5440" s="1">
        <v>0</v>
      </c>
      <c r="I5440" s="1">
        <v>14.244605</v>
      </c>
    </row>
    <row r="5441" spans="1:9" x14ac:dyDescent="0.25">
      <c r="A5441" s="1">
        <v>2410170102</v>
      </c>
      <c r="B5441" s="1" t="s">
        <v>3347</v>
      </c>
      <c r="C5441" s="1" t="s">
        <v>130</v>
      </c>
      <c r="D5441" s="1" t="s">
        <v>131</v>
      </c>
      <c r="E5441" s="3">
        <v>36370</v>
      </c>
      <c r="F5441" s="1" t="s">
        <v>36</v>
      </c>
      <c r="G5441" s="1">
        <v>0</v>
      </c>
      <c r="H5441" s="1">
        <v>0</v>
      </c>
      <c r="I5441" s="1">
        <v>3.5963000000000002E-2</v>
      </c>
    </row>
    <row r="5442" spans="1:9" x14ac:dyDescent="0.25">
      <c r="A5442" s="1">
        <v>2410170205</v>
      </c>
      <c r="B5442" s="1" t="s">
        <v>3348</v>
      </c>
      <c r="C5442" s="1" t="s">
        <v>130</v>
      </c>
      <c r="D5442" s="1" t="s">
        <v>131</v>
      </c>
      <c r="E5442" s="3">
        <v>228230</v>
      </c>
      <c r="F5442" s="1" t="s">
        <v>36</v>
      </c>
      <c r="G5442" s="1">
        <v>0</v>
      </c>
      <c r="H5442" s="1">
        <v>0</v>
      </c>
      <c r="I5442" s="1">
        <v>2.8088999999999999E-2</v>
      </c>
    </row>
    <row r="5443" spans="1:9" x14ac:dyDescent="0.25">
      <c r="A5443" s="1">
        <v>2410170209</v>
      </c>
      <c r="B5443" s="1" t="s">
        <v>3349</v>
      </c>
      <c r="C5443" s="1" t="s">
        <v>130</v>
      </c>
      <c r="D5443" s="1" t="s">
        <v>131</v>
      </c>
      <c r="E5443" s="3">
        <v>245250</v>
      </c>
      <c r="F5443" s="1" t="s">
        <v>36</v>
      </c>
      <c r="G5443" s="1">
        <v>0</v>
      </c>
      <c r="H5443" s="1">
        <v>0</v>
      </c>
      <c r="I5443" s="1">
        <v>2.4322E-2</v>
      </c>
    </row>
    <row r="5444" spans="1:9" x14ac:dyDescent="0.25">
      <c r="A5444" s="1">
        <v>2410170227</v>
      </c>
      <c r="B5444" s="1" t="s">
        <v>3350</v>
      </c>
      <c r="C5444" s="1" t="s">
        <v>130</v>
      </c>
      <c r="D5444" s="1" t="s">
        <v>131</v>
      </c>
      <c r="E5444" s="3">
        <v>417264</v>
      </c>
      <c r="F5444" s="1" t="s">
        <v>36</v>
      </c>
      <c r="G5444" s="1">
        <v>0</v>
      </c>
      <c r="H5444" s="1">
        <v>0</v>
      </c>
      <c r="I5444" s="1">
        <v>5.3254999999999997E-2</v>
      </c>
    </row>
    <row r="5445" spans="1:9" x14ac:dyDescent="0.25">
      <c r="A5445" s="1">
        <v>2410170233</v>
      </c>
      <c r="B5445" s="1" t="s">
        <v>3351</v>
      </c>
      <c r="C5445" s="1" t="s">
        <v>130</v>
      </c>
      <c r="D5445" s="1" t="s">
        <v>131</v>
      </c>
      <c r="E5445" s="3">
        <v>958002</v>
      </c>
      <c r="F5445" s="1" t="s">
        <v>36</v>
      </c>
      <c r="G5445" s="3">
        <v>70000</v>
      </c>
      <c r="H5445" s="1">
        <v>0</v>
      </c>
      <c r="I5445" s="1">
        <v>2.9669999999999998E-2</v>
      </c>
    </row>
    <row r="5446" spans="1:9" x14ac:dyDescent="0.25">
      <c r="A5446" s="1">
        <v>2410170233</v>
      </c>
      <c r="B5446" s="1" t="s">
        <v>3351</v>
      </c>
      <c r="C5446" s="1" t="s">
        <v>142</v>
      </c>
      <c r="D5446" s="1" t="s">
        <v>143</v>
      </c>
      <c r="E5446" s="3">
        <v>6299</v>
      </c>
      <c r="F5446" s="1" t="s">
        <v>36</v>
      </c>
      <c r="G5446" s="1">
        <v>0</v>
      </c>
      <c r="H5446" s="3">
        <v>70000</v>
      </c>
      <c r="I5446" s="1">
        <v>2.9669999999999998E-2</v>
      </c>
    </row>
    <row r="5447" spans="1:9" x14ac:dyDescent="0.25">
      <c r="A5447" s="1">
        <v>2410170234</v>
      </c>
      <c r="B5447" s="1" t="s">
        <v>3352</v>
      </c>
      <c r="C5447" s="1" t="s">
        <v>130</v>
      </c>
      <c r="D5447" s="1" t="s">
        <v>131</v>
      </c>
      <c r="E5447" s="3">
        <v>206490</v>
      </c>
      <c r="F5447" s="1" t="s">
        <v>36</v>
      </c>
      <c r="G5447" s="1">
        <v>0</v>
      </c>
      <c r="H5447" s="1">
        <v>0</v>
      </c>
      <c r="I5447" s="1">
        <v>4.9916000000000002E-2</v>
      </c>
    </row>
    <row r="5448" spans="1:9" x14ac:dyDescent="0.25">
      <c r="A5448" s="1">
        <v>2410170239</v>
      </c>
      <c r="B5448" s="1" t="s">
        <v>3353</v>
      </c>
      <c r="C5448" s="1" t="s">
        <v>130</v>
      </c>
      <c r="D5448" s="1" t="s">
        <v>131</v>
      </c>
      <c r="E5448" s="3">
        <v>38080</v>
      </c>
      <c r="F5448" s="1" t="s">
        <v>36</v>
      </c>
      <c r="G5448" s="1">
        <v>0</v>
      </c>
      <c r="H5448" s="1">
        <v>0</v>
      </c>
      <c r="I5448" s="1">
        <v>2.3816E-2</v>
      </c>
    </row>
    <row r="5449" spans="1:9" x14ac:dyDescent="0.25">
      <c r="A5449" s="1">
        <v>2410170240</v>
      </c>
      <c r="B5449" s="1" t="s">
        <v>3354</v>
      </c>
      <c r="C5449" s="1" t="s">
        <v>130</v>
      </c>
      <c r="D5449" s="1" t="s">
        <v>131</v>
      </c>
      <c r="E5449" s="3">
        <v>116995</v>
      </c>
      <c r="F5449" s="1" t="s">
        <v>36</v>
      </c>
      <c r="G5449" s="1">
        <v>0</v>
      </c>
      <c r="H5449" s="1">
        <v>0</v>
      </c>
      <c r="I5449" s="1">
        <v>2.3335999999999999E-2</v>
      </c>
    </row>
    <row r="5450" spans="1:9" x14ac:dyDescent="0.25">
      <c r="A5450">
        <v>2410170241</v>
      </c>
      <c r="B5450" t="s">
        <v>3355</v>
      </c>
      <c r="C5450" t="s">
        <v>130</v>
      </c>
      <c r="D5450" t="s">
        <v>131</v>
      </c>
      <c r="E5450" s="2">
        <v>863</v>
      </c>
      <c r="F5450" t="s">
        <v>36</v>
      </c>
      <c r="G5450">
        <v>0</v>
      </c>
      <c r="H5450" s="2">
        <v>0</v>
      </c>
      <c r="I5450">
        <v>2.6686000000000001E-2</v>
      </c>
    </row>
    <row r="5451" spans="1:9" x14ac:dyDescent="0.25">
      <c r="A5451" s="1">
        <v>2410170241</v>
      </c>
      <c r="B5451" s="1" t="s">
        <v>3355</v>
      </c>
      <c r="C5451" s="1" t="s">
        <v>126</v>
      </c>
      <c r="D5451" s="1" t="s">
        <v>127</v>
      </c>
      <c r="E5451" s="3">
        <v>10000</v>
      </c>
      <c r="F5451" s="1" t="s">
        <v>36</v>
      </c>
      <c r="G5451" s="1">
        <v>0</v>
      </c>
      <c r="H5451" s="1">
        <v>0</v>
      </c>
      <c r="I5451" s="1">
        <v>2.6681E-2</v>
      </c>
    </row>
    <row r="5452" spans="1:9" x14ac:dyDescent="0.25">
      <c r="A5452" s="1">
        <v>2410170242</v>
      </c>
      <c r="B5452" s="1" t="s">
        <v>3356</v>
      </c>
      <c r="C5452" s="1" t="s">
        <v>130</v>
      </c>
      <c r="D5452" s="1" t="s">
        <v>131</v>
      </c>
      <c r="E5452" s="3">
        <v>153210</v>
      </c>
      <c r="F5452" s="1" t="s">
        <v>36</v>
      </c>
      <c r="G5452" s="1">
        <v>0</v>
      </c>
      <c r="H5452" s="3">
        <v>1096</v>
      </c>
      <c r="I5452" s="1">
        <v>2.6702E-2</v>
      </c>
    </row>
    <row r="5453" spans="1:9" x14ac:dyDescent="0.25">
      <c r="A5453" s="1">
        <v>2410170242</v>
      </c>
      <c r="B5453" s="1" t="s">
        <v>3356</v>
      </c>
      <c r="C5453" s="1" t="s">
        <v>142</v>
      </c>
      <c r="D5453" s="1" t="s">
        <v>143</v>
      </c>
      <c r="E5453" s="3">
        <v>64260</v>
      </c>
      <c r="F5453" s="1" t="s">
        <v>36</v>
      </c>
      <c r="G5453" s="3">
        <v>1096</v>
      </c>
      <c r="H5453" s="1">
        <v>0</v>
      </c>
      <c r="I5453" s="1">
        <v>2.6702E-2</v>
      </c>
    </row>
    <row r="5454" spans="1:9" x14ac:dyDescent="0.25">
      <c r="A5454" s="1">
        <v>2410170243</v>
      </c>
      <c r="B5454" s="1" t="s">
        <v>3357</v>
      </c>
      <c r="C5454" s="1" t="s">
        <v>130</v>
      </c>
      <c r="D5454" s="1" t="s">
        <v>131</v>
      </c>
      <c r="E5454" s="3">
        <v>183001</v>
      </c>
      <c r="F5454" s="1" t="s">
        <v>36</v>
      </c>
      <c r="G5454" s="1">
        <v>0</v>
      </c>
      <c r="H5454" s="3">
        <v>4351</v>
      </c>
      <c r="I5454" s="1">
        <v>2.4511000000000002E-2</v>
      </c>
    </row>
    <row r="5455" spans="1:9" x14ac:dyDescent="0.25">
      <c r="A5455" s="1">
        <v>2410170243</v>
      </c>
      <c r="B5455" s="1" t="s">
        <v>3357</v>
      </c>
      <c r="C5455" s="1" t="s">
        <v>142</v>
      </c>
      <c r="D5455" s="1" t="s">
        <v>143</v>
      </c>
      <c r="E5455" s="3">
        <v>0</v>
      </c>
      <c r="F5455" s="1" t="s">
        <v>36</v>
      </c>
      <c r="G5455" s="3">
        <v>4351</v>
      </c>
      <c r="H5455" s="1">
        <v>0</v>
      </c>
      <c r="I5455" s="1">
        <v>2.4511000000000002E-2</v>
      </c>
    </row>
    <row r="5456" spans="1:9" x14ac:dyDescent="0.25">
      <c r="A5456" s="1">
        <v>2410170244</v>
      </c>
      <c r="B5456" s="1" t="s">
        <v>3358</v>
      </c>
      <c r="C5456" s="1" t="s">
        <v>130</v>
      </c>
      <c r="D5456" s="1" t="s">
        <v>131</v>
      </c>
      <c r="E5456" s="3">
        <v>209060</v>
      </c>
      <c r="F5456" s="1" t="s">
        <v>36</v>
      </c>
      <c r="G5456" s="1">
        <v>0</v>
      </c>
      <c r="H5456" s="1">
        <v>0</v>
      </c>
      <c r="I5456" s="1">
        <v>2.6086999999999999E-2</v>
      </c>
    </row>
    <row r="5457" spans="1:9" x14ac:dyDescent="0.25">
      <c r="A5457" s="1">
        <v>2410170244</v>
      </c>
      <c r="B5457" s="1" t="s">
        <v>3358</v>
      </c>
      <c r="C5457" s="1" t="s">
        <v>142</v>
      </c>
      <c r="D5457" s="1" t="s">
        <v>143</v>
      </c>
      <c r="E5457" s="3">
        <v>61400</v>
      </c>
      <c r="F5457" s="1" t="s">
        <v>36</v>
      </c>
      <c r="G5457" s="1">
        <v>0</v>
      </c>
      <c r="H5457" s="1">
        <v>0</v>
      </c>
      <c r="I5457" s="1">
        <v>2.6086999999999999E-2</v>
      </c>
    </row>
    <row r="5458" spans="1:9" x14ac:dyDescent="0.25">
      <c r="A5458" s="1">
        <v>2410170245</v>
      </c>
      <c r="B5458" s="1" t="s">
        <v>3359</v>
      </c>
      <c r="C5458" s="1" t="s">
        <v>130</v>
      </c>
      <c r="D5458" s="1" t="s">
        <v>131</v>
      </c>
      <c r="E5458" s="3">
        <v>77700</v>
      </c>
      <c r="F5458" s="1" t="s">
        <v>36</v>
      </c>
      <c r="G5458" s="1">
        <v>0</v>
      </c>
      <c r="H5458" s="1">
        <v>0</v>
      </c>
      <c r="I5458" s="1">
        <v>3.0096000000000001E-2</v>
      </c>
    </row>
    <row r="5459" spans="1:9" x14ac:dyDescent="0.25">
      <c r="A5459" s="1">
        <v>2410190003</v>
      </c>
      <c r="B5459" s="1" t="s">
        <v>3360</v>
      </c>
      <c r="C5459" s="1" t="s">
        <v>130</v>
      </c>
      <c r="D5459" s="1" t="s">
        <v>131</v>
      </c>
      <c r="E5459" s="1">
        <v>19.8</v>
      </c>
      <c r="F5459" s="1" t="s">
        <v>89</v>
      </c>
      <c r="G5459" s="1">
        <v>0</v>
      </c>
      <c r="H5459" s="1">
        <v>0</v>
      </c>
      <c r="I5459" s="1">
        <v>10.132323</v>
      </c>
    </row>
    <row r="5460" spans="1:9" x14ac:dyDescent="0.25">
      <c r="A5460" s="1">
        <v>2410190009</v>
      </c>
      <c r="B5460" s="1" t="s">
        <v>3361</v>
      </c>
      <c r="C5460" s="1" t="s">
        <v>130</v>
      </c>
      <c r="D5460" s="1" t="s">
        <v>131</v>
      </c>
      <c r="E5460" s="1">
        <v>682.51</v>
      </c>
      <c r="F5460" s="1" t="s">
        <v>89</v>
      </c>
      <c r="G5460" s="1">
        <v>0</v>
      </c>
      <c r="H5460" s="1">
        <v>0</v>
      </c>
      <c r="I5460" s="1">
        <v>22.171192000000001</v>
      </c>
    </row>
    <row r="5461" spans="1:9" x14ac:dyDescent="0.25">
      <c r="A5461" s="1">
        <v>2410190011</v>
      </c>
      <c r="B5461" s="1" t="s">
        <v>3362</v>
      </c>
      <c r="C5461" s="1" t="s">
        <v>130</v>
      </c>
      <c r="D5461" s="1" t="s">
        <v>131</v>
      </c>
      <c r="E5461" s="3">
        <v>3019.84</v>
      </c>
      <c r="F5461" s="1" t="s">
        <v>89</v>
      </c>
      <c r="G5461" s="1">
        <v>0</v>
      </c>
      <c r="H5461" s="1">
        <v>0</v>
      </c>
      <c r="I5461" s="1">
        <v>6.685066</v>
      </c>
    </row>
    <row r="5462" spans="1:9" x14ac:dyDescent="0.25">
      <c r="A5462" s="1">
        <v>2410190011</v>
      </c>
      <c r="B5462" s="1" t="s">
        <v>3362</v>
      </c>
      <c r="C5462" s="1" t="s">
        <v>142</v>
      </c>
      <c r="D5462" s="1" t="s">
        <v>143</v>
      </c>
      <c r="E5462" s="3">
        <v>1441.5</v>
      </c>
      <c r="F5462" s="1" t="s">
        <v>89</v>
      </c>
      <c r="G5462" s="1">
        <v>0</v>
      </c>
      <c r="H5462" s="1">
        <v>0</v>
      </c>
      <c r="I5462" s="1">
        <v>6.6850569999999996</v>
      </c>
    </row>
    <row r="5463" spans="1:9" x14ac:dyDescent="0.25">
      <c r="A5463" s="1">
        <v>2410190011</v>
      </c>
      <c r="B5463" s="1" t="s">
        <v>3362</v>
      </c>
      <c r="C5463" s="1" t="s">
        <v>2174</v>
      </c>
      <c r="D5463" s="1" t="s">
        <v>2175</v>
      </c>
      <c r="E5463" s="1">
        <v>733.03</v>
      </c>
      <c r="F5463" s="1" t="s">
        <v>89</v>
      </c>
      <c r="G5463" s="1">
        <v>0</v>
      </c>
      <c r="H5463" s="1">
        <v>0</v>
      </c>
      <c r="I5463" s="1">
        <v>6.6854839999999998</v>
      </c>
    </row>
    <row r="5464" spans="1:9" x14ac:dyDescent="0.25">
      <c r="A5464" s="1">
        <v>2410200005</v>
      </c>
      <c r="B5464" s="1" t="s">
        <v>3363</v>
      </c>
      <c r="C5464" s="1" t="s">
        <v>130</v>
      </c>
      <c r="D5464" s="1" t="s">
        <v>131</v>
      </c>
      <c r="E5464" s="1">
        <v>9</v>
      </c>
      <c r="F5464" s="1" t="s">
        <v>3209</v>
      </c>
      <c r="G5464" s="1">
        <v>0</v>
      </c>
      <c r="H5464" s="1">
        <v>0</v>
      </c>
      <c r="I5464" s="1">
        <v>26.802222</v>
      </c>
    </row>
    <row r="5465" spans="1:9" x14ac:dyDescent="0.25">
      <c r="A5465" s="1">
        <v>2410200005</v>
      </c>
      <c r="B5465" s="1" t="s">
        <v>3363</v>
      </c>
      <c r="C5465" s="1" t="s">
        <v>142</v>
      </c>
      <c r="D5465" s="1" t="s">
        <v>143</v>
      </c>
      <c r="E5465" s="1">
        <v>0.1938</v>
      </c>
      <c r="F5465" s="1" t="s">
        <v>3209</v>
      </c>
      <c r="G5465" s="1">
        <v>0</v>
      </c>
      <c r="H5465" s="1">
        <v>0</v>
      </c>
      <c r="I5465" s="1">
        <v>21.517028</v>
      </c>
    </row>
    <row r="5466" spans="1:9" x14ac:dyDescent="0.25">
      <c r="A5466" s="1">
        <v>2410200012</v>
      </c>
      <c r="B5466" s="1" t="s">
        <v>3364</v>
      </c>
      <c r="C5466" s="1" t="s">
        <v>130</v>
      </c>
      <c r="D5466" s="1" t="s">
        <v>131</v>
      </c>
      <c r="E5466" s="1">
        <v>4</v>
      </c>
      <c r="F5466" s="1" t="s">
        <v>89</v>
      </c>
      <c r="G5466" s="1">
        <v>0</v>
      </c>
      <c r="H5466" s="1">
        <v>0</v>
      </c>
      <c r="I5466" s="1">
        <v>18.395</v>
      </c>
    </row>
    <row r="5467" spans="1:9" x14ac:dyDescent="0.25">
      <c r="A5467" s="1">
        <v>2410200020</v>
      </c>
      <c r="B5467" s="1" t="s">
        <v>3365</v>
      </c>
      <c r="C5467" s="1" t="s">
        <v>130</v>
      </c>
      <c r="D5467" s="1" t="s">
        <v>131</v>
      </c>
      <c r="E5467" s="1">
        <v>2.0630000000000002</v>
      </c>
      <c r="F5467" s="1" t="s">
        <v>89</v>
      </c>
      <c r="G5467" s="1">
        <v>0</v>
      </c>
      <c r="H5467" s="1">
        <v>0</v>
      </c>
      <c r="I5467" s="1">
        <v>2.074649</v>
      </c>
    </row>
    <row r="5468" spans="1:9" x14ac:dyDescent="0.25">
      <c r="A5468" s="1">
        <v>2410200021</v>
      </c>
      <c r="B5468" s="1" t="s">
        <v>3366</v>
      </c>
      <c r="C5468" s="1" t="s">
        <v>130</v>
      </c>
      <c r="D5468" s="1" t="s">
        <v>131</v>
      </c>
      <c r="E5468" s="1">
        <v>29.963000000000001</v>
      </c>
      <c r="F5468" s="1" t="s">
        <v>89</v>
      </c>
      <c r="G5468" s="1">
        <v>0</v>
      </c>
      <c r="H5468" s="1">
        <v>0</v>
      </c>
      <c r="I5468" s="1">
        <v>17.368421000000001</v>
      </c>
    </row>
    <row r="5469" spans="1:9" x14ac:dyDescent="0.25">
      <c r="A5469" s="1">
        <v>2410210003</v>
      </c>
      <c r="B5469" s="1" t="s">
        <v>95</v>
      </c>
      <c r="C5469" s="1" t="s">
        <v>130</v>
      </c>
      <c r="D5469" s="1" t="s">
        <v>131</v>
      </c>
      <c r="E5469" s="1">
        <v>430</v>
      </c>
      <c r="F5469" s="1" t="s">
        <v>89</v>
      </c>
      <c r="G5469" s="1">
        <v>31.64</v>
      </c>
      <c r="H5469" s="1">
        <v>0</v>
      </c>
      <c r="I5469" s="1">
        <v>5.0519999999999996</v>
      </c>
    </row>
    <row r="5470" spans="1:9" x14ac:dyDescent="0.25">
      <c r="A5470" s="1">
        <v>2410210003</v>
      </c>
      <c r="B5470" s="1" t="s">
        <v>95</v>
      </c>
      <c r="C5470" s="1" t="s">
        <v>142</v>
      </c>
      <c r="D5470" s="1" t="s">
        <v>143</v>
      </c>
      <c r="E5470" s="1">
        <v>0</v>
      </c>
      <c r="F5470" s="1" t="s">
        <v>89</v>
      </c>
      <c r="G5470" s="1">
        <v>0</v>
      </c>
      <c r="H5470" s="1">
        <v>31.64</v>
      </c>
      <c r="I5470" s="1">
        <v>5.5864019999999996</v>
      </c>
    </row>
    <row r="5471" spans="1:9" x14ac:dyDescent="0.25">
      <c r="A5471" s="1">
        <v>2410210003</v>
      </c>
      <c r="B5471" s="1" t="s">
        <v>95</v>
      </c>
      <c r="C5471" s="1" t="s">
        <v>2174</v>
      </c>
      <c r="D5471" s="1" t="s">
        <v>2175</v>
      </c>
      <c r="E5471" s="1">
        <v>224.06200000000001</v>
      </c>
      <c r="F5471" s="1" t="s">
        <v>89</v>
      </c>
      <c r="G5471" s="1">
        <v>0</v>
      </c>
      <c r="H5471" s="1">
        <v>0</v>
      </c>
      <c r="I5471" s="1">
        <v>5.1761569999999999</v>
      </c>
    </row>
    <row r="5472" spans="1:9" x14ac:dyDescent="0.25">
      <c r="A5472" s="1">
        <v>2410210003</v>
      </c>
      <c r="B5472" s="1" t="s">
        <v>95</v>
      </c>
      <c r="C5472" s="1" t="s">
        <v>1480</v>
      </c>
      <c r="D5472" s="1" t="s">
        <v>1481</v>
      </c>
      <c r="E5472" s="1">
        <v>4.5</v>
      </c>
      <c r="F5472" s="1" t="s">
        <v>89</v>
      </c>
      <c r="G5472" s="1">
        <v>0</v>
      </c>
      <c r="H5472" s="1">
        <v>9</v>
      </c>
      <c r="I5472" s="1">
        <v>4.9333330000000002</v>
      </c>
    </row>
    <row r="5473" spans="1:9" x14ac:dyDescent="0.25">
      <c r="A5473" s="1">
        <v>2410210004</v>
      </c>
      <c r="B5473" s="1" t="s">
        <v>3367</v>
      </c>
      <c r="C5473" s="1" t="s">
        <v>130</v>
      </c>
      <c r="D5473" s="1" t="s">
        <v>131</v>
      </c>
      <c r="E5473" s="1">
        <v>102.5556</v>
      </c>
      <c r="F5473" s="1" t="s">
        <v>89</v>
      </c>
      <c r="G5473" s="1">
        <v>0</v>
      </c>
      <c r="H5473" s="1">
        <v>0</v>
      </c>
      <c r="I5473" s="1">
        <v>13.126441</v>
      </c>
    </row>
    <row r="5474" spans="1:9" x14ac:dyDescent="0.25">
      <c r="A5474" s="1">
        <v>2410210013</v>
      </c>
      <c r="B5474" s="1" t="s">
        <v>3368</v>
      </c>
      <c r="C5474" s="1" t="s">
        <v>130</v>
      </c>
      <c r="D5474" s="1" t="s">
        <v>131</v>
      </c>
      <c r="E5474" s="1">
        <v>19.8</v>
      </c>
      <c r="F5474" s="1" t="s">
        <v>89</v>
      </c>
      <c r="G5474" s="1">
        <v>0</v>
      </c>
      <c r="H5474" s="1">
        <v>0</v>
      </c>
      <c r="I5474" s="1">
        <v>34.370707000000003</v>
      </c>
    </row>
    <row r="5475" spans="1:9" x14ac:dyDescent="0.25">
      <c r="A5475" s="1">
        <v>2410210017</v>
      </c>
      <c r="B5475" s="1" t="s">
        <v>3369</v>
      </c>
      <c r="C5475" s="1" t="s">
        <v>130</v>
      </c>
      <c r="D5475" s="1" t="s">
        <v>131</v>
      </c>
      <c r="E5475" s="1">
        <v>164.75</v>
      </c>
      <c r="F5475" s="1" t="s">
        <v>89</v>
      </c>
      <c r="G5475" s="1">
        <v>0</v>
      </c>
      <c r="H5475" s="1">
        <v>0</v>
      </c>
      <c r="I5475" s="1">
        <v>16.08953</v>
      </c>
    </row>
    <row r="5476" spans="1:9" x14ac:dyDescent="0.25">
      <c r="A5476" s="1">
        <v>2410210019</v>
      </c>
      <c r="B5476" s="1" t="s">
        <v>113</v>
      </c>
      <c r="C5476" s="1" t="s">
        <v>130</v>
      </c>
      <c r="D5476" s="1" t="s">
        <v>131</v>
      </c>
      <c r="E5476" s="3">
        <v>0</v>
      </c>
      <c r="F5476" s="1" t="s">
        <v>89</v>
      </c>
      <c r="G5476" s="1">
        <v>5.95</v>
      </c>
      <c r="H5476" s="1">
        <v>0</v>
      </c>
      <c r="I5476" s="1">
        <v>7.5043049999999996</v>
      </c>
    </row>
    <row r="5477" spans="1:9" x14ac:dyDescent="0.25">
      <c r="A5477" s="1">
        <v>2410210019</v>
      </c>
      <c r="B5477" s="1" t="s">
        <v>113</v>
      </c>
      <c r="C5477" s="1" t="s">
        <v>142</v>
      </c>
      <c r="D5477" s="1" t="s">
        <v>143</v>
      </c>
      <c r="E5477" s="3">
        <v>0</v>
      </c>
      <c r="F5477" s="1" t="s">
        <v>89</v>
      </c>
      <c r="G5477" s="1">
        <v>0</v>
      </c>
      <c r="H5477" s="1">
        <v>5.95</v>
      </c>
      <c r="I5477" s="1">
        <v>7.5043920000000002</v>
      </c>
    </row>
    <row r="5478" spans="1:9" x14ac:dyDescent="0.25">
      <c r="A5478" s="1">
        <v>2410210019</v>
      </c>
      <c r="B5478" s="1" t="s">
        <v>113</v>
      </c>
      <c r="C5478" s="1" t="s">
        <v>2174</v>
      </c>
      <c r="D5478" s="1" t="s">
        <v>2175</v>
      </c>
      <c r="E5478" s="1">
        <v>162.40950000000001</v>
      </c>
      <c r="F5478" s="1" t="s">
        <v>89</v>
      </c>
      <c r="G5478" s="1">
        <v>0</v>
      </c>
      <c r="H5478" s="1">
        <v>0</v>
      </c>
      <c r="I5478" s="1">
        <v>7.5043639999999998</v>
      </c>
    </row>
    <row r="5479" spans="1:9" x14ac:dyDescent="0.25">
      <c r="A5479">
        <v>2410210022</v>
      </c>
      <c r="B5479" t="s">
        <v>3370</v>
      </c>
      <c r="C5479" t="s">
        <v>130</v>
      </c>
      <c r="D5479" t="s">
        <v>131</v>
      </c>
      <c r="E5479" s="2">
        <v>20</v>
      </c>
      <c r="F5479" t="s">
        <v>89</v>
      </c>
      <c r="G5479">
        <v>0</v>
      </c>
      <c r="H5479">
        <v>0</v>
      </c>
      <c r="I5479">
        <v>29.544499999999999</v>
      </c>
    </row>
    <row r="5480" spans="1:9" x14ac:dyDescent="0.25">
      <c r="A5480">
        <v>2410210022</v>
      </c>
      <c r="B5480" t="s">
        <v>3370</v>
      </c>
      <c r="C5480" t="s">
        <v>2333</v>
      </c>
      <c r="D5480" t="s">
        <v>2334</v>
      </c>
      <c r="E5480" s="2">
        <v>4.28</v>
      </c>
      <c r="F5480" t="s">
        <v>89</v>
      </c>
      <c r="G5480" s="2">
        <v>0</v>
      </c>
      <c r="H5480" s="2">
        <v>0</v>
      </c>
      <c r="I5480">
        <v>29.544392999999999</v>
      </c>
    </row>
    <row r="5481" spans="1:9" x14ac:dyDescent="0.25">
      <c r="A5481" s="1">
        <v>2410220004</v>
      </c>
      <c r="B5481" s="1" t="s">
        <v>3371</v>
      </c>
      <c r="C5481" s="1" t="s">
        <v>130</v>
      </c>
      <c r="D5481" s="1" t="s">
        <v>131</v>
      </c>
      <c r="E5481" s="1">
        <v>103.96299999999999</v>
      </c>
      <c r="F5481" s="1" t="s">
        <v>89</v>
      </c>
      <c r="G5481" s="1">
        <v>0.28000000000000003</v>
      </c>
      <c r="H5481" s="1">
        <v>0</v>
      </c>
      <c r="I5481" s="1">
        <v>144.33490800000001</v>
      </c>
    </row>
    <row r="5482" spans="1:9" x14ac:dyDescent="0.25">
      <c r="A5482" s="1">
        <v>2410220004</v>
      </c>
      <c r="B5482" s="1" t="s">
        <v>3371</v>
      </c>
      <c r="C5482" s="1" t="s">
        <v>142</v>
      </c>
      <c r="D5482" s="1" t="s">
        <v>143</v>
      </c>
      <c r="E5482" s="1">
        <v>0</v>
      </c>
      <c r="F5482" s="1" t="s">
        <v>89</v>
      </c>
      <c r="G5482" s="1">
        <v>0</v>
      </c>
      <c r="H5482" s="1">
        <v>0.28000000000000003</v>
      </c>
      <c r="I5482" s="1">
        <v>145.415356</v>
      </c>
    </row>
    <row r="5483" spans="1:9" x14ac:dyDescent="0.25">
      <c r="A5483" s="1">
        <v>2410220004</v>
      </c>
      <c r="B5483" s="1" t="s">
        <v>3371</v>
      </c>
      <c r="C5483" s="1" t="s">
        <v>2174</v>
      </c>
      <c r="D5483" s="1" t="s">
        <v>2175</v>
      </c>
      <c r="E5483" s="1">
        <v>0.34699999999999998</v>
      </c>
      <c r="F5483" s="1" t="s">
        <v>89</v>
      </c>
      <c r="G5483" s="1">
        <v>0</v>
      </c>
      <c r="H5483" s="1">
        <v>0</v>
      </c>
      <c r="I5483" s="1">
        <v>144.322767</v>
      </c>
    </row>
    <row r="5484" spans="1:9" x14ac:dyDescent="0.25">
      <c r="A5484" s="1">
        <v>2410250001</v>
      </c>
      <c r="B5484" s="1" t="s">
        <v>3372</v>
      </c>
      <c r="C5484" s="1" t="s">
        <v>130</v>
      </c>
      <c r="D5484" s="1" t="s">
        <v>131</v>
      </c>
      <c r="E5484" s="1">
        <v>34.542999999999999</v>
      </c>
      <c r="F5484" s="1" t="s">
        <v>89</v>
      </c>
      <c r="G5484" s="1">
        <v>0</v>
      </c>
      <c r="H5484" s="1">
        <v>0</v>
      </c>
      <c r="I5484" s="1">
        <v>127.754683</v>
      </c>
    </row>
    <row r="5485" spans="1:9" x14ac:dyDescent="0.25">
      <c r="A5485" s="1">
        <v>2410250004</v>
      </c>
      <c r="B5485" s="1" t="s">
        <v>3373</v>
      </c>
      <c r="C5485" s="1" t="s">
        <v>130</v>
      </c>
      <c r="D5485" s="1" t="s">
        <v>131</v>
      </c>
      <c r="E5485" s="1">
        <v>3.46</v>
      </c>
      <c r="F5485" s="1" t="s">
        <v>89</v>
      </c>
      <c r="G5485" s="1">
        <v>0</v>
      </c>
      <c r="H5485" s="1">
        <v>0</v>
      </c>
      <c r="I5485" s="1">
        <v>99.780347000000006</v>
      </c>
    </row>
    <row r="5486" spans="1:9" x14ac:dyDescent="0.25">
      <c r="A5486" s="1">
        <v>2410250005</v>
      </c>
      <c r="B5486" s="1" t="s">
        <v>3374</v>
      </c>
      <c r="C5486" s="1" t="s">
        <v>130</v>
      </c>
      <c r="D5486" s="1" t="s">
        <v>131</v>
      </c>
      <c r="E5486" s="1">
        <v>1.5</v>
      </c>
      <c r="F5486" s="1" t="s">
        <v>89</v>
      </c>
      <c r="G5486" s="1">
        <v>0</v>
      </c>
      <c r="H5486" s="1">
        <v>0</v>
      </c>
      <c r="I5486" s="1">
        <v>42.486666999999997</v>
      </c>
    </row>
    <row r="5487" spans="1:9" x14ac:dyDescent="0.25">
      <c r="A5487" s="1">
        <v>2410260002</v>
      </c>
      <c r="B5487" s="1" t="s">
        <v>3375</v>
      </c>
      <c r="C5487" s="1" t="s">
        <v>130</v>
      </c>
      <c r="D5487" s="1" t="s">
        <v>131</v>
      </c>
      <c r="E5487" s="1">
        <v>150</v>
      </c>
      <c r="F5487" s="1" t="s">
        <v>89</v>
      </c>
      <c r="G5487" s="1">
        <v>0</v>
      </c>
      <c r="H5487" s="1">
        <v>0</v>
      </c>
      <c r="I5487" s="1">
        <v>0.50239999999999996</v>
      </c>
    </row>
    <row r="5488" spans="1:9" x14ac:dyDescent="0.25">
      <c r="A5488" s="1">
        <v>2410260003</v>
      </c>
      <c r="B5488" s="1" t="s">
        <v>3376</v>
      </c>
      <c r="C5488" s="1" t="s">
        <v>130</v>
      </c>
      <c r="D5488" s="1" t="s">
        <v>131</v>
      </c>
      <c r="E5488" s="1">
        <v>17.170000000000002</v>
      </c>
      <c r="F5488" s="1" t="s">
        <v>89</v>
      </c>
      <c r="G5488" s="1">
        <v>0</v>
      </c>
      <c r="H5488" s="1">
        <v>0</v>
      </c>
      <c r="I5488" s="1">
        <v>9.1863720000000004</v>
      </c>
    </row>
    <row r="5489" spans="1:9" x14ac:dyDescent="0.25">
      <c r="A5489" s="1">
        <v>2410260006</v>
      </c>
      <c r="B5489" s="1" t="s">
        <v>3377</v>
      </c>
      <c r="C5489" s="1" t="s">
        <v>130</v>
      </c>
      <c r="D5489" s="1" t="s">
        <v>131</v>
      </c>
      <c r="E5489" s="1">
        <v>9.5</v>
      </c>
      <c r="F5489" s="1" t="s">
        <v>89</v>
      </c>
      <c r="G5489" s="1">
        <v>0</v>
      </c>
      <c r="H5489" s="1">
        <v>0</v>
      </c>
      <c r="I5489" s="1">
        <v>6.6947369999999999</v>
      </c>
    </row>
    <row r="5490" spans="1:9" x14ac:dyDescent="0.25">
      <c r="A5490" s="1">
        <v>2410260013</v>
      </c>
      <c r="B5490" s="1" t="s">
        <v>3378</v>
      </c>
      <c r="C5490" s="1" t="s">
        <v>130</v>
      </c>
      <c r="D5490" s="1" t="s">
        <v>131</v>
      </c>
      <c r="E5490" s="1">
        <v>0.18720000000000001</v>
      </c>
      <c r="F5490" s="1" t="s">
        <v>89</v>
      </c>
      <c r="G5490" s="1">
        <v>7.3999999999999996E-2</v>
      </c>
      <c r="H5490" s="1">
        <v>0</v>
      </c>
      <c r="I5490" s="1">
        <v>33.600427000000003</v>
      </c>
    </row>
    <row r="5491" spans="1:9" x14ac:dyDescent="0.25">
      <c r="A5491" s="1">
        <v>2410260013</v>
      </c>
      <c r="B5491" s="1" t="s">
        <v>3378</v>
      </c>
      <c r="C5491" s="1" t="s">
        <v>142</v>
      </c>
      <c r="D5491" s="1" t="s">
        <v>143</v>
      </c>
      <c r="E5491" s="1">
        <v>0.29399999999999998</v>
      </c>
      <c r="F5491" s="1" t="s">
        <v>89</v>
      </c>
      <c r="G5491" s="1">
        <v>0</v>
      </c>
      <c r="H5491" s="1">
        <v>7.3999999999999996E-2</v>
      </c>
      <c r="I5491" s="1">
        <v>33.571429000000002</v>
      </c>
    </row>
    <row r="5492" spans="1:9" x14ac:dyDescent="0.25">
      <c r="A5492" s="1">
        <v>2410260013</v>
      </c>
      <c r="B5492" s="1" t="s">
        <v>3378</v>
      </c>
      <c r="C5492" s="1" t="s">
        <v>2174</v>
      </c>
      <c r="D5492" s="1" t="s">
        <v>2175</v>
      </c>
      <c r="E5492" s="1">
        <v>0.27400000000000002</v>
      </c>
      <c r="F5492" s="1" t="s">
        <v>89</v>
      </c>
      <c r="G5492" s="1">
        <v>0</v>
      </c>
      <c r="H5492" s="1">
        <v>0</v>
      </c>
      <c r="I5492" s="1">
        <v>33.576642</v>
      </c>
    </row>
    <row r="5493" spans="1:9" x14ac:dyDescent="0.25">
      <c r="A5493" s="1">
        <v>2410260014</v>
      </c>
      <c r="B5493" s="1" t="s">
        <v>3379</v>
      </c>
      <c r="C5493" s="1" t="s">
        <v>130</v>
      </c>
      <c r="D5493" s="1" t="s">
        <v>131</v>
      </c>
      <c r="E5493" s="1">
        <v>122</v>
      </c>
      <c r="F5493" s="1" t="s">
        <v>89</v>
      </c>
      <c r="G5493" s="1">
        <v>0</v>
      </c>
      <c r="H5493" s="1">
        <v>0</v>
      </c>
      <c r="I5493" s="1">
        <v>26.390409999999999</v>
      </c>
    </row>
    <row r="5494" spans="1:9" x14ac:dyDescent="0.25">
      <c r="A5494" s="1">
        <v>2410260028</v>
      </c>
      <c r="B5494" s="1" t="s">
        <v>3380</v>
      </c>
      <c r="C5494" s="1" t="s">
        <v>130</v>
      </c>
      <c r="D5494" s="1" t="s">
        <v>131</v>
      </c>
      <c r="E5494" s="1">
        <v>3.794</v>
      </c>
      <c r="F5494" s="1" t="s">
        <v>89</v>
      </c>
      <c r="G5494" s="1">
        <v>0</v>
      </c>
      <c r="H5494" s="1">
        <v>0</v>
      </c>
      <c r="I5494" s="1">
        <v>48.858724000000002</v>
      </c>
    </row>
    <row r="5495" spans="1:9" x14ac:dyDescent="0.25">
      <c r="A5495" s="1">
        <v>2410290002</v>
      </c>
      <c r="B5495" s="1" t="s">
        <v>3381</v>
      </c>
      <c r="C5495" s="1" t="s">
        <v>130</v>
      </c>
      <c r="D5495" s="1" t="s">
        <v>131</v>
      </c>
      <c r="E5495" s="1">
        <v>10</v>
      </c>
      <c r="F5495" s="1" t="s">
        <v>3382</v>
      </c>
      <c r="G5495" s="1">
        <v>0</v>
      </c>
      <c r="H5495" s="1">
        <v>0</v>
      </c>
      <c r="I5495" s="1">
        <v>202.566</v>
      </c>
    </row>
    <row r="5496" spans="1:9" x14ac:dyDescent="0.25">
      <c r="A5496" s="1">
        <v>2410290004</v>
      </c>
      <c r="B5496" s="1" t="s">
        <v>3383</v>
      </c>
      <c r="C5496" s="1" t="s">
        <v>523</v>
      </c>
      <c r="D5496" s="1" t="s">
        <v>524</v>
      </c>
      <c r="E5496" s="1">
        <v>3.2</v>
      </c>
      <c r="F5496" s="1" t="s">
        <v>89</v>
      </c>
      <c r="G5496" s="1">
        <v>0</v>
      </c>
      <c r="H5496" s="1">
        <v>0</v>
      </c>
      <c r="I5496" s="1">
        <v>18.540624999999999</v>
      </c>
    </row>
    <row r="5497" spans="1:9" x14ac:dyDescent="0.25">
      <c r="A5497" s="1">
        <v>2410290046</v>
      </c>
      <c r="B5497" s="1" t="s">
        <v>3384</v>
      </c>
      <c r="C5497" s="1" t="s">
        <v>130</v>
      </c>
      <c r="D5497" s="1" t="s">
        <v>131</v>
      </c>
      <c r="E5497" s="1">
        <v>675</v>
      </c>
      <c r="F5497" s="1" t="s">
        <v>89</v>
      </c>
      <c r="G5497" s="1">
        <v>0</v>
      </c>
      <c r="H5497" s="1">
        <v>187.4</v>
      </c>
      <c r="I5497" s="1">
        <v>3.8769040000000001</v>
      </c>
    </row>
    <row r="5498" spans="1:9" x14ac:dyDescent="0.25">
      <c r="A5498" s="1">
        <v>2410290046</v>
      </c>
      <c r="B5498" s="1" t="s">
        <v>3384</v>
      </c>
      <c r="C5498" s="1" t="s">
        <v>2333</v>
      </c>
      <c r="D5498" s="1" t="s">
        <v>2334</v>
      </c>
      <c r="E5498" s="1">
        <v>331.2</v>
      </c>
      <c r="F5498" s="1" t="s">
        <v>89</v>
      </c>
      <c r="G5498" s="1">
        <v>162.4</v>
      </c>
      <c r="H5498" s="1">
        <v>0</v>
      </c>
      <c r="I5498" s="1">
        <v>3.876932</v>
      </c>
    </row>
    <row r="5499" spans="1:9" x14ac:dyDescent="0.25">
      <c r="A5499" s="1">
        <v>2410290061</v>
      </c>
      <c r="B5499" s="1" t="s">
        <v>3385</v>
      </c>
      <c r="C5499" s="1" t="s">
        <v>130</v>
      </c>
      <c r="D5499" s="1" t="s">
        <v>131</v>
      </c>
      <c r="E5499" s="1">
        <v>487.9</v>
      </c>
      <c r="F5499" s="1" t="s">
        <v>89</v>
      </c>
      <c r="G5499" s="1">
        <v>0</v>
      </c>
      <c r="H5499" s="1">
        <v>0</v>
      </c>
      <c r="I5499" s="1">
        <v>1.8890549999999999</v>
      </c>
    </row>
    <row r="5500" spans="1:9" x14ac:dyDescent="0.25">
      <c r="A5500" s="1">
        <v>2410290066</v>
      </c>
      <c r="B5500" s="1" t="s">
        <v>3386</v>
      </c>
      <c r="C5500" s="1" t="s">
        <v>130</v>
      </c>
      <c r="D5500" s="1" t="s">
        <v>131</v>
      </c>
      <c r="E5500" s="1">
        <v>6.9</v>
      </c>
      <c r="F5500" s="1" t="s">
        <v>3209</v>
      </c>
      <c r="G5500" s="1">
        <v>0</v>
      </c>
      <c r="H5500" s="1">
        <v>0</v>
      </c>
      <c r="I5500" s="1">
        <v>31.998550999999999</v>
      </c>
    </row>
    <row r="5501" spans="1:9" x14ac:dyDescent="0.25">
      <c r="A5501" s="1">
        <v>2410290067</v>
      </c>
      <c r="B5501" s="1" t="s">
        <v>3387</v>
      </c>
      <c r="C5501" s="1" t="s">
        <v>130</v>
      </c>
      <c r="D5501" s="1" t="s">
        <v>131</v>
      </c>
      <c r="E5501" s="1">
        <v>2</v>
      </c>
      <c r="F5501" s="1" t="s">
        <v>89</v>
      </c>
      <c r="G5501" s="1">
        <v>0</v>
      </c>
      <c r="H5501" s="1">
        <v>0</v>
      </c>
      <c r="I5501" s="1">
        <v>83.375</v>
      </c>
    </row>
    <row r="5502" spans="1:9" x14ac:dyDescent="0.25">
      <c r="A5502" s="1">
        <v>2410290068</v>
      </c>
      <c r="B5502" s="1" t="s">
        <v>3388</v>
      </c>
      <c r="C5502" s="1" t="s">
        <v>130</v>
      </c>
      <c r="D5502" s="1" t="s">
        <v>131</v>
      </c>
      <c r="E5502" s="1">
        <v>25.7987</v>
      </c>
      <c r="F5502" s="1" t="s">
        <v>89</v>
      </c>
      <c r="G5502" s="1">
        <v>0</v>
      </c>
      <c r="H5502" s="1">
        <v>0</v>
      </c>
      <c r="I5502" s="1">
        <v>67.057254999999998</v>
      </c>
    </row>
    <row r="5503" spans="1:9" x14ac:dyDescent="0.25">
      <c r="A5503" s="1">
        <v>2410290068</v>
      </c>
      <c r="B5503" s="1" t="s">
        <v>3388</v>
      </c>
      <c r="C5503" s="1" t="s">
        <v>126</v>
      </c>
      <c r="D5503" s="1" t="s">
        <v>127</v>
      </c>
      <c r="E5503" s="1">
        <v>98.9</v>
      </c>
      <c r="F5503" s="1" t="s">
        <v>89</v>
      </c>
      <c r="G5503" s="1">
        <v>0</v>
      </c>
      <c r="H5503" s="1">
        <v>0</v>
      </c>
      <c r="I5503" s="1">
        <v>61.481901000000001</v>
      </c>
    </row>
    <row r="5504" spans="1:9" x14ac:dyDescent="0.25">
      <c r="A5504" s="1">
        <v>2410290069</v>
      </c>
      <c r="B5504" s="1" t="s">
        <v>3389</v>
      </c>
      <c r="C5504" s="1" t="s">
        <v>130</v>
      </c>
      <c r="D5504" s="1" t="s">
        <v>131</v>
      </c>
      <c r="E5504" s="1">
        <v>0.9</v>
      </c>
      <c r="F5504" s="1" t="s">
        <v>89</v>
      </c>
      <c r="G5504" s="1">
        <v>0</v>
      </c>
      <c r="H5504" s="1">
        <v>0</v>
      </c>
      <c r="I5504" s="1">
        <v>61.155555999999997</v>
      </c>
    </row>
    <row r="5505" spans="1:9" x14ac:dyDescent="0.25">
      <c r="A5505" s="1">
        <v>2410290090</v>
      </c>
      <c r="B5505" s="1" t="s">
        <v>3390</v>
      </c>
      <c r="C5505" s="1" t="s">
        <v>130</v>
      </c>
      <c r="D5505" s="1" t="s">
        <v>131</v>
      </c>
      <c r="E5505" s="1">
        <v>2</v>
      </c>
      <c r="F5505" s="1" t="s">
        <v>3382</v>
      </c>
      <c r="G5505" s="1">
        <v>0</v>
      </c>
      <c r="H5505" s="1">
        <v>0</v>
      </c>
      <c r="I5505" s="1">
        <v>32.274999999999999</v>
      </c>
    </row>
    <row r="5506" spans="1:9" x14ac:dyDescent="0.25">
      <c r="A5506" s="1">
        <v>2410290109</v>
      </c>
      <c r="B5506" s="1" t="s">
        <v>3391</v>
      </c>
      <c r="C5506" s="1" t="s">
        <v>130</v>
      </c>
      <c r="D5506" s="1" t="s">
        <v>131</v>
      </c>
      <c r="E5506" s="1">
        <v>1</v>
      </c>
      <c r="F5506" s="1" t="s">
        <v>36</v>
      </c>
      <c r="G5506" s="1">
        <v>0</v>
      </c>
      <c r="H5506" s="1">
        <v>0</v>
      </c>
      <c r="I5506" s="1">
        <v>77.34</v>
      </c>
    </row>
    <row r="5507" spans="1:9" x14ac:dyDescent="0.25">
      <c r="A5507" s="1">
        <v>2410290111</v>
      </c>
      <c r="B5507" s="1" t="s">
        <v>3392</v>
      </c>
      <c r="C5507" s="1" t="s">
        <v>130</v>
      </c>
      <c r="D5507" s="1" t="s">
        <v>131</v>
      </c>
      <c r="E5507" s="3">
        <v>255453</v>
      </c>
      <c r="F5507" s="1" t="s">
        <v>36</v>
      </c>
      <c r="G5507" s="1">
        <v>0</v>
      </c>
      <c r="H5507" s="1">
        <v>0</v>
      </c>
      <c r="I5507" s="1">
        <v>0.10156900000000001</v>
      </c>
    </row>
    <row r="5508" spans="1:9" x14ac:dyDescent="0.25">
      <c r="A5508" s="1">
        <v>2410290111</v>
      </c>
      <c r="B5508" s="1" t="s">
        <v>3392</v>
      </c>
      <c r="C5508" s="1" t="s">
        <v>142</v>
      </c>
      <c r="D5508" s="1" t="s">
        <v>143</v>
      </c>
      <c r="E5508" s="3">
        <v>18530.001499999998</v>
      </c>
      <c r="F5508" s="1" t="s">
        <v>36</v>
      </c>
      <c r="G5508" s="1">
        <v>0</v>
      </c>
      <c r="H5508" s="1">
        <v>0</v>
      </c>
      <c r="I5508" s="1">
        <v>0.10165399999999999</v>
      </c>
    </row>
    <row r="5509" spans="1:9" x14ac:dyDescent="0.25">
      <c r="A5509" s="1">
        <v>2410290124</v>
      </c>
      <c r="B5509" s="1" t="s">
        <v>3393</v>
      </c>
      <c r="C5509" s="1" t="s">
        <v>130</v>
      </c>
      <c r="D5509" s="1" t="s">
        <v>131</v>
      </c>
      <c r="E5509" s="1">
        <v>223.3</v>
      </c>
      <c r="F5509" s="1" t="s">
        <v>89</v>
      </c>
      <c r="G5509" s="1">
        <v>0</v>
      </c>
      <c r="H5509" s="1">
        <v>0</v>
      </c>
      <c r="I5509" s="1">
        <v>5.146261</v>
      </c>
    </row>
    <row r="5510" spans="1:9" x14ac:dyDescent="0.25">
      <c r="A5510" s="1">
        <v>2410290142</v>
      </c>
      <c r="B5510" s="1" t="s">
        <v>3394</v>
      </c>
      <c r="C5510" s="1" t="s">
        <v>130</v>
      </c>
      <c r="D5510" s="1" t="s">
        <v>131</v>
      </c>
      <c r="E5510" s="3">
        <v>2125</v>
      </c>
      <c r="F5510" s="1" t="s">
        <v>89</v>
      </c>
      <c r="G5510" s="1">
        <v>0</v>
      </c>
      <c r="H5510" s="1">
        <v>175.262</v>
      </c>
      <c r="I5510" s="1">
        <v>4.9846349999999999</v>
      </c>
    </row>
    <row r="5511" spans="1:9" x14ac:dyDescent="0.25">
      <c r="A5511" s="1">
        <v>2410290142</v>
      </c>
      <c r="B5511" s="1" t="s">
        <v>3394</v>
      </c>
      <c r="C5511" s="1" t="s">
        <v>2333</v>
      </c>
      <c r="D5511" s="1" t="s">
        <v>2334</v>
      </c>
      <c r="E5511" s="1">
        <v>175.262</v>
      </c>
      <c r="F5511" s="1" t="s">
        <v>89</v>
      </c>
      <c r="G5511" s="1">
        <v>175.262</v>
      </c>
      <c r="H5511" s="1">
        <v>0</v>
      </c>
      <c r="I5511" s="1">
        <v>4.9846519999999996</v>
      </c>
    </row>
    <row r="5512" spans="1:9" x14ac:dyDescent="0.25">
      <c r="A5512" s="1">
        <v>2410290152</v>
      </c>
      <c r="B5512" s="1" t="s">
        <v>3395</v>
      </c>
      <c r="C5512" s="1" t="s">
        <v>142</v>
      </c>
      <c r="D5512" s="1" t="s">
        <v>143</v>
      </c>
      <c r="E5512" s="1">
        <v>175</v>
      </c>
      <c r="F5512" s="1" t="s">
        <v>89</v>
      </c>
      <c r="G5512" s="1">
        <v>0</v>
      </c>
      <c r="H5512" s="1">
        <v>0</v>
      </c>
      <c r="I5512" s="1">
        <v>5.5217140000000002</v>
      </c>
    </row>
    <row r="5513" spans="1:9" x14ac:dyDescent="0.25">
      <c r="A5513" s="1">
        <v>2410290153</v>
      </c>
      <c r="B5513" s="1" t="s">
        <v>90</v>
      </c>
      <c r="C5513" s="1" t="s">
        <v>130</v>
      </c>
      <c r="D5513" s="1" t="s">
        <v>131</v>
      </c>
      <c r="E5513" s="1">
        <v>500</v>
      </c>
      <c r="F5513" s="1" t="s">
        <v>89</v>
      </c>
      <c r="G5513" s="1">
        <v>0</v>
      </c>
      <c r="H5513" s="1">
        <v>0</v>
      </c>
      <c r="I5513" s="1">
        <v>4.8165199999999997</v>
      </c>
    </row>
    <row r="5514" spans="1:9" x14ac:dyDescent="0.25">
      <c r="A5514" s="1">
        <v>2410290153</v>
      </c>
      <c r="B5514" s="1" t="s">
        <v>90</v>
      </c>
      <c r="C5514" s="1" t="s">
        <v>2333</v>
      </c>
      <c r="D5514" s="1" t="s">
        <v>2334</v>
      </c>
      <c r="E5514" s="1">
        <v>109.45099999999999</v>
      </c>
      <c r="F5514" s="1" t="s">
        <v>89</v>
      </c>
      <c r="G5514" s="1">
        <v>0</v>
      </c>
      <c r="H5514" s="1">
        <v>0</v>
      </c>
      <c r="I5514" s="1">
        <v>4.8165849999999999</v>
      </c>
    </row>
    <row r="5515" spans="1:9" x14ac:dyDescent="0.25">
      <c r="A5515" s="1">
        <v>2410290156</v>
      </c>
      <c r="B5515" s="1" t="s">
        <v>40</v>
      </c>
      <c r="C5515" s="1" t="s">
        <v>130</v>
      </c>
      <c r="D5515" s="1" t="s">
        <v>131</v>
      </c>
      <c r="E5515" s="1">
        <v>20</v>
      </c>
      <c r="F5515" s="1" t="s">
        <v>1015</v>
      </c>
      <c r="G5515" s="1">
        <v>0</v>
      </c>
      <c r="H5515" s="1">
        <v>0</v>
      </c>
      <c r="I5515" s="1">
        <v>23.787500000000001</v>
      </c>
    </row>
    <row r="5516" spans="1:9" x14ac:dyDescent="0.25">
      <c r="A5516" s="1">
        <v>2410290156</v>
      </c>
      <c r="B5516" s="1" t="s">
        <v>40</v>
      </c>
      <c r="C5516" s="1" t="s">
        <v>142</v>
      </c>
      <c r="D5516" s="1" t="s">
        <v>143</v>
      </c>
      <c r="E5516" s="1">
        <v>15</v>
      </c>
      <c r="F5516" s="1" t="s">
        <v>1015</v>
      </c>
      <c r="G5516" s="1">
        <v>0</v>
      </c>
      <c r="H5516" s="1">
        <v>0</v>
      </c>
      <c r="I5516" s="1">
        <v>23.787333</v>
      </c>
    </row>
    <row r="5517" spans="1:9" x14ac:dyDescent="0.25">
      <c r="A5517" s="1">
        <v>2410290157</v>
      </c>
      <c r="B5517" s="1" t="s">
        <v>3396</v>
      </c>
      <c r="C5517" s="1" t="s">
        <v>130</v>
      </c>
      <c r="D5517" s="1" t="s">
        <v>131</v>
      </c>
      <c r="E5517" s="1">
        <v>144</v>
      </c>
      <c r="F5517" s="1" t="s">
        <v>1015</v>
      </c>
      <c r="G5517" s="1">
        <v>0</v>
      </c>
      <c r="H5517" s="1">
        <v>0</v>
      </c>
      <c r="I5517" s="1">
        <v>19.556180999999999</v>
      </c>
    </row>
    <row r="5518" spans="1:9" x14ac:dyDescent="0.25">
      <c r="A5518" s="1">
        <v>2410290209</v>
      </c>
      <c r="B5518" s="1" t="s">
        <v>3397</v>
      </c>
      <c r="C5518" s="1" t="s">
        <v>130</v>
      </c>
      <c r="D5518" s="1" t="s">
        <v>131</v>
      </c>
      <c r="E5518" s="1">
        <v>278</v>
      </c>
      <c r="F5518" s="1" t="s">
        <v>1015</v>
      </c>
      <c r="G5518" s="1">
        <v>0</v>
      </c>
      <c r="H5518" s="1">
        <v>0</v>
      </c>
      <c r="I5518" s="1">
        <v>41.2</v>
      </c>
    </row>
    <row r="5519" spans="1:9" x14ac:dyDescent="0.25">
      <c r="A5519" s="1">
        <v>2410290210</v>
      </c>
      <c r="B5519" s="1" t="s">
        <v>3398</v>
      </c>
      <c r="C5519" s="1" t="s">
        <v>130</v>
      </c>
      <c r="D5519" s="1" t="s">
        <v>131</v>
      </c>
      <c r="E5519" s="1">
        <v>61.54</v>
      </c>
      <c r="F5519" s="1" t="s">
        <v>89</v>
      </c>
      <c r="G5519" s="1">
        <v>0</v>
      </c>
      <c r="H5519" s="1">
        <v>0</v>
      </c>
      <c r="I5519" s="1">
        <v>16.150145999999999</v>
      </c>
    </row>
    <row r="5520" spans="1:9" x14ac:dyDescent="0.25">
      <c r="A5520" s="1">
        <v>2410290214</v>
      </c>
      <c r="B5520" s="1" t="s">
        <v>3399</v>
      </c>
      <c r="C5520" s="1" t="s">
        <v>130</v>
      </c>
      <c r="D5520" s="1" t="s">
        <v>131</v>
      </c>
      <c r="E5520" s="1">
        <v>507</v>
      </c>
      <c r="F5520" s="1" t="s">
        <v>89</v>
      </c>
      <c r="G5520" s="1">
        <v>8</v>
      </c>
      <c r="H5520" s="1">
        <v>0</v>
      </c>
      <c r="I5520" s="1">
        <v>17</v>
      </c>
    </row>
    <row r="5521" spans="1:9" x14ac:dyDescent="0.25">
      <c r="A5521" s="1">
        <v>2410290214</v>
      </c>
      <c r="B5521" s="1" t="s">
        <v>3399</v>
      </c>
      <c r="C5521" s="1" t="s">
        <v>126</v>
      </c>
      <c r="D5521" s="1" t="s">
        <v>127</v>
      </c>
      <c r="E5521" s="1">
        <v>75.3</v>
      </c>
      <c r="F5521" s="1" t="s">
        <v>89</v>
      </c>
      <c r="G5521" s="1">
        <v>0</v>
      </c>
      <c r="H5521" s="1">
        <v>0</v>
      </c>
      <c r="I5521" s="1">
        <v>16.999336</v>
      </c>
    </row>
    <row r="5522" spans="1:9" x14ac:dyDescent="0.25">
      <c r="A5522" s="1">
        <v>2410290214</v>
      </c>
      <c r="B5522" s="1" t="s">
        <v>3399</v>
      </c>
      <c r="C5522" s="1" t="s">
        <v>1698</v>
      </c>
      <c r="D5522" s="1" t="s">
        <v>1699</v>
      </c>
      <c r="E5522" s="1">
        <v>0</v>
      </c>
      <c r="F5522" s="1" t="s">
        <v>89</v>
      </c>
      <c r="G5522" s="1">
        <v>0</v>
      </c>
      <c r="H5522" s="1">
        <v>8</v>
      </c>
      <c r="I5522" s="1">
        <v>17</v>
      </c>
    </row>
    <row r="5523" spans="1:9" x14ac:dyDescent="0.25">
      <c r="A5523" s="1">
        <v>2410290215</v>
      </c>
      <c r="B5523" s="1" t="s">
        <v>3400</v>
      </c>
      <c r="C5523" s="1" t="s">
        <v>130</v>
      </c>
      <c r="D5523" s="1" t="s">
        <v>131</v>
      </c>
      <c r="E5523" s="1">
        <v>820.68340000000001</v>
      </c>
      <c r="F5523" s="1" t="s">
        <v>89</v>
      </c>
      <c r="G5523" s="1">
        <v>0</v>
      </c>
      <c r="H5523" s="1">
        <v>0</v>
      </c>
      <c r="I5523" s="1">
        <v>6.2778530000000003</v>
      </c>
    </row>
    <row r="5524" spans="1:9" x14ac:dyDescent="0.25">
      <c r="A5524" s="1">
        <v>2410290432</v>
      </c>
      <c r="B5524" s="1" t="s">
        <v>3401</v>
      </c>
      <c r="C5524" s="1" t="s">
        <v>130</v>
      </c>
      <c r="D5524" s="1" t="s">
        <v>131</v>
      </c>
      <c r="E5524" s="1">
        <v>131</v>
      </c>
      <c r="F5524" s="1" t="s">
        <v>36</v>
      </c>
      <c r="G5524" s="1">
        <v>0</v>
      </c>
      <c r="H5524" s="1">
        <v>0</v>
      </c>
      <c r="I5524" s="1">
        <v>9.6206110000000002</v>
      </c>
    </row>
    <row r="5525" spans="1:9" x14ac:dyDescent="0.25">
      <c r="A5525" s="1">
        <v>2410290467</v>
      </c>
      <c r="B5525" s="1" t="s">
        <v>3402</v>
      </c>
      <c r="C5525" s="1" t="s">
        <v>130</v>
      </c>
      <c r="D5525" s="1" t="s">
        <v>131</v>
      </c>
      <c r="E5525" s="1">
        <v>15</v>
      </c>
      <c r="F5525" s="1" t="s">
        <v>3209</v>
      </c>
      <c r="G5525" s="1">
        <v>0</v>
      </c>
      <c r="H5525" s="1">
        <v>0</v>
      </c>
      <c r="I5525" s="1">
        <v>10.626666999999999</v>
      </c>
    </row>
    <row r="5526" spans="1:9" x14ac:dyDescent="0.25">
      <c r="A5526" s="1">
        <v>2410290469</v>
      </c>
      <c r="B5526" s="1" t="s">
        <v>3403</v>
      </c>
      <c r="C5526" s="1" t="s">
        <v>130</v>
      </c>
      <c r="D5526" s="1" t="s">
        <v>131</v>
      </c>
      <c r="E5526" s="1">
        <v>124.5</v>
      </c>
      <c r="F5526" s="1" t="s">
        <v>89</v>
      </c>
      <c r="G5526" s="1">
        <v>0</v>
      </c>
      <c r="H5526" s="1">
        <v>0</v>
      </c>
      <c r="I5526" s="1">
        <v>74.260000000000005</v>
      </c>
    </row>
    <row r="5527" spans="1:9" x14ac:dyDescent="0.25">
      <c r="A5527" s="1">
        <v>2410290474</v>
      </c>
      <c r="B5527" s="1" t="s">
        <v>3404</v>
      </c>
      <c r="C5527" s="1" t="s">
        <v>130</v>
      </c>
      <c r="D5527" s="1" t="s">
        <v>131</v>
      </c>
      <c r="E5527" s="1">
        <v>49.16</v>
      </c>
      <c r="F5527" s="1" t="s">
        <v>89</v>
      </c>
      <c r="G5527" s="1">
        <v>0</v>
      </c>
      <c r="H5527" s="1">
        <v>0</v>
      </c>
      <c r="I5527" s="1">
        <v>64.470708000000002</v>
      </c>
    </row>
    <row r="5528" spans="1:9" x14ac:dyDescent="0.25">
      <c r="A5528" s="1">
        <v>2410290494</v>
      </c>
      <c r="B5528" s="1" t="s">
        <v>3405</v>
      </c>
      <c r="C5528" s="1" t="s">
        <v>157</v>
      </c>
      <c r="D5528" s="1" t="s">
        <v>158</v>
      </c>
      <c r="E5528" s="1">
        <v>574</v>
      </c>
      <c r="F5528" s="1" t="s">
        <v>89</v>
      </c>
      <c r="G5528" s="1">
        <v>0</v>
      </c>
      <c r="H5528" s="1">
        <v>0</v>
      </c>
      <c r="I5528" s="1">
        <v>3.2135889999999998</v>
      </c>
    </row>
    <row r="5529" spans="1:9" x14ac:dyDescent="0.25">
      <c r="A5529" s="1">
        <v>2410290508</v>
      </c>
      <c r="B5529" s="1" t="s">
        <v>3406</v>
      </c>
      <c r="C5529" s="1" t="s">
        <v>130</v>
      </c>
      <c r="D5529" s="1" t="s">
        <v>131</v>
      </c>
      <c r="E5529" s="1">
        <v>500</v>
      </c>
      <c r="F5529" s="1" t="s">
        <v>89</v>
      </c>
      <c r="G5529" s="1">
        <v>0</v>
      </c>
      <c r="H5529" s="1">
        <v>0</v>
      </c>
      <c r="I5529" s="1">
        <v>5.9825600000000003</v>
      </c>
    </row>
    <row r="5530" spans="1:9" x14ac:dyDescent="0.25">
      <c r="A5530" s="1">
        <v>2410290511</v>
      </c>
      <c r="B5530" s="1" t="s">
        <v>3407</v>
      </c>
      <c r="C5530" s="1" t="s">
        <v>130</v>
      </c>
      <c r="D5530" s="1" t="s">
        <v>131</v>
      </c>
      <c r="E5530" s="1">
        <v>50</v>
      </c>
      <c r="F5530" s="1" t="s">
        <v>89</v>
      </c>
      <c r="G5530" s="1">
        <v>0</v>
      </c>
      <c r="H5530" s="1">
        <v>0</v>
      </c>
      <c r="I5530" s="1">
        <v>6.7859999999999996</v>
      </c>
    </row>
    <row r="5531" spans="1:9" x14ac:dyDescent="0.25">
      <c r="A5531" s="1">
        <v>2410290516</v>
      </c>
      <c r="B5531" s="1" t="s">
        <v>3408</v>
      </c>
      <c r="C5531" s="1" t="s">
        <v>130</v>
      </c>
      <c r="D5531" s="1" t="s">
        <v>131</v>
      </c>
      <c r="E5531" s="3">
        <v>4180</v>
      </c>
      <c r="F5531" s="1" t="s">
        <v>89</v>
      </c>
      <c r="G5531" s="1">
        <v>0</v>
      </c>
      <c r="H5531" s="3">
        <v>12350</v>
      </c>
      <c r="I5531" s="1">
        <v>4.2173800000000004</v>
      </c>
    </row>
    <row r="5532" spans="1:9" x14ac:dyDescent="0.25">
      <c r="A5532" s="1">
        <v>2410290517</v>
      </c>
      <c r="B5532" s="1" t="s">
        <v>3409</v>
      </c>
      <c r="C5532" s="1" t="s">
        <v>130</v>
      </c>
      <c r="D5532" s="1" t="s">
        <v>131</v>
      </c>
      <c r="E5532" s="1">
        <v>118.56</v>
      </c>
      <c r="F5532" s="1" t="s">
        <v>89</v>
      </c>
      <c r="G5532" s="1">
        <v>0</v>
      </c>
      <c r="H5532" s="1">
        <v>0</v>
      </c>
      <c r="I5532" s="1">
        <v>5.2654350000000001</v>
      </c>
    </row>
    <row r="5533" spans="1:9" x14ac:dyDescent="0.25">
      <c r="A5533" s="1">
        <v>2410290518</v>
      </c>
      <c r="B5533" s="1" t="s">
        <v>3410</v>
      </c>
      <c r="C5533" s="1" t="s">
        <v>130</v>
      </c>
      <c r="D5533" s="1" t="s">
        <v>131</v>
      </c>
      <c r="E5533" s="1">
        <v>44.06</v>
      </c>
      <c r="F5533" s="1" t="s">
        <v>89</v>
      </c>
      <c r="G5533" s="3">
        <v>0</v>
      </c>
      <c r="H5533" s="3">
        <v>100</v>
      </c>
      <c r="I5533" s="1">
        <v>4.220154</v>
      </c>
    </row>
    <row r="5534" spans="1:9" x14ac:dyDescent="0.25">
      <c r="A5534" s="1">
        <v>2410290518</v>
      </c>
      <c r="B5534" s="1" t="s">
        <v>3410</v>
      </c>
      <c r="C5534" s="1" t="s">
        <v>625</v>
      </c>
      <c r="D5534" s="1" t="s">
        <v>626</v>
      </c>
      <c r="E5534" s="1">
        <v>100</v>
      </c>
      <c r="F5534" s="1" t="s">
        <v>89</v>
      </c>
      <c r="G5534" s="1">
        <v>100</v>
      </c>
      <c r="H5534" s="1">
        <v>0</v>
      </c>
      <c r="I5534" s="1">
        <v>4.2038000000000002</v>
      </c>
    </row>
    <row r="5535" spans="1:9" x14ac:dyDescent="0.25">
      <c r="A5535" s="1">
        <v>2410290520</v>
      </c>
      <c r="B5535" s="1" t="s">
        <v>3411</v>
      </c>
      <c r="C5535" s="1" t="s">
        <v>157</v>
      </c>
      <c r="D5535" s="1" t="s">
        <v>158</v>
      </c>
      <c r="E5535" s="3">
        <v>21296</v>
      </c>
      <c r="F5535" s="1" t="s">
        <v>36</v>
      </c>
      <c r="G5535" s="1">
        <v>0</v>
      </c>
      <c r="H5535" s="1">
        <v>0</v>
      </c>
      <c r="I5535" s="1">
        <v>0.25298599999999999</v>
      </c>
    </row>
    <row r="5536" spans="1:9" x14ac:dyDescent="0.25">
      <c r="A5536" s="1">
        <v>2410290521</v>
      </c>
      <c r="B5536" s="1" t="s">
        <v>3412</v>
      </c>
      <c r="C5536" s="1" t="s">
        <v>157</v>
      </c>
      <c r="D5536" s="1" t="s">
        <v>158</v>
      </c>
      <c r="E5536" s="3">
        <v>26044</v>
      </c>
      <c r="F5536" s="1" t="s">
        <v>36</v>
      </c>
      <c r="G5536" s="1">
        <v>0</v>
      </c>
      <c r="H5536" s="1">
        <v>0</v>
      </c>
      <c r="I5536" s="1">
        <v>9.6127000000000004E-2</v>
      </c>
    </row>
    <row r="5537" spans="1:9" x14ac:dyDescent="0.25">
      <c r="A5537" s="1">
        <v>2410290544</v>
      </c>
      <c r="B5537" s="1" t="s">
        <v>3413</v>
      </c>
      <c r="C5537" s="1" t="s">
        <v>130</v>
      </c>
      <c r="D5537" s="1" t="s">
        <v>131</v>
      </c>
      <c r="E5537" s="1">
        <v>25</v>
      </c>
      <c r="F5537" s="1" t="s">
        <v>89</v>
      </c>
      <c r="G5537" s="1">
        <v>0</v>
      </c>
      <c r="H5537" s="1">
        <v>25</v>
      </c>
      <c r="I5537" s="1">
        <v>19.679600000000001</v>
      </c>
    </row>
    <row r="5538" spans="1:9" x14ac:dyDescent="0.25">
      <c r="A5538" s="1">
        <v>2410290545</v>
      </c>
      <c r="B5538" s="1" t="s">
        <v>3414</v>
      </c>
      <c r="C5538" s="1" t="s">
        <v>130</v>
      </c>
      <c r="D5538" s="1" t="s">
        <v>131</v>
      </c>
      <c r="E5538" s="3">
        <v>6837.1</v>
      </c>
      <c r="F5538" s="1" t="s">
        <v>89</v>
      </c>
      <c r="G5538" s="1">
        <v>0</v>
      </c>
      <c r="H5538" s="3">
        <v>1535</v>
      </c>
      <c r="I5538" s="1">
        <v>3.698496</v>
      </c>
    </row>
    <row r="5539" spans="1:9" x14ac:dyDescent="0.25">
      <c r="A5539" s="1">
        <v>2410290545</v>
      </c>
      <c r="B5539" s="1" t="s">
        <v>3414</v>
      </c>
      <c r="C5539" s="1" t="s">
        <v>1698</v>
      </c>
      <c r="D5539" s="1" t="s">
        <v>1699</v>
      </c>
      <c r="E5539" s="3">
        <v>9335.5</v>
      </c>
      <c r="F5539" s="1" t="s">
        <v>89</v>
      </c>
      <c r="G5539" s="3">
        <v>1535</v>
      </c>
      <c r="H5539" s="1">
        <v>0</v>
      </c>
      <c r="I5539" s="1">
        <v>3.6984970000000001</v>
      </c>
    </row>
    <row r="5540" spans="1:9" x14ac:dyDescent="0.25">
      <c r="A5540" s="1">
        <v>2410290545</v>
      </c>
      <c r="B5540" s="1" t="s">
        <v>3414</v>
      </c>
      <c r="C5540" s="1" t="s">
        <v>139</v>
      </c>
      <c r="D5540" s="1" t="s">
        <v>140</v>
      </c>
      <c r="E5540" s="1">
        <v>488</v>
      </c>
      <c r="F5540" s="1" t="s">
        <v>89</v>
      </c>
      <c r="G5540" s="1">
        <v>0</v>
      </c>
      <c r="H5540" s="1">
        <v>0</v>
      </c>
      <c r="I5540" s="1">
        <v>3.6985039999999998</v>
      </c>
    </row>
    <row r="5541" spans="1:9" x14ac:dyDescent="0.25">
      <c r="A5541" s="1">
        <v>2410290549</v>
      </c>
      <c r="B5541" s="1" t="s">
        <v>3415</v>
      </c>
      <c r="C5541" s="1" t="s">
        <v>130</v>
      </c>
      <c r="D5541" s="1" t="s">
        <v>131</v>
      </c>
      <c r="E5541" s="1">
        <v>41</v>
      </c>
      <c r="F5541" s="1" t="s">
        <v>89</v>
      </c>
      <c r="G5541" s="1">
        <v>0</v>
      </c>
      <c r="H5541" s="1">
        <v>0</v>
      </c>
      <c r="I5541" s="1">
        <v>3.598293</v>
      </c>
    </row>
    <row r="5542" spans="1:9" x14ac:dyDescent="0.25">
      <c r="A5542" s="1">
        <v>2410290567</v>
      </c>
      <c r="B5542" s="1" t="s">
        <v>3416</v>
      </c>
      <c r="C5542" s="1" t="s">
        <v>130</v>
      </c>
      <c r="D5542" s="1" t="s">
        <v>131</v>
      </c>
      <c r="E5542" s="1">
        <v>63.32</v>
      </c>
      <c r="F5542" s="1" t="s">
        <v>89</v>
      </c>
      <c r="G5542" s="1">
        <v>0</v>
      </c>
      <c r="H5542" s="1">
        <v>0</v>
      </c>
      <c r="I5542" s="1">
        <v>21.707516999999999</v>
      </c>
    </row>
    <row r="5543" spans="1:9" x14ac:dyDescent="0.25">
      <c r="A5543" s="1">
        <v>2410290568</v>
      </c>
      <c r="B5543" s="1" t="s">
        <v>3417</v>
      </c>
      <c r="C5543" s="1" t="s">
        <v>130</v>
      </c>
      <c r="D5543" s="1" t="s">
        <v>131</v>
      </c>
      <c r="E5543" s="1">
        <v>12</v>
      </c>
      <c r="F5543" s="1" t="s">
        <v>1015</v>
      </c>
      <c r="G5543" s="1">
        <v>0</v>
      </c>
      <c r="H5543" s="1">
        <v>0</v>
      </c>
      <c r="I5543" s="1">
        <v>34.324167000000003</v>
      </c>
    </row>
    <row r="5544" spans="1:9" x14ac:dyDescent="0.25">
      <c r="A5544" s="1">
        <v>2410290569</v>
      </c>
      <c r="B5544" s="1" t="s">
        <v>3418</v>
      </c>
      <c r="C5544" s="1" t="s">
        <v>130</v>
      </c>
      <c r="D5544" s="1" t="s">
        <v>131</v>
      </c>
      <c r="E5544" s="1">
        <v>252.6</v>
      </c>
      <c r="F5544" s="1" t="s">
        <v>89</v>
      </c>
      <c r="G5544" s="1">
        <v>0</v>
      </c>
      <c r="H5544" s="1">
        <v>0</v>
      </c>
      <c r="I5544" s="1">
        <v>32.449010000000001</v>
      </c>
    </row>
    <row r="5545" spans="1:9" x14ac:dyDescent="0.25">
      <c r="A5545" s="1">
        <v>2410290570</v>
      </c>
      <c r="B5545" s="1" t="s">
        <v>3419</v>
      </c>
      <c r="C5545" s="1" t="s">
        <v>130</v>
      </c>
      <c r="D5545" s="1" t="s">
        <v>131</v>
      </c>
      <c r="E5545" s="1">
        <v>13.24</v>
      </c>
      <c r="F5545" s="1" t="s">
        <v>89</v>
      </c>
      <c r="G5545" s="1">
        <v>0</v>
      </c>
      <c r="H5545" s="1">
        <v>0</v>
      </c>
      <c r="I5545" s="1">
        <v>8.5845920000000007</v>
      </c>
    </row>
    <row r="5546" spans="1:9" x14ac:dyDescent="0.25">
      <c r="A5546" s="1">
        <v>2410290572</v>
      </c>
      <c r="B5546" s="1" t="s">
        <v>3420</v>
      </c>
      <c r="C5546" s="1" t="s">
        <v>130</v>
      </c>
      <c r="D5546" s="1" t="s">
        <v>131</v>
      </c>
      <c r="E5546" s="1">
        <v>110.1</v>
      </c>
      <c r="F5546" s="1" t="s">
        <v>89</v>
      </c>
      <c r="G5546" s="1">
        <v>0</v>
      </c>
      <c r="H5546" s="1">
        <v>0</v>
      </c>
      <c r="I5546" s="1">
        <v>21.815259000000001</v>
      </c>
    </row>
    <row r="5547" spans="1:9" x14ac:dyDescent="0.25">
      <c r="A5547" s="1">
        <v>2410290574</v>
      </c>
      <c r="B5547" s="1" t="s">
        <v>3421</v>
      </c>
      <c r="C5547" s="1" t="s">
        <v>157</v>
      </c>
      <c r="D5547" s="1" t="s">
        <v>158</v>
      </c>
      <c r="E5547" s="3">
        <v>79253</v>
      </c>
      <c r="F5547" s="1" t="s">
        <v>36</v>
      </c>
      <c r="G5547" s="1">
        <v>0</v>
      </c>
      <c r="H5547" s="1">
        <v>0</v>
      </c>
      <c r="I5547" s="1">
        <v>0.42884299999999997</v>
      </c>
    </row>
    <row r="5548" spans="1:9" x14ac:dyDescent="0.25">
      <c r="A5548" s="1">
        <v>2410290575</v>
      </c>
      <c r="B5548" s="1" t="s">
        <v>3422</v>
      </c>
      <c r="C5548" s="1" t="s">
        <v>130</v>
      </c>
      <c r="D5548" s="1" t="s">
        <v>131</v>
      </c>
      <c r="E5548" s="1">
        <v>0</v>
      </c>
      <c r="F5548" s="1" t="s">
        <v>89</v>
      </c>
      <c r="G5548" s="1">
        <v>0</v>
      </c>
      <c r="H5548" s="3">
        <v>10000</v>
      </c>
      <c r="I5548" s="1">
        <v>4.782578</v>
      </c>
    </row>
    <row r="5549" spans="1:9" x14ac:dyDescent="0.25">
      <c r="A5549" s="1">
        <v>2410290575</v>
      </c>
      <c r="B5549" s="1" t="s">
        <v>3422</v>
      </c>
      <c r="C5549" s="1" t="s">
        <v>2333</v>
      </c>
      <c r="D5549" s="1" t="s">
        <v>2334</v>
      </c>
      <c r="E5549" s="1">
        <v>337.3</v>
      </c>
      <c r="F5549" s="1" t="s">
        <v>89</v>
      </c>
      <c r="G5549" s="1">
        <v>0</v>
      </c>
      <c r="H5549" s="1">
        <v>0</v>
      </c>
      <c r="I5549" s="1">
        <v>4.7826269999999997</v>
      </c>
    </row>
    <row r="5550" spans="1:9" x14ac:dyDescent="0.25">
      <c r="A5550" s="1">
        <v>2410290576</v>
      </c>
      <c r="B5550" s="1" t="s">
        <v>3423</v>
      </c>
      <c r="C5550" s="1" t="s">
        <v>130</v>
      </c>
      <c r="D5550" s="1" t="s">
        <v>131</v>
      </c>
      <c r="E5550" s="3">
        <v>420000</v>
      </c>
      <c r="F5550" s="1" t="s">
        <v>36</v>
      </c>
      <c r="G5550" s="1">
        <v>0</v>
      </c>
      <c r="H5550" s="1">
        <v>0</v>
      </c>
      <c r="I5550" s="1">
        <v>5.5659999999999998E-3</v>
      </c>
    </row>
    <row r="5551" spans="1:9" x14ac:dyDescent="0.25">
      <c r="A5551" s="1">
        <v>2410290576</v>
      </c>
      <c r="B5551" s="1" t="s">
        <v>3423</v>
      </c>
      <c r="C5551" s="1" t="s">
        <v>582</v>
      </c>
      <c r="D5551" s="1" t="s">
        <v>583</v>
      </c>
      <c r="E5551" s="3">
        <v>900000</v>
      </c>
      <c r="F5551" s="1" t="s">
        <v>36</v>
      </c>
      <c r="G5551" s="1">
        <v>0</v>
      </c>
      <c r="H5551" s="1">
        <v>0</v>
      </c>
      <c r="I5551" s="1">
        <v>6.5199999999999998E-3</v>
      </c>
    </row>
    <row r="5552" spans="1:9" x14ac:dyDescent="0.25">
      <c r="A5552" s="1">
        <v>2410290593</v>
      </c>
      <c r="B5552" s="1" t="s">
        <v>3424</v>
      </c>
      <c r="C5552" s="1" t="s">
        <v>130</v>
      </c>
      <c r="D5552" s="1" t="s">
        <v>131</v>
      </c>
      <c r="E5552" s="3">
        <v>3656</v>
      </c>
      <c r="F5552" s="1" t="s">
        <v>36</v>
      </c>
      <c r="G5552" s="1">
        <v>0</v>
      </c>
      <c r="H5552" s="1">
        <v>0</v>
      </c>
      <c r="I5552" s="1">
        <v>0.32427</v>
      </c>
    </row>
    <row r="5553" spans="1:9" x14ac:dyDescent="0.25">
      <c r="A5553" s="1">
        <v>2410290595</v>
      </c>
      <c r="B5553" s="1" t="s">
        <v>3425</v>
      </c>
      <c r="C5553" s="1" t="s">
        <v>130</v>
      </c>
      <c r="D5553" s="1" t="s">
        <v>131</v>
      </c>
      <c r="E5553" s="1">
        <v>5.4</v>
      </c>
      <c r="F5553" s="1" t="s">
        <v>89</v>
      </c>
      <c r="G5553" s="1">
        <v>0</v>
      </c>
      <c r="H5553" s="1">
        <v>0</v>
      </c>
      <c r="I5553" s="1">
        <v>46.209259000000003</v>
      </c>
    </row>
    <row r="5554" spans="1:9" x14ac:dyDescent="0.25">
      <c r="A5554" s="1">
        <v>2410290596</v>
      </c>
      <c r="B5554" s="1" t="s">
        <v>3426</v>
      </c>
      <c r="C5554" s="1" t="s">
        <v>130</v>
      </c>
      <c r="D5554" s="1" t="s">
        <v>131</v>
      </c>
      <c r="E5554" s="3">
        <v>1378.4</v>
      </c>
      <c r="F5554" s="1" t="s">
        <v>89</v>
      </c>
      <c r="G5554" s="1">
        <v>0</v>
      </c>
      <c r="H5554" s="3">
        <v>3420</v>
      </c>
      <c r="I5554" s="1">
        <v>5.2137989999999999</v>
      </c>
    </row>
    <row r="5555" spans="1:9" x14ac:dyDescent="0.25">
      <c r="A5555" s="1">
        <v>2410290608</v>
      </c>
      <c r="B5555" s="1" t="s">
        <v>3427</v>
      </c>
      <c r="C5555" s="1" t="s">
        <v>130</v>
      </c>
      <c r="D5555" s="1" t="s">
        <v>131</v>
      </c>
      <c r="E5555" s="3">
        <v>6413</v>
      </c>
      <c r="F5555" s="1" t="s">
        <v>89</v>
      </c>
      <c r="G5555" s="3">
        <v>0</v>
      </c>
      <c r="H5555" s="1">
        <v>0</v>
      </c>
      <c r="I5555" s="1">
        <v>3.7799299999999998</v>
      </c>
    </row>
    <row r="5556" spans="1:9" x14ac:dyDescent="0.25">
      <c r="A5556" s="1">
        <v>2410290608</v>
      </c>
      <c r="B5556" s="1" t="s">
        <v>3427</v>
      </c>
      <c r="C5556" s="1" t="s">
        <v>139</v>
      </c>
      <c r="D5556" s="1" t="s">
        <v>140</v>
      </c>
      <c r="E5556" s="3">
        <v>2125</v>
      </c>
      <c r="F5556" s="1" t="s">
        <v>89</v>
      </c>
      <c r="G5556" s="1">
        <v>0</v>
      </c>
      <c r="H5556" s="1">
        <v>0</v>
      </c>
      <c r="I5556" s="1">
        <v>3.7799290000000001</v>
      </c>
    </row>
    <row r="5557" spans="1:9" x14ac:dyDescent="0.25">
      <c r="A5557" s="1">
        <v>2410290610</v>
      </c>
      <c r="B5557" s="1" t="s">
        <v>3428</v>
      </c>
      <c r="C5557" s="1" t="s">
        <v>130</v>
      </c>
      <c r="D5557" s="1" t="s">
        <v>131</v>
      </c>
      <c r="E5557" s="3">
        <v>1752</v>
      </c>
      <c r="F5557" s="1" t="s">
        <v>89</v>
      </c>
      <c r="G5557" s="1">
        <v>0</v>
      </c>
      <c r="H5557" s="1">
        <v>0</v>
      </c>
      <c r="I5557" s="1">
        <v>3.5969060000000002</v>
      </c>
    </row>
    <row r="5558" spans="1:9" x14ac:dyDescent="0.25">
      <c r="A5558" s="1">
        <v>2410290610</v>
      </c>
      <c r="B5558" s="1" t="s">
        <v>3428</v>
      </c>
      <c r="C5558" s="1" t="s">
        <v>139</v>
      </c>
      <c r="D5558" s="1" t="s">
        <v>140</v>
      </c>
      <c r="E5558" s="3">
        <v>102148</v>
      </c>
      <c r="F5558" s="1" t="s">
        <v>89</v>
      </c>
      <c r="G5558" s="1">
        <v>0</v>
      </c>
      <c r="H5558" s="1">
        <v>0</v>
      </c>
      <c r="I5558" s="1">
        <v>2.7688440000000001</v>
      </c>
    </row>
    <row r="5559" spans="1:9" x14ac:dyDescent="0.25">
      <c r="A5559" s="1">
        <v>2410290611</v>
      </c>
      <c r="B5559" s="1" t="s">
        <v>3429</v>
      </c>
      <c r="C5559" s="1" t="s">
        <v>130</v>
      </c>
      <c r="D5559" s="1" t="s">
        <v>131</v>
      </c>
      <c r="E5559" s="1">
        <v>0</v>
      </c>
      <c r="F5559" s="1" t="s">
        <v>36</v>
      </c>
      <c r="G5559" s="1">
        <v>0</v>
      </c>
      <c r="H5559" s="3">
        <v>2100</v>
      </c>
      <c r="I5559" s="1">
        <v>0.69868200000000003</v>
      </c>
    </row>
    <row r="5560" spans="1:9" x14ac:dyDescent="0.25">
      <c r="A5560" s="1">
        <v>2410290614</v>
      </c>
      <c r="B5560" s="1" t="s">
        <v>3430</v>
      </c>
      <c r="C5560" s="1" t="s">
        <v>130</v>
      </c>
      <c r="D5560" s="1" t="s">
        <v>131</v>
      </c>
      <c r="E5560" s="3">
        <v>7988</v>
      </c>
      <c r="F5560" s="1" t="s">
        <v>89</v>
      </c>
      <c r="G5560" s="3">
        <v>12500</v>
      </c>
      <c r="H5560" s="1">
        <v>0</v>
      </c>
      <c r="I5560" s="1">
        <v>3.4155959999999999</v>
      </c>
    </row>
    <row r="5561" spans="1:9" x14ac:dyDescent="0.25">
      <c r="A5561" s="1">
        <v>2410290614</v>
      </c>
      <c r="B5561" s="1" t="s">
        <v>3430</v>
      </c>
      <c r="C5561" s="1" t="s">
        <v>1698</v>
      </c>
      <c r="D5561" s="1" t="s">
        <v>1699</v>
      </c>
      <c r="E5561" s="3">
        <v>13225.523999999999</v>
      </c>
      <c r="F5561" s="1" t="s">
        <v>89</v>
      </c>
      <c r="G5561" s="1">
        <v>0</v>
      </c>
      <c r="H5561" s="3">
        <v>12500</v>
      </c>
      <c r="I5561" s="1">
        <v>3.4155980000000001</v>
      </c>
    </row>
    <row r="5562" spans="1:9" x14ac:dyDescent="0.25">
      <c r="A5562" s="1">
        <v>2410290614</v>
      </c>
      <c r="B5562" s="1" t="s">
        <v>3430</v>
      </c>
      <c r="C5562" s="1" t="s">
        <v>139</v>
      </c>
      <c r="D5562" s="1" t="s">
        <v>140</v>
      </c>
      <c r="E5562" s="3">
        <v>32619</v>
      </c>
      <c r="F5562" s="1" t="s">
        <v>89</v>
      </c>
      <c r="G5562" s="1">
        <v>0</v>
      </c>
      <c r="H5562" s="1">
        <v>0</v>
      </c>
      <c r="I5562" s="1">
        <v>3.415597</v>
      </c>
    </row>
    <row r="5563" spans="1:9" x14ac:dyDescent="0.25">
      <c r="A5563" s="1">
        <v>2410290615</v>
      </c>
      <c r="B5563" s="1" t="s">
        <v>3431</v>
      </c>
      <c r="C5563" s="1" t="s">
        <v>130</v>
      </c>
      <c r="D5563" s="1" t="s">
        <v>131</v>
      </c>
      <c r="E5563" s="1">
        <v>0</v>
      </c>
      <c r="F5563" s="1" t="s">
        <v>89</v>
      </c>
      <c r="G5563" s="1">
        <v>0</v>
      </c>
      <c r="H5563" s="3">
        <v>3974</v>
      </c>
      <c r="I5563" s="1">
        <v>4.3449540000000004</v>
      </c>
    </row>
    <row r="5564" spans="1:9" x14ac:dyDescent="0.25">
      <c r="A5564" s="1">
        <v>2410290615</v>
      </c>
      <c r="B5564" s="1" t="s">
        <v>3431</v>
      </c>
      <c r="C5564" s="1" t="s">
        <v>1698</v>
      </c>
      <c r="D5564" s="1" t="s">
        <v>1699</v>
      </c>
      <c r="E5564" s="3">
        <v>3082.7249999999999</v>
      </c>
      <c r="F5564" s="1" t="s">
        <v>89</v>
      </c>
      <c r="G5564" s="1">
        <v>0</v>
      </c>
      <c r="H5564" s="1">
        <v>0</v>
      </c>
      <c r="I5564" s="1">
        <v>3.6843569999999999</v>
      </c>
    </row>
    <row r="5565" spans="1:9" x14ac:dyDescent="0.25">
      <c r="A5565" s="1">
        <v>2410290615</v>
      </c>
      <c r="B5565" s="1" t="s">
        <v>3431</v>
      </c>
      <c r="C5565" s="1" t="s">
        <v>523</v>
      </c>
      <c r="D5565" s="1" t="s">
        <v>524</v>
      </c>
      <c r="E5565" s="1">
        <v>0</v>
      </c>
      <c r="F5565" s="1" t="s">
        <v>89</v>
      </c>
      <c r="G5565" s="1">
        <v>0</v>
      </c>
      <c r="H5565" s="3">
        <v>2977</v>
      </c>
      <c r="I5565" s="1">
        <v>4.4012000000000002</v>
      </c>
    </row>
    <row r="5566" spans="1:9" x14ac:dyDescent="0.25">
      <c r="A5566" s="1">
        <v>2410290617</v>
      </c>
      <c r="B5566" s="1" t="s">
        <v>3432</v>
      </c>
      <c r="C5566" s="1" t="s">
        <v>130</v>
      </c>
      <c r="D5566" s="1" t="s">
        <v>131</v>
      </c>
      <c r="E5566" s="1">
        <v>0</v>
      </c>
      <c r="F5566" s="1" t="s">
        <v>89</v>
      </c>
      <c r="G5566" s="1">
        <v>0</v>
      </c>
      <c r="H5566" s="3">
        <v>1915</v>
      </c>
      <c r="I5566" s="1">
        <v>4.1700939999999997</v>
      </c>
    </row>
    <row r="5567" spans="1:9" x14ac:dyDescent="0.25">
      <c r="A5567" s="1">
        <v>2410290617</v>
      </c>
      <c r="B5567" s="1" t="s">
        <v>3432</v>
      </c>
      <c r="C5567" s="1" t="s">
        <v>139</v>
      </c>
      <c r="D5567" s="1" t="s">
        <v>140</v>
      </c>
      <c r="E5567" s="3">
        <v>3081</v>
      </c>
      <c r="F5567" s="1" t="s">
        <v>89</v>
      </c>
      <c r="G5567" s="1">
        <v>0</v>
      </c>
      <c r="H5567" s="1">
        <v>0</v>
      </c>
      <c r="I5567" s="1">
        <v>4.1700939999999997</v>
      </c>
    </row>
    <row r="5568" spans="1:9" x14ac:dyDescent="0.25">
      <c r="A5568" s="1">
        <v>2410290624</v>
      </c>
      <c r="B5568" s="1" t="s">
        <v>91</v>
      </c>
      <c r="C5568" s="1" t="s">
        <v>130</v>
      </c>
      <c r="D5568" s="1" t="s">
        <v>131</v>
      </c>
      <c r="E5568" s="3">
        <v>4625</v>
      </c>
      <c r="F5568" s="1" t="s">
        <v>89</v>
      </c>
      <c r="G5568" s="1">
        <v>0</v>
      </c>
      <c r="H5568" s="1">
        <v>0</v>
      </c>
      <c r="I5568" s="1">
        <v>4.3038160000000003</v>
      </c>
    </row>
    <row r="5569" spans="1:9" x14ac:dyDescent="0.25">
      <c r="A5569" s="1">
        <v>2410290624</v>
      </c>
      <c r="B5569" s="1" t="s">
        <v>91</v>
      </c>
      <c r="C5569" s="1" t="s">
        <v>2333</v>
      </c>
      <c r="D5569" s="1" t="s">
        <v>2334</v>
      </c>
      <c r="E5569" s="1">
        <v>527.15</v>
      </c>
      <c r="F5569" s="1" t="s">
        <v>89</v>
      </c>
      <c r="G5569" s="1">
        <v>0</v>
      </c>
      <c r="H5569" s="1">
        <v>0</v>
      </c>
      <c r="I5569" s="1">
        <v>4.3038220000000003</v>
      </c>
    </row>
    <row r="5570" spans="1:9" x14ac:dyDescent="0.25">
      <c r="A5570" s="1">
        <v>2410290626</v>
      </c>
      <c r="B5570" s="1" t="s">
        <v>92</v>
      </c>
      <c r="C5570" s="1" t="s">
        <v>130</v>
      </c>
      <c r="D5570" s="1" t="s">
        <v>131</v>
      </c>
      <c r="E5570" s="1">
        <v>504</v>
      </c>
      <c r="F5570" s="1" t="s">
        <v>89</v>
      </c>
      <c r="G5570" s="1">
        <v>0</v>
      </c>
      <c r="H5570" s="1">
        <v>0</v>
      </c>
      <c r="I5570" s="1">
        <v>4.362679</v>
      </c>
    </row>
    <row r="5571" spans="1:9" x14ac:dyDescent="0.25">
      <c r="A5571" s="1">
        <v>2410290626</v>
      </c>
      <c r="B5571" s="1" t="s">
        <v>92</v>
      </c>
      <c r="C5571" s="1" t="s">
        <v>2333</v>
      </c>
      <c r="D5571" s="1" t="s">
        <v>2334</v>
      </c>
      <c r="E5571" s="1">
        <v>50</v>
      </c>
      <c r="F5571" s="1" t="s">
        <v>89</v>
      </c>
      <c r="G5571" s="1">
        <v>0</v>
      </c>
      <c r="H5571" s="1">
        <v>0</v>
      </c>
      <c r="I5571" s="1">
        <v>4.3625999999999996</v>
      </c>
    </row>
    <row r="5572" spans="1:9" x14ac:dyDescent="0.25">
      <c r="A5572" s="1">
        <v>2410290629</v>
      </c>
      <c r="B5572" s="1" t="s">
        <v>3433</v>
      </c>
      <c r="C5572" s="1" t="s">
        <v>139</v>
      </c>
      <c r="D5572" s="1" t="s">
        <v>140</v>
      </c>
      <c r="E5572" s="1">
        <v>612</v>
      </c>
      <c r="F5572" s="1" t="s">
        <v>89</v>
      </c>
      <c r="G5572" s="1">
        <v>0</v>
      </c>
      <c r="H5572" s="1">
        <v>0</v>
      </c>
      <c r="I5572" s="1">
        <v>4.2571899999999996</v>
      </c>
    </row>
    <row r="5573" spans="1:9" x14ac:dyDescent="0.25">
      <c r="A5573" s="1">
        <v>2410290631</v>
      </c>
      <c r="B5573" s="1" t="s">
        <v>3434</v>
      </c>
      <c r="C5573" s="1" t="s">
        <v>130</v>
      </c>
      <c r="D5573" s="1" t="s">
        <v>131</v>
      </c>
      <c r="E5573" s="1">
        <v>196</v>
      </c>
      <c r="F5573" s="1" t="s">
        <v>89</v>
      </c>
      <c r="G5573" s="1">
        <v>0</v>
      </c>
      <c r="H5573" s="1">
        <v>0</v>
      </c>
      <c r="I5573" s="1">
        <v>4.6931630000000002</v>
      </c>
    </row>
    <row r="5574" spans="1:9" x14ac:dyDescent="0.25">
      <c r="A5574" s="1">
        <v>2410290633</v>
      </c>
      <c r="B5574" s="1" t="s">
        <v>3435</v>
      </c>
      <c r="C5574" s="1" t="s">
        <v>157</v>
      </c>
      <c r="D5574" s="1" t="s">
        <v>158</v>
      </c>
      <c r="E5574" s="3">
        <v>4743</v>
      </c>
      <c r="F5574" s="1" t="s">
        <v>89</v>
      </c>
      <c r="G5574" s="1">
        <v>0</v>
      </c>
      <c r="H5574" s="1">
        <v>0</v>
      </c>
      <c r="I5574" s="1">
        <v>2.6844359999999998</v>
      </c>
    </row>
    <row r="5575" spans="1:9" x14ac:dyDescent="0.25">
      <c r="A5575" s="1">
        <v>2410290655</v>
      </c>
      <c r="B5575" s="1" t="s">
        <v>3436</v>
      </c>
      <c r="C5575" s="1" t="s">
        <v>130</v>
      </c>
      <c r="D5575" s="1" t="s">
        <v>131</v>
      </c>
      <c r="E5575" s="1">
        <v>17</v>
      </c>
      <c r="F5575" s="1" t="s">
        <v>36</v>
      </c>
      <c r="G5575" s="1">
        <v>0</v>
      </c>
      <c r="H5575" s="1">
        <v>0</v>
      </c>
      <c r="I5575" s="1">
        <v>12.814118000000001</v>
      </c>
    </row>
    <row r="5576" spans="1:9" x14ac:dyDescent="0.25">
      <c r="A5576" s="1">
        <v>2410290658</v>
      </c>
      <c r="B5576" s="1" t="s">
        <v>3437</v>
      </c>
      <c r="C5576" s="1" t="s">
        <v>130</v>
      </c>
      <c r="D5576" s="1" t="s">
        <v>131</v>
      </c>
      <c r="E5576" s="1">
        <v>230</v>
      </c>
      <c r="F5576" s="1" t="s">
        <v>36</v>
      </c>
      <c r="G5576" s="1">
        <v>0</v>
      </c>
      <c r="H5576" s="1">
        <v>0</v>
      </c>
      <c r="I5576" s="1">
        <v>0.52512999999999999</v>
      </c>
    </row>
    <row r="5577" spans="1:9" x14ac:dyDescent="0.25">
      <c r="A5577" s="1">
        <v>2410290659</v>
      </c>
      <c r="B5577" s="1" t="s">
        <v>3438</v>
      </c>
      <c r="C5577" s="1" t="s">
        <v>130</v>
      </c>
      <c r="D5577" s="1" t="s">
        <v>131</v>
      </c>
      <c r="E5577" s="1">
        <v>185</v>
      </c>
      <c r="F5577" s="1" t="s">
        <v>36</v>
      </c>
      <c r="G5577" s="1">
        <v>0</v>
      </c>
      <c r="H5577" s="1">
        <v>0</v>
      </c>
      <c r="I5577" s="1">
        <v>0.52924300000000002</v>
      </c>
    </row>
    <row r="5578" spans="1:9" x14ac:dyDescent="0.25">
      <c r="A5578" s="1">
        <v>2410290660</v>
      </c>
      <c r="B5578" s="1" t="s">
        <v>3439</v>
      </c>
      <c r="C5578" s="1" t="s">
        <v>130</v>
      </c>
      <c r="D5578" s="1" t="s">
        <v>131</v>
      </c>
      <c r="E5578" s="1">
        <v>225</v>
      </c>
      <c r="F5578" s="1" t="s">
        <v>36</v>
      </c>
      <c r="G5578" s="1">
        <v>0</v>
      </c>
      <c r="H5578" s="1">
        <v>0</v>
      </c>
      <c r="I5578" s="1">
        <v>0.51724400000000004</v>
      </c>
    </row>
    <row r="5579" spans="1:9" x14ac:dyDescent="0.25">
      <c r="A5579" s="1">
        <v>2410290661</v>
      </c>
      <c r="B5579" s="1" t="s">
        <v>3440</v>
      </c>
      <c r="C5579" s="1" t="s">
        <v>130</v>
      </c>
      <c r="D5579" s="1" t="s">
        <v>131</v>
      </c>
      <c r="E5579" s="1">
        <v>126</v>
      </c>
      <c r="F5579" s="1" t="s">
        <v>36</v>
      </c>
      <c r="G5579" s="1">
        <v>0</v>
      </c>
      <c r="H5579" s="1">
        <v>0</v>
      </c>
      <c r="I5579" s="1">
        <v>0.53865099999999999</v>
      </c>
    </row>
    <row r="5580" spans="1:9" x14ac:dyDescent="0.25">
      <c r="A5580" s="1">
        <v>2410290662</v>
      </c>
      <c r="B5580" s="1" t="s">
        <v>3441</v>
      </c>
      <c r="C5580" s="1" t="s">
        <v>130</v>
      </c>
      <c r="D5580" s="1" t="s">
        <v>131</v>
      </c>
      <c r="E5580" s="1">
        <v>193</v>
      </c>
      <c r="F5580" s="1" t="s">
        <v>36</v>
      </c>
      <c r="G5580" s="1">
        <v>0</v>
      </c>
      <c r="H5580" s="1">
        <v>0</v>
      </c>
      <c r="I5580" s="1">
        <v>0.23922299999999999</v>
      </c>
    </row>
    <row r="5581" spans="1:9" x14ac:dyDescent="0.25">
      <c r="A5581" s="1">
        <v>2410290663</v>
      </c>
      <c r="B5581" s="1" t="s">
        <v>3442</v>
      </c>
      <c r="C5581" s="1" t="s">
        <v>130</v>
      </c>
      <c r="D5581" s="1" t="s">
        <v>131</v>
      </c>
      <c r="E5581" s="1">
        <v>250</v>
      </c>
      <c r="F5581" s="1" t="s">
        <v>36</v>
      </c>
      <c r="G5581" s="1">
        <v>0</v>
      </c>
      <c r="H5581" s="1">
        <v>0</v>
      </c>
      <c r="I5581" s="1">
        <v>0.23727999999999999</v>
      </c>
    </row>
    <row r="5582" spans="1:9" x14ac:dyDescent="0.25">
      <c r="A5582" s="1">
        <v>2410290664</v>
      </c>
      <c r="B5582" s="1" t="s">
        <v>3443</v>
      </c>
      <c r="C5582" s="1" t="s">
        <v>130</v>
      </c>
      <c r="D5582" s="1" t="s">
        <v>131</v>
      </c>
      <c r="E5582" s="1">
        <v>458</v>
      </c>
      <c r="F5582" s="1" t="s">
        <v>36</v>
      </c>
      <c r="G5582" s="1">
        <v>0</v>
      </c>
      <c r="H5582" s="1">
        <v>0</v>
      </c>
      <c r="I5582" s="1">
        <v>0.24628800000000001</v>
      </c>
    </row>
    <row r="5583" spans="1:9" x14ac:dyDescent="0.25">
      <c r="A5583" s="1">
        <v>2410290665</v>
      </c>
      <c r="B5583" s="1" t="s">
        <v>3444</v>
      </c>
      <c r="C5583" s="1" t="s">
        <v>130</v>
      </c>
      <c r="D5583" s="1" t="s">
        <v>131</v>
      </c>
      <c r="E5583" s="1">
        <v>191</v>
      </c>
      <c r="F5583" s="1" t="s">
        <v>36</v>
      </c>
      <c r="G5583" s="1">
        <v>0</v>
      </c>
      <c r="H5583" s="1">
        <v>0</v>
      </c>
      <c r="I5583" s="1">
        <v>0.23733000000000001</v>
      </c>
    </row>
    <row r="5584" spans="1:9" x14ac:dyDescent="0.25">
      <c r="A5584" s="1">
        <v>2410290666</v>
      </c>
      <c r="B5584" s="1" t="s">
        <v>3445</v>
      </c>
      <c r="C5584" s="1" t="s">
        <v>130</v>
      </c>
      <c r="D5584" s="1" t="s">
        <v>131</v>
      </c>
      <c r="E5584" s="1">
        <v>100</v>
      </c>
      <c r="F5584" s="1" t="s">
        <v>36</v>
      </c>
      <c r="G5584" s="1">
        <v>0</v>
      </c>
      <c r="H5584" s="1">
        <v>0</v>
      </c>
      <c r="I5584" s="1">
        <v>0.38140000000000002</v>
      </c>
    </row>
    <row r="5585" spans="1:9" x14ac:dyDescent="0.25">
      <c r="A5585" s="1">
        <v>2410290667</v>
      </c>
      <c r="B5585" s="1" t="s">
        <v>3446</v>
      </c>
      <c r="C5585" s="1" t="s">
        <v>130</v>
      </c>
      <c r="D5585" s="1" t="s">
        <v>131</v>
      </c>
      <c r="E5585" s="3">
        <v>5800</v>
      </c>
      <c r="F5585" s="1" t="s">
        <v>36</v>
      </c>
      <c r="G5585" s="1">
        <v>0</v>
      </c>
      <c r="H5585" s="1">
        <v>0</v>
      </c>
      <c r="I5585" s="1">
        <v>0.16805999999999999</v>
      </c>
    </row>
    <row r="5586" spans="1:9" x14ac:dyDescent="0.25">
      <c r="A5586" s="1">
        <v>2410290668</v>
      </c>
      <c r="B5586" s="1" t="s">
        <v>3447</v>
      </c>
      <c r="C5586" s="1" t="s">
        <v>130</v>
      </c>
      <c r="D5586" s="1" t="s">
        <v>131</v>
      </c>
      <c r="E5586" s="1">
        <v>778</v>
      </c>
      <c r="F5586" s="1" t="s">
        <v>36</v>
      </c>
      <c r="G5586" s="1">
        <v>0</v>
      </c>
      <c r="H5586" s="1">
        <v>0</v>
      </c>
      <c r="I5586" s="1">
        <v>0.53128500000000001</v>
      </c>
    </row>
    <row r="5587" spans="1:9" x14ac:dyDescent="0.25">
      <c r="A5587" s="1">
        <v>2410290669</v>
      </c>
      <c r="B5587" s="1" t="s">
        <v>3448</v>
      </c>
      <c r="C5587" s="1" t="s">
        <v>130</v>
      </c>
      <c r="D5587" s="1" t="s">
        <v>131</v>
      </c>
      <c r="E5587" s="3">
        <v>1800</v>
      </c>
      <c r="F5587" s="1" t="s">
        <v>36</v>
      </c>
      <c r="G5587" s="1">
        <v>0</v>
      </c>
      <c r="H5587" s="1">
        <v>0</v>
      </c>
      <c r="I5587" s="1">
        <v>0.554311</v>
      </c>
    </row>
    <row r="5588" spans="1:9" x14ac:dyDescent="0.25">
      <c r="A5588" s="1">
        <v>2410290670</v>
      </c>
      <c r="B5588" s="1" t="s">
        <v>3449</v>
      </c>
      <c r="C5588" s="1" t="s">
        <v>130</v>
      </c>
      <c r="D5588" s="1" t="s">
        <v>131</v>
      </c>
      <c r="E5588" s="1">
        <v>50</v>
      </c>
      <c r="F5588" s="1" t="s">
        <v>36</v>
      </c>
      <c r="G5588" s="1">
        <v>0</v>
      </c>
      <c r="H5588" s="1">
        <v>0</v>
      </c>
      <c r="I5588" s="1">
        <v>0.62</v>
      </c>
    </row>
    <row r="5589" spans="1:9" x14ac:dyDescent="0.25">
      <c r="A5589" s="1">
        <v>2410290672</v>
      </c>
      <c r="B5589" s="1" t="s">
        <v>3450</v>
      </c>
      <c r="C5589" s="1" t="s">
        <v>130</v>
      </c>
      <c r="D5589" s="1" t="s">
        <v>131</v>
      </c>
      <c r="E5589" s="1">
        <v>57</v>
      </c>
      <c r="F5589" s="1" t="s">
        <v>36</v>
      </c>
      <c r="G5589" s="1">
        <v>0</v>
      </c>
      <c r="H5589" s="1">
        <v>0</v>
      </c>
      <c r="I5589" s="1">
        <v>0.62473699999999999</v>
      </c>
    </row>
    <row r="5590" spans="1:9" x14ac:dyDescent="0.25">
      <c r="A5590" s="1">
        <v>2410290673</v>
      </c>
      <c r="B5590" s="1" t="s">
        <v>3451</v>
      </c>
      <c r="C5590" s="1" t="s">
        <v>130</v>
      </c>
      <c r="D5590" s="1" t="s">
        <v>131</v>
      </c>
      <c r="E5590" s="1">
        <v>20</v>
      </c>
      <c r="F5590" s="1" t="s">
        <v>36</v>
      </c>
      <c r="G5590" s="1">
        <v>0</v>
      </c>
      <c r="H5590" s="1">
        <v>0</v>
      </c>
      <c r="I5590" s="1">
        <v>0.61</v>
      </c>
    </row>
    <row r="5591" spans="1:9" x14ac:dyDescent="0.25">
      <c r="A5591" s="1">
        <v>2410290674</v>
      </c>
      <c r="B5591" s="1" t="s">
        <v>3452</v>
      </c>
      <c r="C5591" s="1" t="s">
        <v>130</v>
      </c>
      <c r="D5591" s="1" t="s">
        <v>131</v>
      </c>
      <c r="E5591" s="1">
        <v>52</v>
      </c>
      <c r="F5591" s="1" t="s">
        <v>36</v>
      </c>
      <c r="G5591" s="1">
        <v>0</v>
      </c>
      <c r="H5591" s="1">
        <v>0</v>
      </c>
      <c r="I5591" s="1">
        <v>0.61826899999999996</v>
      </c>
    </row>
    <row r="5592" spans="1:9" x14ac:dyDescent="0.25">
      <c r="A5592" s="1">
        <v>2410290676</v>
      </c>
      <c r="B5592" s="1" t="s">
        <v>3453</v>
      </c>
      <c r="C5592" s="1" t="s">
        <v>130</v>
      </c>
      <c r="D5592" s="1" t="s">
        <v>131</v>
      </c>
      <c r="E5592" s="1">
        <v>108</v>
      </c>
      <c r="F5592" s="1" t="s">
        <v>36</v>
      </c>
      <c r="G5592" s="1">
        <v>0</v>
      </c>
      <c r="H5592" s="1">
        <v>0</v>
      </c>
      <c r="I5592" s="1">
        <v>0.61324100000000004</v>
      </c>
    </row>
    <row r="5593" spans="1:9" x14ac:dyDescent="0.25">
      <c r="A5593" s="1">
        <v>2410290677</v>
      </c>
      <c r="B5593" s="1" t="s">
        <v>3454</v>
      </c>
      <c r="C5593" s="1" t="s">
        <v>130</v>
      </c>
      <c r="D5593" s="1" t="s">
        <v>131</v>
      </c>
      <c r="E5593" s="1">
        <v>20</v>
      </c>
      <c r="F5593" s="1" t="s">
        <v>36</v>
      </c>
      <c r="G5593" s="1">
        <v>0</v>
      </c>
      <c r="H5593" s="1">
        <v>0</v>
      </c>
      <c r="I5593" s="1">
        <v>0.60050000000000003</v>
      </c>
    </row>
    <row r="5594" spans="1:9" x14ac:dyDescent="0.25">
      <c r="A5594" s="1">
        <v>2410290678</v>
      </c>
      <c r="B5594" s="1" t="s">
        <v>3455</v>
      </c>
      <c r="C5594" s="1" t="s">
        <v>130</v>
      </c>
      <c r="D5594" s="1" t="s">
        <v>131</v>
      </c>
      <c r="E5594" s="1">
        <v>5</v>
      </c>
      <c r="F5594" s="1" t="s">
        <v>36</v>
      </c>
      <c r="G5594" s="1">
        <v>0</v>
      </c>
      <c r="H5594" s="1">
        <v>0</v>
      </c>
      <c r="I5594" s="1">
        <v>0.90200000000000002</v>
      </c>
    </row>
    <row r="5595" spans="1:9" x14ac:dyDescent="0.25">
      <c r="A5595" s="1">
        <v>2410290684</v>
      </c>
      <c r="B5595" s="1" t="s">
        <v>3456</v>
      </c>
      <c r="C5595" s="1" t="s">
        <v>130</v>
      </c>
      <c r="D5595" s="1" t="s">
        <v>131</v>
      </c>
      <c r="E5595" s="3">
        <v>1500</v>
      </c>
      <c r="F5595" s="1" t="s">
        <v>36</v>
      </c>
      <c r="G5595" s="1">
        <v>0</v>
      </c>
      <c r="H5595" s="1">
        <v>0</v>
      </c>
      <c r="I5595" s="1">
        <v>1.101693</v>
      </c>
    </row>
    <row r="5596" spans="1:9" x14ac:dyDescent="0.25">
      <c r="A5596" s="1">
        <v>2410290687</v>
      </c>
      <c r="B5596" s="1" t="s">
        <v>3457</v>
      </c>
      <c r="C5596" s="1" t="s">
        <v>130</v>
      </c>
      <c r="D5596" s="1" t="s">
        <v>131</v>
      </c>
      <c r="E5596" s="1">
        <v>1</v>
      </c>
      <c r="F5596" s="1" t="s">
        <v>36</v>
      </c>
      <c r="G5596" s="1">
        <v>0</v>
      </c>
      <c r="H5596" s="1">
        <v>0</v>
      </c>
      <c r="I5596" s="1">
        <v>0.22</v>
      </c>
    </row>
    <row r="5597" spans="1:9" x14ac:dyDescent="0.25">
      <c r="A5597" s="1">
        <v>2410290688</v>
      </c>
      <c r="B5597" s="1" t="s">
        <v>3458</v>
      </c>
      <c r="C5597" s="1" t="s">
        <v>130</v>
      </c>
      <c r="D5597" s="1" t="s">
        <v>131</v>
      </c>
      <c r="E5597" s="1">
        <v>69</v>
      </c>
      <c r="F5597" s="1" t="s">
        <v>36</v>
      </c>
      <c r="G5597" s="1">
        <v>0</v>
      </c>
      <c r="H5597" s="1">
        <v>0</v>
      </c>
      <c r="I5597" s="1">
        <v>0.25420300000000001</v>
      </c>
    </row>
    <row r="5598" spans="1:9" x14ac:dyDescent="0.25">
      <c r="A5598" s="1">
        <v>2410290689</v>
      </c>
      <c r="B5598" s="1" t="s">
        <v>3459</v>
      </c>
      <c r="C5598" s="1" t="s">
        <v>130</v>
      </c>
      <c r="D5598" s="1" t="s">
        <v>131</v>
      </c>
      <c r="E5598" s="1">
        <v>122</v>
      </c>
      <c r="F5598" s="1" t="s">
        <v>36</v>
      </c>
      <c r="G5598" s="1">
        <v>0</v>
      </c>
      <c r="H5598" s="1">
        <v>0</v>
      </c>
      <c r="I5598" s="1">
        <v>0.23204900000000001</v>
      </c>
    </row>
    <row r="5599" spans="1:9" x14ac:dyDescent="0.25">
      <c r="A5599" s="1">
        <v>2410290690</v>
      </c>
      <c r="B5599" s="1" t="s">
        <v>3460</v>
      </c>
      <c r="C5599" s="1" t="s">
        <v>130</v>
      </c>
      <c r="D5599" s="1" t="s">
        <v>131</v>
      </c>
      <c r="E5599" s="1">
        <v>271</v>
      </c>
      <c r="F5599" s="1" t="s">
        <v>36</v>
      </c>
      <c r="G5599" s="1">
        <v>0</v>
      </c>
      <c r="H5599" s="1">
        <v>0</v>
      </c>
      <c r="I5599" s="1">
        <v>0.26468599999999998</v>
      </c>
    </row>
    <row r="5600" spans="1:9" x14ac:dyDescent="0.25">
      <c r="A5600" s="1">
        <v>2410290691</v>
      </c>
      <c r="B5600" s="1" t="s">
        <v>3461</v>
      </c>
      <c r="C5600" s="1" t="s">
        <v>130</v>
      </c>
      <c r="D5600" s="1" t="s">
        <v>131</v>
      </c>
      <c r="E5600" s="1">
        <v>64</v>
      </c>
      <c r="F5600" s="1" t="s">
        <v>36</v>
      </c>
      <c r="G5600" s="1">
        <v>0</v>
      </c>
      <c r="H5600" s="1">
        <v>0</v>
      </c>
      <c r="I5600" s="1">
        <v>0.39687499999999998</v>
      </c>
    </row>
    <row r="5601" spans="1:9" x14ac:dyDescent="0.25">
      <c r="A5601" s="1">
        <v>2410290692</v>
      </c>
      <c r="B5601" s="1" t="s">
        <v>3462</v>
      </c>
      <c r="C5601" s="1" t="s">
        <v>130</v>
      </c>
      <c r="D5601" s="1" t="s">
        <v>131</v>
      </c>
      <c r="E5601" s="1">
        <v>471</v>
      </c>
      <c r="F5601" s="1" t="s">
        <v>36</v>
      </c>
      <c r="G5601" s="1">
        <v>0</v>
      </c>
      <c r="H5601" s="1">
        <v>0</v>
      </c>
      <c r="I5601" s="1">
        <v>0.25473499999999999</v>
      </c>
    </row>
    <row r="5602" spans="1:9" x14ac:dyDescent="0.25">
      <c r="A5602" s="1">
        <v>2410290693</v>
      </c>
      <c r="B5602" s="1" t="s">
        <v>3463</v>
      </c>
      <c r="C5602" s="1" t="s">
        <v>130</v>
      </c>
      <c r="D5602" s="1" t="s">
        <v>131</v>
      </c>
      <c r="E5602" s="1">
        <v>503</v>
      </c>
      <c r="F5602" s="1" t="s">
        <v>36</v>
      </c>
      <c r="G5602" s="1">
        <v>0</v>
      </c>
      <c r="H5602" s="1">
        <v>0</v>
      </c>
      <c r="I5602" s="1">
        <v>0.159026</v>
      </c>
    </row>
    <row r="5603" spans="1:9" x14ac:dyDescent="0.25">
      <c r="A5603" s="1">
        <v>2410290694</v>
      </c>
      <c r="B5603" s="1" t="s">
        <v>3464</v>
      </c>
      <c r="C5603" s="1" t="s">
        <v>130</v>
      </c>
      <c r="D5603" s="1" t="s">
        <v>131</v>
      </c>
      <c r="E5603" s="1">
        <v>350</v>
      </c>
      <c r="F5603" s="1" t="s">
        <v>36</v>
      </c>
      <c r="G5603" s="1">
        <v>0</v>
      </c>
      <c r="H5603" s="3">
        <v>1500</v>
      </c>
      <c r="I5603" s="1">
        <v>0.52002899999999996</v>
      </c>
    </row>
    <row r="5604" spans="1:9" x14ac:dyDescent="0.25">
      <c r="A5604" s="1">
        <v>2410290696</v>
      </c>
      <c r="B5604" s="1" t="s">
        <v>3465</v>
      </c>
      <c r="C5604" s="1" t="s">
        <v>130</v>
      </c>
      <c r="D5604" s="1" t="s">
        <v>131</v>
      </c>
      <c r="E5604" s="3">
        <v>8000</v>
      </c>
      <c r="F5604" s="1" t="s">
        <v>36</v>
      </c>
      <c r="G5604" s="1">
        <v>0</v>
      </c>
      <c r="H5604" s="3">
        <v>25000</v>
      </c>
      <c r="I5604" s="1">
        <v>0.152728</v>
      </c>
    </row>
    <row r="5605" spans="1:9" x14ac:dyDescent="0.25">
      <c r="A5605" s="1">
        <v>2410290696</v>
      </c>
      <c r="B5605" s="1" t="s">
        <v>3465</v>
      </c>
      <c r="C5605" s="1" t="s">
        <v>126</v>
      </c>
      <c r="D5605" s="1" t="s">
        <v>127</v>
      </c>
      <c r="E5605" s="3">
        <v>1500</v>
      </c>
      <c r="F5605" s="1" t="s">
        <v>36</v>
      </c>
      <c r="G5605" s="1">
        <v>0</v>
      </c>
      <c r="H5605" s="1">
        <v>0</v>
      </c>
      <c r="I5605" s="1">
        <v>0.16378000000000001</v>
      </c>
    </row>
    <row r="5606" spans="1:9" x14ac:dyDescent="0.25">
      <c r="A5606" s="1">
        <v>2410290697</v>
      </c>
      <c r="B5606" s="1" t="s">
        <v>3466</v>
      </c>
      <c r="C5606" s="1" t="s">
        <v>130</v>
      </c>
      <c r="D5606" s="1" t="s">
        <v>131</v>
      </c>
      <c r="E5606" s="1">
        <v>50</v>
      </c>
      <c r="F5606" s="1" t="s">
        <v>36</v>
      </c>
      <c r="G5606" s="1">
        <v>0</v>
      </c>
      <c r="H5606" s="1">
        <v>0</v>
      </c>
      <c r="I5606" s="1">
        <v>0.37280000000000002</v>
      </c>
    </row>
    <row r="5607" spans="1:9" x14ac:dyDescent="0.25">
      <c r="A5607" s="1">
        <v>2410290698</v>
      </c>
      <c r="B5607" s="1" t="s">
        <v>3467</v>
      </c>
      <c r="C5607" s="1" t="s">
        <v>130</v>
      </c>
      <c r="D5607" s="1" t="s">
        <v>131</v>
      </c>
      <c r="E5607" s="1">
        <v>125</v>
      </c>
      <c r="F5607" s="1" t="s">
        <v>36</v>
      </c>
      <c r="G5607" s="1">
        <v>0</v>
      </c>
      <c r="H5607" s="1">
        <v>0</v>
      </c>
      <c r="I5607" s="1">
        <v>0.37287999999999999</v>
      </c>
    </row>
    <row r="5608" spans="1:9" x14ac:dyDescent="0.25">
      <c r="A5608" s="1">
        <v>2410290699</v>
      </c>
      <c r="B5608" s="1" t="s">
        <v>3468</v>
      </c>
      <c r="C5608" s="1" t="s">
        <v>130</v>
      </c>
      <c r="D5608" s="1" t="s">
        <v>131</v>
      </c>
      <c r="E5608" s="3">
        <v>125</v>
      </c>
      <c r="F5608" s="1" t="s">
        <v>36</v>
      </c>
      <c r="G5608" s="3">
        <v>0</v>
      </c>
      <c r="H5608" s="3">
        <v>0</v>
      </c>
      <c r="I5608" s="1">
        <v>0.35687999999999998</v>
      </c>
    </row>
    <row r="5609" spans="1:9" x14ac:dyDescent="0.25">
      <c r="A5609" s="1">
        <v>2410290700</v>
      </c>
      <c r="B5609" s="1" t="s">
        <v>3469</v>
      </c>
      <c r="C5609" s="1" t="s">
        <v>130</v>
      </c>
      <c r="D5609" s="1" t="s">
        <v>131</v>
      </c>
      <c r="E5609" s="3">
        <v>75</v>
      </c>
      <c r="F5609" s="1" t="s">
        <v>36</v>
      </c>
      <c r="G5609" s="1">
        <v>0</v>
      </c>
      <c r="H5609" s="3">
        <v>0</v>
      </c>
      <c r="I5609" s="1">
        <v>0.35653299999999999</v>
      </c>
    </row>
    <row r="5610" spans="1:9" x14ac:dyDescent="0.25">
      <c r="A5610" s="1">
        <v>2410290701</v>
      </c>
      <c r="B5610" s="1" t="s">
        <v>3470</v>
      </c>
      <c r="C5610" s="1" t="s">
        <v>130</v>
      </c>
      <c r="D5610" s="1" t="s">
        <v>131</v>
      </c>
      <c r="E5610" s="1">
        <v>125</v>
      </c>
      <c r="F5610" s="1" t="s">
        <v>36</v>
      </c>
      <c r="G5610" s="1">
        <v>0</v>
      </c>
      <c r="H5610" s="1">
        <v>0</v>
      </c>
      <c r="I5610" s="1">
        <v>0.37287999999999999</v>
      </c>
    </row>
    <row r="5611" spans="1:9" x14ac:dyDescent="0.25">
      <c r="A5611" s="1">
        <v>2410290704</v>
      </c>
      <c r="B5611" s="1" t="s">
        <v>3471</v>
      </c>
      <c r="C5611" s="1" t="s">
        <v>130</v>
      </c>
      <c r="D5611" s="1" t="s">
        <v>131</v>
      </c>
      <c r="E5611" s="1">
        <v>410</v>
      </c>
      <c r="F5611" s="1" t="s">
        <v>36</v>
      </c>
      <c r="G5611" s="1">
        <v>0</v>
      </c>
      <c r="H5611" s="1">
        <v>0</v>
      </c>
      <c r="I5611" s="1">
        <v>7.4999999999999997E-2</v>
      </c>
    </row>
    <row r="5612" spans="1:9" x14ac:dyDescent="0.25">
      <c r="A5612" s="1">
        <v>2410290705</v>
      </c>
      <c r="B5612" s="1" t="s">
        <v>3472</v>
      </c>
      <c r="C5612" s="1" t="s">
        <v>130</v>
      </c>
      <c r="D5612" s="1" t="s">
        <v>131</v>
      </c>
      <c r="E5612" s="1">
        <v>120</v>
      </c>
      <c r="F5612" s="1" t="s">
        <v>36</v>
      </c>
      <c r="G5612" s="1">
        <v>0</v>
      </c>
      <c r="H5612" s="1">
        <v>0</v>
      </c>
      <c r="I5612" s="1">
        <v>7.7667E-2</v>
      </c>
    </row>
    <row r="5613" spans="1:9" x14ac:dyDescent="0.25">
      <c r="A5613" s="1">
        <v>2410290706</v>
      </c>
      <c r="B5613" s="1" t="s">
        <v>3473</v>
      </c>
      <c r="C5613" s="1" t="s">
        <v>130</v>
      </c>
      <c r="D5613" s="1" t="s">
        <v>131</v>
      </c>
      <c r="E5613" s="1">
        <v>180</v>
      </c>
      <c r="F5613" s="1" t="s">
        <v>36</v>
      </c>
      <c r="G5613" s="1">
        <v>0</v>
      </c>
      <c r="H5613" s="1">
        <v>0</v>
      </c>
      <c r="I5613" s="1">
        <v>7.7667E-2</v>
      </c>
    </row>
    <row r="5614" spans="1:9" x14ac:dyDescent="0.25">
      <c r="A5614" s="1">
        <v>2410290707</v>
      </c>
      <c r="B5614" s="1" t="s">
        <v>3474</v>
      </c>
      <c r="C5614" s="1" t="s">
        <v>130</v>
      </c>
      <c r="D5614" s="1" t="s">
        <v>131</v>
      </c>
      <c r="E5614" s="1">
        <v>290</v>
      </c>
      <c r="F5614" s="1" t="s">
        <v>36</v>
      </c>
      <c r="G5614" s="1">
        <v>0</v>
      </c>
      <c r="H5614" s="1">
        <v>0</v>
      </c>
      <c r="I5614" s="1">
        <v>7.7689999999999995E-2</v>
      </c>
    </row>
    <row r="5615" spans="1:9" x14ac:dyDescent="0.25">
      <c r="A5615" s="1">
        <v>2410290709</v>
      </c>
      <c r="B5615" s="1" t="s">
        <v>3475</v>
      </c>
      <c r="C5615" s="1" t="s">
        <v>130</v>
      </c>
      <c r="D5615" s="1" t="s">
        <v>131</v>
      </c>
      <c r="E5615" s="1">
        <v>910</v>
      </c>
      <c r="F5615" s="1" t="s">
        <v>36</v>
      </c>
      <c r="G5615" s="1">
        <v>0</v>
      </c>
      <c r="H5615" s="1">
        <v>0</v>
      </c>
      <c r="I5615" s="1">
        <v>7.8801999999999997E-2</v>
      </c>
    </row>
    <row r="5616" spans="1:9" x14ac:dyDescent="0.25">
      <c r="A5616" s="1">
        <v>2410290711</v>
      </c>
      <c r="B5616" s="1" t="s">
        <v>3476</v>
      </c>
      <c r="C5616" s="1" t="s">
        <v>130</v>
      </c>
      <c r="D5616" s="1" t="s">
        <v>131</v>
      </c>
      <c r="E5616" s="1">
        <v>90</v>
      </c>
      <c r="F5616" s="1" t="s">
        <v>36</v>
      </c>
      <c r="G5616" s="1">
        <v>0</v>
      </c>
      <c r="H5616" s="1">
        <v>0</v>
      </c>
      <c r="I5616" s="1">
        <v>7.7667E-2</v>
      </c>
    </row>
    <row r="5617" spans="1:9" x14ac:dyDescent="0.25">
      <c r="A5617" s="1">
        <v>2410290712</v>
      </c>
      <c r="B5617" s="1" t="s">
        <v>3477</v>
      </c>
      <c r="C5617" s="1" t="s">
        <v>130</v>
      </c>
      <c r="D5617" s="1" t="s">
        <v>131</v>
      </c>
      <c r="E5617" s="1">
        <v>440</v>
      </c>
      <c r="F5617" s="1" t="s">
        <v>36</v>
      </c>
      <c r="G5617" s="1">
        <v>0</v>
      </c>
      <c r="H5617" s="1">
        <v>0</v>
      </c>
      <c r="I5617" s="1">
        <v>7.7682000000000001E-2</v>
      </c>
    </row>
    <row r="5618" spans="1:9" x14ac:dyDescent="0.25">
      <c r="A5618" s="1">
        <v>2410290713</v>
      </c>
      <c r="B5618" s="1" t="s">
        <v>3478</v>
      </c>
      <c r="C5618" s="1" t="s">
        <v>130</v>
      </c>
      <c r="D5618" s="1" t="s">
        <v>131</v>
      </c>
      <c r="E5618" s="1">
        <v>380</v>
      </c>
      <c r="F5618" s="1" t="s">
        <v>36</v>
      </c>
      <c r="G5618" s="1">
        <v>0</v>
      </c>
      <c r="H5618" s="1">
        <v>0</v>
      </c>
      <c r="I5618" s="1">
        <v>9.7104999999999997E-2</v>
      </c>
    </row>
    <row r="5619" spans="1:9" x14ac:dyDescent="0.25">
      <c r="A5619" s="1">
        <v>2410290714</v>
      </c>
      <c r="B5619" s="1" t="s">
        <v>3479</v>
      </c>
      <c r="C5619" s="1" t="s">
        <v>130</v>
      </c>
      <c r="D5619" s="1" t="s">
        <v>131</v>
      </c>
      <c r="E5619" s="1">
        <v>500</v>
      </c>
      <c r="F5619" s="1" t="s">
        <v>36</v>
      </c>
      <c r="G5619" s="1">
        <v>0</v>
      </c>
      <c r="H5619" s="1">
        <v>0</v>
      </c>
      <c r="I5619" s="1">
        <v>7.7679999999999999E-2</v>
      </c>
    </row>
    <row r="5620" spans="1:9" x14ac:dyDescent="0.25">
      <c r="A5620" s="1">
        <v>2410290716</v>
      </c>
      <c r="B5620" s="1" t="s">
        <v>3480</v>
      </c>
      <c r="C5620" s="1" t="s">
        <v>130</v>
      </c>
      <c r="D5620" s="1" t="s">
        <v>131</v>
      </c>
      <c r="E5620" s="1">
        <v>669</v>
      </c>
      <c r="F5620" s="1" t="s">
        <v>36</v>
      </c>
      <c r="G5620" s="1">
        <v>0</v>
      </c>
      <c r="H5620" s="1">
        <v>0</v>
      </c>
      <c r="I5620" s="1">
        <v>7.7683000000000002E-2</v>
      </c>
    </row>
    <row r="5621" spans="1:9" x14ac:dyDescent="0.25">
      <c r="A5621" s="1">
        <v>2410290717</v>
      </c>
      <c r="B5621" s="1" t="s">
        <v>3481</v>
      </c>
      <c r="C5621" s="1" t="s">
        <v>130</v>
      </c>
      <c r="D5621" s="1" t="s">
        <v>131</v>
      </c>
      <c r="E5621" s="1">
        <v>386</v>
      </c>
      <c r="F5621" s="1" t="s">
        <v>36</v>
      </c>
      <c r="G5621" s="1">
        <v>0</v>
      </c>
      <c r="H5621" s="1">
        <v>0</v>
      </c>
      <c r="I5621" s="1">
        <v>7.8031000000000003E-2</v>
      </c>
    </row>
    <row r="5622" spans="1:9" x14ac:dyDescent="0.25">
      <c r="A5622" s="1">
        <v>2410290718</v>
      </c>
      <c r="B5622" s="1" t="s">
        <v>3482</v>
      </c>
      <c r="C5622" s="1" t="s">
        <v>130</v>
      </c>
      <c r="D5622" s="1" t="s">
        <v>131</v>
      </c>
      <c r="E5622" s="1">
        <v>250</v>
      </c>
      <c r="F5622" s="1" t="s">
        <v>36</v>
      </c>
      <c r="G5622" s="1">
        <v>0</v>
      </c>
      <c r="H5622" s="1">
        <v>0</v>
      </c>
      <c r="I5622" s="1">
        <v>7.7679999999999999E-2</v>
      </c>
    </row>
    <row r="5623" spans="1:9" x14ac:dyDescent="0.25">
      <c r="A5623" s="1">
        <v>2410290727</v>
      </c>
      <c r="B5623" s="1" t="s">
        <v>3483</v>
      </c>
      <c r="C5623" s="1" t="s">
        <v>130</v>
      </c>
      <c r="D5623" s="1" t="s">
        <v>131</v>
      </c>
      <c r="E5623" s="1">
        <v>240</v>
      </c>
      <c r="F5623" s="1" t="s">
        <v>36</v>
      </c>
      <c r="G5623" s="1">
        <v>0</v>
      </c>
      <c r="H5623" s="1">
        <v>0</v>
      </c>
      <c r="I5623" s="1">
        <v>1.101667</v>
      </c>
    </row>
    <row r="5624" spans="1:9" x14ac:dyDescent="0.25">
      <c r="A5624" s="1">
        <v>2410290728</v>
      </c>
      <c r="B5624" s="1" t="s">
        <v>3484</v>
      </c>
      <c r="C5624" s="1" t="s">
        <v>130</v>
      </c>
      <c r="D5624" s="1" t="s">
        <v>131</v>
      </c>
      <c r="E5624" s="1">
        <v>67</v>
      </c>
      <c r="F5624" s="1" t="s">
        <v>36</v>
      </c>
      <c r="G5624" s="1">
        <v>0</v>
      </c>
      <c r="H5624" s="1">
        <v>0</v>
      </c>
      <c r="I5624" s="1">
        <v>0.25417899999999999</v>
      </c>
    </row>
    <row r="5625" spans="1:9" x14ac:dyDescent="0.25">
      <c r="A5625" s="1">
        <v>2410290740</v>
      </c>
      <c r="B5625" s="1" t="s">
        <v>3485</v>
      </c>
      <c r="C5625" s="1" t="s">
        <v>130</v>
      </c>
      <c r="D5625" s="1" t="s">
        <v>131</v>
      </c>
      <c r="E5625" s="1">
        <v>620</v>
      </c>
      <c r="F5625" s="1" t="s">
        <v>89</v>
      </c>
      <c r="G5625" s="1">
        <v>0</v>
      </c>
      <c r="H5625" s="1">
        <v>0</v>
      </c>
      <c r="I5625" s="1">
        <v>3.7874029999999999</v>
      </c>
    </row>
    <row r="5626" spans="1:9" x14ac:dyDescent="0.25">
      <c r="A5626" s="1">
        <v>2410290740</v>
      </c>
      <c r="B5626" s="1" t="s">
        <v>3485</v>
      </c>
      <c r="C5626" s="1" t="s">
        <v>139</v>
      </c>
      <c r="D5626" s="1" t="s">
        <v>140</v>
      </c>
      <c r="E5626" s="1">
        <v>306</v>
      </c>
      <c r="F5626" s="1" t="s">
        <v>89</v>
      </c>
      <c r="G5626" s="1">
        <v>0</v>
      </c>
      <c r="H5626" s="1">
        <v>0</v>
      </c>
      <c r="I5626" s="1">
        <v>3.7873860000000001</v>
      </c>
    </row>
    <row r="5627" spans="1:9" x14ac:dyDescent="0.25">
      <c r="A5627" s="1">
        <v>2410290750</v>
      </c>
      <c r="B5627" s="1" t="s">
        <v>3486</v>
      </c>
      <c r="C5627" s="1" t="s">
        <v>130</v>
      </c>
      <c r="D5627" s="1" t="s">
        <v>131</v>
      </c>
      <c r="E5627" s="1">
        <v>47</v>
      </c>
      <c r="F5627" s="1" t="s">
        <v>36</v>
      </c>
      <c r="G5627" s="1">
        <v>0</v>
      </c>
      <c r="H5627" s="1">
        <v>0</v>
      </c>
      <c r="I5627" s="1">
        <v>0.55085099999999998</v>
      </c>
    </row>
    <row r="5628" spans="1:9" x14ac:dyDescent="0.25">
      <c r="A5628" s="1">
        <v>2410290754</v>
      </c>
      <c r="B5628" s="1" t="s">
        <v>3487</v>
      </c>
      <c r="C5628" s="1" t="s">
        <v>130</v>
      </c>
      <c r="D5628" s="1" t="s">
        <v>131</v>
      </c>
      <c r="E5628" s="1">
        <v>70</v>
      </c>
      <c r="F5628" s="1" t="s">
        <v>36</v>
      </c>
      <c r="G5628" s="1">
        <v>0</v>
      </c>
      <c r="H5628" s="1">
        <v>0</v>
      </c>
      <c r="I5628" s="1">
        <v>0.82499999999999996</v>
      </c>
    </row>
    <row r="5629" spans="1:9" x14ac:dyDescent="0.25">
      <c r="A5629" s="1">
        <v>2410290754</v>
      </c>
      <c r="B5629" s="1" t="s">
        <v>3487</v>
      </c>
      <c r="C5629" s="1" t="s">
        <v>157</v>
      </c>
      <c r="D5629" s="1" t="s">
        <v>158</v>
      </c>
      <c r="E5629" s="1">
        <v>20</v>
      </c>
      <c r="F5629" s="1" t="s">
        <v>36</v>
      </c>
      <c r="G5629" s="1">
        <v>0</v>
      </c>
      <c r="H5629" s="1">
        <v>0</v>
      </c>
      <c r="I5629" s="1">
        <v>0.82499999999999996</v>
      </c>
    </row>
    <row r="5630" spans="1:9" x14ac:dyDescent="0.25">
      <c r="A5630" s="1">
        <v>2410290761</v>
      </c>
      <c r="B5630" s="1" t="s">
        <v>3488</v>
      </c>
      <c r="C5630" s="1" t="s">
        <v>130</v>
      </c>
      <c r="D5630" s="1" t="s">
        <v>131</v>
      </c>
      <c r="E5630" s="1">
        <v>150</v>
      </c>
      <c r="F5630" s="1" t="s">
        <v>36</v>
      </c>
      <c r="G5630" s="1">
        <v>0</v>
      </c>
      <c r="H5630" s="1">
        <v>0</v>
      </c>
      <c r="I5630" s="1">
        <v>1.1864669999999999</v>
      </c>
    </row>
    <row r="5631" spans="1:9" x14ac:dyDescent="0.25">
      <c r="A5631" s="1">
        <v>2410290763</v>
      </c>
      <c r="B5631" s="1" t="s">
        <v>3489</v>
      </c>
      <c r="C5631" s="1" t="s">
        <v>130</v>
      </c>
      <c r="D5631" s="1" t="s">
        <v>131</v>
      </c>
      <c r="E5631" s="1">
        <v>57</v>
      </c>
      <c r="F5631" s="1" t="s">
        <v>36</v>
      </c>
      <c r="G5631" s="1">
        <v>0</v>
      </c>
      <c r="H5631" s="1">
        <v>0</v>
      </c>
      <c r="I5631" s="1">
        <v>0.25421100000000002</v>
      </c>
    </row>
    <row r="5632" spans="1:9" x14ac:dyDescent="0.25">
      <c r="A5632" s="1">
        <v>2410290764</v>
      </c>
      <c r="B5632" s="1" t="s">
        <v>3490</v>
      </c>
      <c r="C5632" s="1" t="s">
        <v>130</v>
      </c>
      <c r="D5632" s="1" t="s">
        <v>131</v>
      </c>
      <c r="E5632" s="3">
        <v>2260</v>
      </c>
      <c r="F5632" s="1" t="s">
        <v>36</v>
      </c>
      <c r="G5632" s="1">
        <v>0</v>
      </c>
      <c r="H5632" s="1">
        <v>0</v>
      </c>
      <c r="I5632" s="1">
        <v>0.144071</v>
      </c>
    </row>
    <row r="5633" spans="1:9" x14ac:dyDescent="0.25">
      <c r="A5633" s="1">
        <v>2410290765</v>
      </c>
      <c r="B5633" s="1" t="s">
        <v>3491</v>
      </c>
      <c r="C5633" s="1" t="s">
        <v>130</v>
      </c>
      <c r="D5633" s="1" t="s">
        <v>131</v>
      </c>
      <c r="E5633" s="3">
        <v>2066</v>
      </c>
      <c r="F5633" s="1" t="s">
        <v>36</v>
      </c>
      <c r="G5633" s="1">
        <v>0</v>
      </c>
      <c r="H5633" s="1">
        <v>0</v>
      </c>
      <c r="I5633" s="1">
        <v>0.144071</v>
      </c>
    </row>
    <row r="5634" spans="1:9" x14ac:dyDescent="0.25">
      <c r="A5634" s="1">
        <v>2410290766</v>
      </c>
      <c r="B5634" s="1" t="s">
        <v>3492</v>
      </c>
      <c r="C5634" s="1" t="s">
        <v>130</v>
      </c>
      <c r="D5634" s="1" t="s">
        <v>131</v>
      </c>
      <c r="E5634" s="1">
        <v>100</v>
      </c>
      <c r="F5634" s="1" t="s">
        <v>36</v>
      </c>
      <c r="G5634" s="1">
        <v>0</v>
      </c>
      <c r="H5634" s="1">
        <v>0</v>
      </c>
      <c r="I5634" s="1">
        <v>0.14860000000000001</v>
      </c>
    </row>
    <row r="5635" spans="1:9" x14ac:dyDescent="0.25">
      <c r="A5635" s="1">
        <v>2410290767</v>
      </c>
      <c r="B5635" s="1" t="s">
        <v>3493</v>
      </c>
      <c r="C5635" s="1" t="s">
        <v>130</v>
      </c>
      <c r="D5635" s="1" t="s">
        <v>131</v>
      </c>
      <c r="E5635" s="3">
        <v>1900</v>
      </c>
      <c r="F5635" s="1" t="s">
        <v>36</v>
      </c>
      <c r="G5635" s="1">
        <v>0</v>
      </c>
      <c r="H5635" s="3">
        <v>5000</v>
      </c>
      <c r="I5635" s="1">
        <v>0.14407400000000001</v>
      </c>
    </row>
    <row r="5636" spans="1:9" x14ac:dyDescent="0.25">
      <c r="A5636" s="1">
        <v>2410290768</v>
      </c>
      <c r="B5636" s="1" t="s">
        <v>3494</v>
      </c>
      <c r="C5636" s="1" t="s">
        <v>130</v>
      </c>
      <c r="D5636" s="1" t="s">
        <v>131</v>
      </c>
      <c r="E5636" s="1">
        <v>412</v>
      </c>
      <c r="F5636" s="1" t="s">
        <v>36</v>
      </c>
      <c r="G5636" s="1">
        <v>0</v>
      </c>
      <c r="H5636" s="1">
        <v>0</v>
      </c>
      <c r="I5636" s="1">
        <v>0.161019</v>
      </c>
    </row>
    <row r="5637" spans="1:9" x14ac:dyDescent="0.25">
      <c r="A5637" s="1">
        <v>2410290770</v>
      </c>
      <c r="B5637" s="1" t="s">
        <v>3495</v>
      </c>
      <c r="C5637" s="1" t="s">
        <v>130</v>
      </c>
      <c r="D5637" s="1" t="s">
        <v>131</v>
      </c>
      <c r="E5637" s="1">
        <v>50</v>
      </c>
      <c r="F5637" s="1" t="s">
        <v>36</v>
      </c>
      <c r="G5637" s="1">
        <v>0</v>
      </c>
      <c r="H5637" s="1">
        <v>0</v>
      </c>
      <c r="I5637" s="1">
        <v>0.16600000000000001</v>
      </c>
    </row>
    <row r="5638" spans="1:9" x14ac:dyDescent="0.25">
      <c r="A5638" s="1">
        <v>2410290771</v>
      </c>
      <c r="B5638" s="1" t="s">
        <v>3496</v>
      </c>
      <c r="C5638" s="1" t="s">
        <v>130</v>
      </c>
      <c r="D5638" s="1" t="s">
        <v>131</v>
      </c>
      <c r="E5638" s="3">
        <v>1511</v>
      </c>
      <c r="F5638" s="1" t="s">
        <v>36</v>
      </c>
      <c r="G5638" s="1">
        <v>0</v>
      </c>
      <c r="H5638" s="1">
        <v>0</v>
      </c>
      <c r="I5638" s="1">
        <v>0.14415</v>
      </c>
    </row>
    <row r="5639" spans="1:9" x14ac:dyDescent="0.25">
      <c r="A5639" s="1">
        <v>2410290772</v>
      </c>
      <c r="B5639" s="1" t="s">
        <v>3497</v>
      </c>
      <c r="C5639" s="1" t="s">
        <v>130</v>
      </c>
      <c r="D5639" s="1" t="s">
        <v>131</v>
      </c>
      <c r="E5639" s="1">
        <v>0</v>
      </c>
      <c r="F5639" s="1" t="s">
        <v>36</v>
      </c>
      <c r="G5639" s="1">
        <v>0</v>
      </c>
      <c r="H5639" s="3">
        <v>2000</v>
      </c>
      <c r="I5639" s="1">
        <v>0</v>
      </c>
    </row>
    <row r="5640" spans="1:9" x14ac:dyDescent="0.25">
      <c r="A5640" s="1">
        <v>2410290773</v>
      </c>
      <c r="B5640" s="1" t="s">
        <v>3498</v>
      </c>
      <c r="C5640" s="1" t="s">
        <v>130</v>
      </c>
      <c r="D5640" s="1" t="s">
        <v>131</v>
      </c>
      <c r="E5640" s="3">
        <v>2261</v>
      </c>
      <c r="F5640" s="1" t="s">
        <v>36</v>
      </c>
      <c r="G5640" s="1">
        <v>0</v>
      </c>
      <c r="H5640" s="3">
        <v>1500</v>
      </c>
      <c r="I5640" s="1">
        <v>0.144069</v>
      </c>
    </row>
    <row r="5641" spans="1:9" x14ac:dyDescent="0.25">
      <c r="A5641" s="1">
        <v>2410290775</v>
      </c>
      <c r="B5641" s="1" t="s">
        <v>3499</v>
      </c>
      <c r="C5641" s="1" t="s">
        <v>130</v>
      </c>
      <c r="D5641" s="1" t="s">
        <v>131</v>
      </c>
      <c r="E5641" s="3">
        <v>1600</v>
      </c>
      <c r="F5641" s="1" t="s">
        <v>36</v>
      </c>
      <c r="G5641" s="3">
        <v>0</v>
      </c>
      <c r="H5641" s="3">
        <v>0</v>
      </c>
      <c r="I5641" s="1">
        <v>0.14435000000000001</v>
      </c>
    </row>
    <row r="5642" spans="1:9" x14ac:dyDescent="0.25">
      <c r="A5642" s="1">
        <v>2410290776</v>
      </c>
      <c r="B5642" s="1" t="s">
        <v>3500</v>
      </c>
      <c r="C5642" s="1" t="s">
        <v>130</v>
      </c>
      <c r="D5642" s="1" t="s">
        <v>131</v>
      </c>
      <c r="E5642" s="3">
        <v>1862</v>
      </c>
      <c r="F5642" s="1" t="s">
        <v>36</v>
      </c>
      <c r="G5642" s="3">
        <v>0</v>
      </c>
      <c r="H5642" s="3">
        <v>2000</v>
      </c>
      <c r="I5642" s="1">
        <v>0.14436599999999999</v>
      </c>
    </row>
    <row r="5643" spans="1:9" x14ac:dyDescent="0.25">
      <c r="A5643" s="1">
        <v>2410290784</v>
      </c>
      <c r="B5643" s="1" t="s">
        <v>3501</v>
      </c>
      <c r="C5643" s="1" t="s">
        <v>130</v>
      </c>
      <c r="D5643" s="1" t="s">
        <v>131</v>
      </c>
      <c r="E5643" s="3">
        <v>15781</v>
      </c>
      <c r="F5643" s="1" t="s">
        <v>89</v>
      </c>
      <c r="G5643" s="3">
        <v>5500</v>
      </c>
      <c r="H5643" s="3">
        <v>1422</v>
      </c>
      <c r="I5643" s="1">
        <v>3.1981120000000001</v>
      </c>
    </row>
    <row r="5644" spans="1:9" x14ac:dyDescent="0.25">
      <c r="A5644" s="1">
        <v>2410290784</v>
      </c>
      <c r="B5644" s="1" t="s">
        <v>3501</v>
      </c>
      <c r="C5644" s="1" t="s">
        <v>1698</v>
      </c>
      <c r="D5644" s="1" t="s">
        <v>1699</v>
      </c>
      <c r="E5644" s="3">
        <v>4799.3999999999996</v>
      </c>
      <c r="F5644" s="1" t="s">
        <v>89</v>
      </c>
      <c r="G5644" s="3">
        <v>0</v>
      </c>
      <c r="H5644" s="3">
        <v>5500</v>
      </c>
      <c r="I5644" s="1">
        <v>3.1981120000000001</v>
      </c>
    </row>
    <row r="5645" spans="1:9" x14ac:dyDescent="0.25">
      <c r="A5645" s="1">
        <v>2410290784</v>
      </c>
      <c r="B5645" s="1" t="s">
        <v>3501</v>
      </c>
      <c r="C5645" s="1" t="s">
        <v>139</v>
      </c>
      <c r="D5645" s="1" t="s">
        <v>140</v>
      </c>
      <c r="E5645" s="3">
        <v>238989</v>
      </c>
      <c r="F5645" s="1" t="s">
        <v>89</v>
      </c>
      <c r="G5645" s="3">
        <v>0</v>
      </c>
      <c r="H5645" s="1">
        <v>0</v>
      </c>
      <c r="I5645" s="1">
        <v>3.1981120000000001</v>
      </c>
    </row>
    <row r="5646" spans="1:9" x14ac:dyDescent="0.25">
      <c r="A5646" s="1">
        <v>2410290785</v>
      </c>
      <c r="B5646" s="1" t="s">
        <v>3502</v>
      </c>
      <c r="C5646" s="1" t="s">
        <v>130</v>
      </c>
      <c r="D5646" s="1" t="s">
        <v>131</v>
      </c>
      <c r="E5646" s="3">
        <v>9730</v>
      </c>
      <c r="F5646" s="1" t="s">
        <v>89</v>
      </c>
      <c r="G5646" s="3">
        <v>0</v>
      </c>
      <c r="H5646" s="3">
        <v>140859</v>
      </c>
      <c r="I5646" s="1">
        <v>3.189279</v>
      </c>
    </row>
    <row r="5647" spans="1:9" x14ac:dyDescent="0.25">
      <c r="A5647" s="1">
        <v>2410290785</v>
      </c>
      <c r="B5647" s="1" t="s">
        <v>3502</v>
      </c>
      <c r="C5647" s="1" t="s">
        <v>1698</v>
      </c>
      <c r="D5647" s="1" t="s">
        <v>1699</v>
      </c>
      <c r="E5647" s="3">
        <v>12749.928</v>
      </c>
      <c r="F5647" s="1" t="s">
        <v>89</v>
      </c>
      <c r="G5647" s="3">
        <v>2859</v>
      </c>
      <c r="H5647" s="1">
        <v>0</v>
      </c>
      <c r="I5647" s="1">
        <v>3.189279</v>
      </c>
    </row>
    <row r="5648" spans="1:9" x14ac:dyDescent="0.25">
      <c r="A5648" s="1">
        <v>2410290785</v>
      </c>
      <c r="B5648" s="1" t="s">
        <v>3502</v>
      </c>
      <c r="C5648" s="1" t="s">
        <v>523</v>
      </c>
      <c r="D5648" s="1" t="s">
        <v>524</v>
      </c>
      <c r="E5648" s="1">
        <v>496</v>
      </c>
      <c r="F5648" s="1" t="s">
        <v>89</v>
      </c>
      <c r="G5648" s="1">
        <v>0</v>
      </c>
      <c r="H5648" s="1">
        <v>0</v>
      </c>
      <c r="I5648" s="1">
        <v>3.1893150000000001</v>
      </c>
    </row>
    <row r="5649" spans="1:9" x14ac:dyDescent="0.25">
      <c r="A5649" s="1">
        <v>2410290785</v>
      </c>
      <c r="B5649" s="1" t="s">
        <v>3502</v>
      </c>
      <c r="C5649" s="1" t="s">
        <v>139</v>
      </c>
      <c r="D5649" s="1" t="s">
        <v>140</v>
      </c>
      <c r="E5649" s="3">
        <v>106961</v>
      </c>
      <c r="F5649" s="1" t="s">
        <v>89</v>
      </c>
      <c r="G5649" s="1">
        <v>0</v>
      </c>
      <c r="H5649" s="1">
        <v>0</v>
      </c>
      <c r="I5649" s="1">
        <v>3.1892770000000001</v>
      </c>
    </row>
    <row r="5650" spans="1:9" x14ac:dyDescent="0.25">
      <c r="A5650" s="1">
        <v>2410290790</v>
      </c>
      <c r="B5650" s="1" t="s">
        <v>3503</v>
      </c>
      <c r="C5650" s="1" t="s">
        <v>130</v>
      </c>
      <c r="D5650" s="1" t="s">
        <v>131</v>
      </c>
      <c r="E5650" s="1">
        <v>20</v>
      </c>
      <c r="F5650" s="1" t="s">
        <v>36</v>
      </c>
      <c r="G5650" s="1">
        <v>0</v>
      </c>
      <c r="H5650" s="1">
        <v>0</v>
      </c>
      <c r="I5650" s="1">
        <v>2.9620000000000002</v>
      </c>
    </row>
    <row r="5651" spans="1:9" x14ac:dyDescent="0.25">
      <c r="A5651" s="1">
        <v>2410290791</v>
      </c>
      <c r="B5651" s="1" t="s">
        <v>3504</v>
      </c>
      <c r="C5651" s="1" t="s">
        <v>130</v>
      </c>
      <c r="D5651" s="1" t="s">
        <v>131</v>
      </c>
      <c r="E5651" s="1">
        <v>78.5</v>
      </c>
      <c r="F5651" s="1" t="s">
        <v>89</v>
      </c>
      <c r="G5651" s="1">
        <v>0</v>
      </c>
      <c r="H5651" s="1">
        <v>0</v>
      </c>
      <c r="I5651" s="1">
        <v>4.8219110000000001</v>
      </c>
    </row>
    <row r="5652" spans="1:9" x14ac:dyDescent="0.25">
      <c r="A5652" s="1">
        <v>2410290792</v>
      </c>
      <c r="B5652" s="1" t="s">
        <v>3505</v>
      </c>
      <c r="C5652" s="1" t="s">
        <v>130</v>
      </c>
      <c r="D5652" s="1" t="s">
        <v>131</v>
      </c>
      <c r="E5652" s="1">
        <v>4.05</v>
      </c>
      <c r="F5652" s="1" t="s">
        <v>89</v>
      </c>
      <c r="G5652" s="3">
        <v>0</v>
      </c>
      <c r="H5652" s="1">
        <v>0</v>
      </c>
      <c r="I5652" s="1">
        <v>148.27901199999999</v>
      </c>
    </row>
    <row r="5653" spans="1:9" x14ac:dyDescent="0.25">
      <c r="A5653" s="1">
        <v>2410290793</v>
      </c>
      <c r="B5653" s="1" t="s">
        <v>3506</v>
      </c>
      <c r="C5653" s="1" t="s">
        <v>130</v>
      </c>
      <c r="D5653" s="1" t="s">
        <v>131</v>
      </c>
      <c r="E5653" s="1">
        <v>508</v>
      </c>
      <c r="F5653" s="1" t="s">
        <v>36</v>
      </c>
      <c r="G5653" s="1">
        <v>0</v>
      </c>
      <c r="H5653" s="1">
        <v>0</v>
      </c>
      <c r="I5653" s="1">
        <v>0.346024</v>
      </c>
    </row>
    <row r="5654" spans="1:9" x14ac:dyDescent="0.25">
      <c r="A5654" s="1">
        <v>2410290794</v>
      </c>
      <c r="B5654" s="1" t="s">
        <v>3507</v>
      </c>
      <c r="C5654" s="1" t="s">
        <v>130</v>
      </c>
      <c r="D5654" s="1" t="s">
        <v>131</v>
      </c>
      <c r="E5654" s="1">
        <v>830</v>
      </c>
      <c r="F5654" s="1" t="s">
        <v>36</v>
      </c>
      <c r="G5654" s="1">
        <v>0</v>
      </c>
      <c r="H5654" s="1">
        <v>0</v>
      </c>
      <c r="I5654" s="1">
        <v>4.7964E-2</v>
      </c>
    </row>
    <row r="5655" spans="1:9" x14ac:dyDescent="0.25">
      <c r="A5655" s="1">
        <v>2410290795</v>
      </c>
      <c r="B5655" s="1" t="s">
        <v>3508</v>
      </c>
      <c r="C5655" s="1" t="s">
        <v>130</v>
      </c>
      <c r="D5655" s="1" t="s">
        <v>131</v>
      </c>
      <c r="E5655" s="1">
        <v>440</v>
      </c>
      <c r="F5655" s="1" t="s">
        <v>36</v>
      </c>
      <c r="G5655" s="1">
        <v>0</v>
      </c>
      <c r="H5655" s="1">
        <v>0</v>
      </c>
      <c r="I5655" s="1">
        <v>1.6955000000000001E-2</v>
      </c>
    </row>
    <row r="5656" spans="1:9" x14ac:dyDescent="0.25">
      <c r="A5656" s="1">
        <v>2410290796</v>
      </c>
      <c r="B5656" s="1" t="s">
        <v>3509</v>
      </c>
      <c r="C5656" s="1" t="s">
        <v>130</v>
      </c>
      <c r="D5656" s="1" t="s">
        <v>131</v>
      </c>
      <c r="E5656" s="1">
        <v>1</v>
      </c>
      <c r="F5656" s="1" t="s">
        <v>1015</v>
      </c>
      <c r="G5656" s="1">
        <v>0</v>
      </c>
      <c r="H5656" s="1">
        <v>0</v>
      </c>
      <c r="I5656" s="1">
        <v>294.67</v>
      </c>
    </row>
    <row r="5657" spans="1:9" x14ac:dyDescent="0.25">
      <c r="A5657" s="1">
        <v>2410290797</v>
      </c>
      <c r="B5657" s="1" t="s">
        <v>3510</v>
      </c>
      <c r="C5657" s="1" t="s">
        <v>130</v>
      </c>
      <c r="D5657" s="1" t="s">
        <v>131</v>
      </c>
      <c r="E5657" s="1">
        <v>362</v>
      </c>
      <c r="F5657" s="1" t="s">
        <v>36</v>
      </c>
      <c r="G5657" s="3">
        <v>0</v>
      </c>
      <c r="H5657" s="1">
        <v>0</v>
      </c>
      <c r="I5657" s="1">
        <v>0.17502799999999999</v>
      </c>
    </row>
    <row r="5658" spans="1:9" x14ac:dyDescent="0.25">
      <c r="A5658" s="1">
        <v>2410290806</v>
      </c>
      <c r="B5658" s="1" t="s">
        <v>3511</v>
      </c>
      <c r="C5658" s="1" t="s">
        <v>1698</v>
      </c>
      <c r="D5658" s="1" t="s">
        <v>1699</v>
      </c>
      <c r="E5658" s="1">
        <v>21.25</v>
      </c>
      <c r="F5658" s="1" t="s">
        <v>89</v>
      </c>
      <c r="G5658" s="1">
        <v>0</v>
      </c>
      <c r="H5658" s="1">
        <v>0</v>
      </c>
      <c r="I5658" s="1">
        <v>2.7632940000000001</v>
      </c>
    </row>
    <row r="5659" spans="1:9" x14ac:dyDescent="0.25">
      <c r="A5659" s="1">
        <v>2410290808</v>
      </c>
      <c r="B5659" s="1" t="s">
        <v>3512</v>
      </c>
      <c r="C5659" s="1" t="s">
        <v>523</v>
      </c>
      <c r="D5659" s="1" t="s">
        <v>524</v>
      </c>
      <c r="E5659" s="1">
        <v>514.4</v>
      </c>
      <c r="F5659" s="1" t="s">
        <v>89</v>
      </c>
      <c r="G5659" s="1">
        <v>0</v>
      </c>
      <c r="H5659" s="1">
        <v>0</v>
      </c>
      <c r="I5659" s="1">
        <v>4.5715589999999997</v>
      </c>
    </row>
    <row r="5660" spans="1:9" x14ac:dyDescent="0.25">
      <c r="A5660" s="1">
        <v>2410290810</v>
      </c>
      <c r="B5660" s="1" t="s">
        <v>3513</v>
      </c>
      <c r="C5660" s="1" t="s">
        <v>130</v>
      </c>
      <c r="D5660" s="1" t="s">
        <v>131</v>
      </c>
      <c r="E5660" s="1">
        <v>11.27</v>
      </c>
      <c r="F5660" s="1" t="s">
        <v>89</v>
      </c>
      <c r="G5660" s="1">
        <v>0</v>
      </c>
      <c r="H5660" s="1">
        <v>0</v>
      </c>
      <c r="I5660" s="1">
        <v>62.551020000000001</v>
      </c>
    </row>
    <row r="5661" spans="1:9" x14ac:dyDescent="0.25">
      <c r="A5661" s="1">
        <v>2410290811</v>
      </c>
      <c r="B5661" s="1" t="s">
        <v>3514</v>
      </c>
      <c r="C5661" s="1" t="s">
        <v>130</v>
      </c>
      <c r="D5661" s="1" t="s">
        <v>131</v>
      </c>
      <c r="E5661" s="1">
        <v>11.5</v>
      </c>
      <c r="F5661" s="1" t="s">
        <v>89</v>
      </c>
      <c r="G5661" s="1">
        <v>0</v>
      </c>
      <c r="H5661" s="1">
        <v>0</v>
      </c>
      <c r="I5661" s="1">
        <v>51.967826000000002</v>
      </c>
    </row>
    <row r="5662" spans="1:9" x14ac:dyDescent="0.25">
      <c r="A5662" s="1">
        <v>2410290812</v>
      </c>
      <c r="B5662" s="1" t="s">
        <v>3515</v>
      </c>
      <c r="C5662" s="1" t="s">
        <v>130</v>
      </c>
      <c r="D5662" s="1" t="s">
        <v>131</v>
      </c>
      <c r="E5662" s="1">
        <v>11.42</v>
      </c>
      <c r="F5662" s="1" t="s">
        <v>89</v>
      </c>
      <c r="G5662" s="1">
        <v>0</v>
      </c>
      <c r="H5662" s="1">
        <v>0</v>
      </c>
      <c r="I5662" s="1">
        <v>51.968476000000003</v>
      </c>
    </row>
    <row r="5663" spans="1:9" x14ac:dyDescent="0.25">
      <c r="A5663" s="1">
        <v>2410290813</v>
      </c>
      <c r="B5663" s="1" t="s">
        <v>3516</v>
      </c>
      <c r="C5663" s="1" t="s">
        <v>130</v>
      </c>
      <c r="D5663" s="1" t="s">
        <v>131</v>
      </c>
      <c r="E5663" s="3">
        <v>11.5</v>
      </c>
      <c r="F5663" s="1" t="s">
        <v>89</v>
      </c>
      <c r="G5663" s="1">
        <v>0</v>
      </c>
      <c r="H5663" s="1">
        <v>0</v>
      </c>
      <c r="I5663" s="1">
        <v>51.967826000000002</v>
      </c>
    </row>
    <row r="5664" spans="1:9" x14ac:dyDescent="0.25">
      <c r="A5664" s="1">
        <v>2410290815</v>
      </c>
      <c r="B5664" s="1" t="s">
        <v>3517</v>
      </c>
      <c r="C5664" s="1" t="s">
        <v>130</v>
      </c>
      <c r="D5664" s="1" t="s">
        <v>131</v>
      </c>
      <c r="E5664" s="1">
        <v>100</v>
      </c>
      <c r="F5664" s="1" t="s">
        <v>89</v>
      </c>
      <c r="G5664" s="1">
        <v>0</v>
      </c>
      <c r="H5664" s="1">
        <v>0</v>
      </c>
      <c r="I5664" s="1">
        <v>5.8719999999999999</v>
      </c>
    </row>
    <row r="5665" spans="1:9" x14ac:dyDescent="0.25">
      <c r="A5665" s="1">
        <v>2410290816</v>
      </c>
      <c r="B5665" s="1" t="s">
        <v>3518</v>
      </c>
      <c r="C5665" s="1" t="s">
        <v>130</v>
      </c>
      <c r="D5665" s="1" t="s">
        <v>131</v>
      </c>
      <c r="E5665" s="1">
        <v>25</v>
      </c>
      <c r="F5665" s="1" t="s">
        <v>89</v>
      </c>
      <c r="G5665" s="1">
        <v>0</v>
      </c>
      <c r="H5665" s="1">
        <v>0</v>
      </c>
      <c r="I5665" s="1">
        <v>6.7847999999999997</v>
      </c>
    </row>
    <row r="5666" spans="1:9" x14ac:dyDescent="0.25">
      <c r="A5666" s="1">
        <v>2410290819</v>
      </c>
      <c r="B5666" s="1" t="s">
        <v>3519</v>
      </c>
      <c r="C5666" s="1" t="s">
        <v>130</v>
      </c>
      <c r="D5666" s="1" t="s">
        <v>131</v>
      </c>
      <c r="E5666" s="3">
        <v>40000</v>
      </c>
      <c r="F5666" s="1" t="s">
        <v>36</v>
      </c>
      <c r="G5666" s="1">
        <v>0</v>
      </c>
      <c r="H5666" s="1">
        <v>0</v>
      </c>
      <c r="I5666" s="1">
        <v>9.8796999999999996E-2</v>
      </c>
    </row>
    <row r="5667" spans="1:9" x14ac:dyDescent="0.25">
      <c r="A5667" s="1">
        <v>2410290820</v>
      </c>
      <c r="B5667" s="1" t="s">
        <v>3520</v>
      </c>
      <c r="C5667" s="1" t="s">
        <v>130</v>
      </c>
      <c r="D5667" s="1" t="s">
        <v>131</v>
      </c>
      <c r="E5667" s="1">
        <v>272.24</v>
      </c>
      <c r="F5667" s="1" t="s">
        <v>89</v>
      </c>
      <c r="G5667" s="1">
        <v>0</v>
      </c>
      <c r="H5667" s="1">
        <v>0</v>
      </c>
      <c r="I5667" s="1">
        <v>4.5417649999999998</v>
      </c>
    </row>
    <row r="5668" spans="1:9" x14ac:dyDescent="0.25">
      <c r="A5668" s="1">
        <v>2410290820</v>
      </c>
      <c r="B5668" s="1" t="s">
        <v>3520</v>
      </c>
      <c r="C5668" s="1" t="s">
        <v>144</v>
      </c>
      <c r="D5668" s="1" t="s">
        <v>145</v>
      </c>
      <c r="E5668" s="1">
        <v>226.8</v>
      </c>
      <c r="F5668" s="1" t="s">
        <v>89</v>
      </c>
      <c r="G5668" s="1">
        <v>0</v>
      </c>
      <c r="H5668" s="1">
        <v>0</v>
      </c>
      <c r="I5668" s="1">
        <v>4.5417990000000001</v>
      </c>
    </row>
    <row r="5669" spans="1:9" x14ac:dyDescent="0.25">
      <c r="A5669" s="1">
        <v>2410290824</v>
      </c>
      <c r="B5669" s="1" t="s">
        <v>3521</v>
      </c>
      <c r="C5669" s="1" t="s">
        <v>130</v>
      </c>
      <c r="D5669" s="1" t="s">
        <v>131</v>
      </c>
      <c r="E5669" s="3">
        <v>11000</v>
      </c>
      <c r="F5669" s="1" t="s">
        <v>36</v>
      </c>
      <c r="G5669" s="1">
        <v>0</v>
      </c>
      <c r="H5669" s="1">
        <v>0</v>
      </c>
      <c r="I5669" s="1">
        <v>0.144068</v>
      </c>
    </row>
    <row r="5670" spans="1:9" x14ac:dyDescent="0.25">
      <c r="A5670" s="1">
        <v>2410290825</v>
      </c>
      <c r="B5670" s="1" t="s">
        <v>3522</v>
      </c>
      <c r="C5670" s="1" t="s">
        <v>130</v>
      </c>
      <c r="D5670" s="1" t="s">
        <v>131</v>
      </c>
      <c r="E5670" s="3">
        <v>500</v>
      </c>
      <c r="F5670" s="1" t="s">
        <v>36</v>
      </c>
      <c r="G5670" s="1">
        <v>0</v>
      </c>
      <c r="H5670" s="1">
        <v>0</v>
      </c>
      <c r="I5670" s="1">
        <v>0.14405999999999999</v>
      </c>
    </row>
    <row r="5671" spans="1:9" x14ac:dyDescent="0.25">
      <c r="A5671" s="1">
        <v>2410290826</v>
      </c>
      <c r="B5671" s="1" t="s">
        <v>3523</v>
      </c>
      <c r="C5671" s="1" t="s">
        <v>130</v>
      </c>
      <c r="D5671" s="1" t="s">
        <v>131</v>
      </c>
      <c r="E5671" s="3">
        <v>14149.875</v>
      </c>
      <c r="F5671" s="1" t="s">
        <v>89</v>
      </c>
      <c r="G5671" s="1">
        <v>0</v>
      </c>
      <c r="H5671" s="1">
        <v>0</v>
      </c>
      <c r="I5671" s="1">
        <v>3.4307850000000002</v>
      </c>
    </row>
    <row r="5672" spans="1:9" x14ac:dyDescent="0.25">
      <c r="A5672" s="1">
        <v>2410290826</v>
      </c>
      <c r="B5672" s="1" t="s">
        <v>3523</v>
      </c>
      <c r="C5672" s="1" t="s">
        <v>126</v>
      </c>
      <c r="D5672" s="1" t="s">
        <v>127</v>
      </c>
      <c r="E5672" s="3">
        <v>10521</v>
      </c>
      <c r="F5672" s="1" t="s">
        <v>89</v>
      </c>
      <c r="G5672" s="1">
        <v>0</v>
      </c>
      <c r="H5672" s="1">
        <v>0</v>
      </c>
      <c r="I5672" s="1">
        <v>3.4307850000000002</v>
      </c>
    </row>
    <row r="5673" spans="1:9" x14ac:dyDescent="0.25">
      <c r="A5673" s="1">
        <v>2410290826</v>
      </c>
      <c r="B5673" s="1" t="s">
        <v>3523</v>
      </c>
      <c r="C5673" s="1" t="s">
        <v>523</v>
      </c>
      <c r="D5673" s="1" t="s">
        <v>524</v>
      </c>
      <c r="E5673" s="1">
        <v>270.8</v>
      </c>
      <c r="F5673" s="1" t="s">
        <v>89</v>
      </c>
      <c r="G5673" s="1">
        <v>0</v>
      </c>
      <c r="H5673" s="1">
        <v>0</v>
      </c>
      <c r="I5673" s="1">
        <v>3.4307979999999998</v>
      </c>
    </row>
    <row r="5674" spans="1:9" x14ac:dyDescent="0.25">
      <c r="A5674" s="1">
        <v>2410290826</v>
      </c>
      <c r="B5674" s="1" t="s">
        <v>3523</v>
      </c>
      <c r="C5674" s="1" t="s">
        <v>139</v>
      </c>
      <c r="D5674" s="1" t="s">
        <v>140</v>
      </c>
      <c r="E5674" s="3">
        <v>36017</v>
      </c>
      <c r="F5674" s="1" t="s">
        <v>89</v>
      </c>
      <c r="G5674" s="1">
        <v>0</v>
      </c>
      <c r="H5674" s="1">
        <v>0</v>
      </c>
      <c r="I5674" s="1">
        <v>3.4307850000000002</v>
      </c>
    </row>
    <row r="5675" spans="1:9" x14ac:dyDescent="0.25">
      <c r="A5675" s="1">
        <v>2410290827</v>
      </c>
      <c r="B5675" s="1" t="s">
        <v>3524</v>
      </c>
      <c r="C5675" s="1" t="s">
        <v>130</v>
      </c>
      <c r="D5675" s="1" t="s">
        <v>131</v>
      </c>
      <c r="E5675" s="1">
        <v>602.70000000000005</v>
      </c>
      <c r="F5675" s="1" t="s">
        <v>89</v>
      </c>
      <c r="G5675" s="1">
        <v>0</v>
      </c>
      <c r="H5675" s="1">
        <v>0</v>
      </c>
      <c r="I5675" s="1">
        <v>8.7861949999999993</v>
      </c>
    </row>
    <row r="5676" spans="1:9" x14ac:dyDescent="0.25">
      <c r="A5676" s="1">
        <v>2410290828</v>
      </c>
      <c r="B5676" s="1" t="s">
        <v>3525</v>
      </c>
      <c r="C5676" s="1" t="s">
        <v>130</v>
      </c>
      <c r="D5676" s="1" t="s">
        <v>131</v>
      </c>
      <c r="E5676" s="1">
        <v>569</v>
      </c>
      <c r="F5676" s="1" t="s">
        <v>36</v>
      </c>
      <c r="G5676" s="1">
        <v>0</v>
      </c>
      <c r="H5676" s="1">
        <v>0</v>
      </c>
      <c r="I5676" s="1">
        <v>0.15254799999999999</v>
      </c>
    </row>
    <row r="5677" spans="1:9" x14ac:dyDescent="0.25">
      <c r="A5677" s="1">
        <v>2410290831</v>
      </c>
      <c r="B5677" s="1" t="s">
        <v>3526</v>
      </c>
      <c r="C5677" s="1" t="s">
        <v>130</v>
      </c>
      <c r="D5677" s="1" t="s">
        <v>131</v>
      </c>
      <c r="E5677" s="1">
        <v>0</v>
      </c>
      <c r="F5677" s="1" t="s">
        <v>89</v>
      </c>
      <c r="G5677" s="1">
        <v>0</v>
      </c>
      <c r="H5677" s="3">
        <v>7204</v>
      </c>
      <c r="I5677" s="1">
        <v>3.2148059999999998</v>
      </c>
    </row>
    <row r="5678" spans="1:9" x14ac:dyDescent="0.25">
      <c r="A5678" s="1">
        <v>2410290831</v>
      </c>
      <c r="B5678" s="1" t="s">
        <v>3526</v>
      </c>
      <c r="C5678" s="1" t="s">
        <v>139</v>
      </c>
      <c r="D5678" s="1" t="s">
        <v>140</v>
      </c>
      <c r="E5678" s="1">
        <v>645</v>
      </c>
      <c r="F5678" s="1" t="s">
        <v>89</v>
      </c>
      <c r="G5678" s="1">
        <v>0</v>
      </c>
      <c r="H5678" s="1">
        <v>0</v>
      </c>
      <c r="I5678" s="1">
        <v>3.2148059999999998</v>
      </c>
    </row>
    <row r="5679" spans="1:9" x14ac:dyDescent="0.25">
      <c r="A5679" s="1">
        <v>2410290832</v>
      </c>
      <c r="B5679" s="1" t="s">
        <v>3527</v>
      </c>
      <c r="C5679" s="1" t="s">
        <v>130</v>
      </c>
      <c r="D5679" s="1" t="s">
        <v>131</v>
      </c>
      <c r="E5679" s="1">
        <v>26.33</v>
      </c>
      <c r="F5679" s="1" t="s">
        <v>89</v>
      </c>
      <c r="G5679" s="1">
        <v>0</v>
      </c>
      <c r="H5679" s="1">
        <v>0</v>
      </c>
      <c r="I5679" s="1">
        <v>0.32814300000000002</v>
      </c>
    </row>
    <row r="5680" spans="1:9" x14ac:dyDescent="0.25">
      <c r="A5680" s="1">
        <v>2410290833</v>
      </c>
      <c r="B5680" s="1" t="s">
        <v>3528</v>
      </c>
      <c r="C5680" s="1" t="s">
        <v>523</v>
      </c>
      <c r="D5680" s="1" t="s">
        <v>524</v>
      </c>
      <c r="E5680" s="3">
        <v>1161</v>
      </c>
      <c r="F5680" s="1" t="s">
        <v>89</v>
      </c>
      <c r="G5680" s="1">
        <v>0</v>
      </c>
      <c r="H5680" s="1">
        <v>0</v>
      </c>
      <c r="I5680" s="1">
        <v>3.267674</v>
      </c>
    </row>
    <row r="5681" spans="1:9" x14ac:dyDescent="0.25">
      <c r="A5681" s="1">
        <v>2410290835</v>
      </c>
      <c r="B5681" s="1" t="s">
        <v>3529</v>
      </c>
      <c r="C5681" s="1" t="s">
        <v>130</v>
      </c>
      <c r="D5681" s="1" t="s">
        <v>131</v>
      </c>
      <c r="E5681" s="3">
        <v>0</v>
      </c>
      <c r="F5681" s="1" t="s">
        <v>89</v>
      </c>
      <c r="G5681" s="1">
        <v>0</v>
      </c>
      <c r="H5681" s="3">
        <v>55000</v>
      </c>
      <c r="I5681" s="1">
        <v>0</v>
      </c>
    </row>
    <row r="5682" spans="1:9" x14ac:dyDescent="0.25">
      <c r="A5682" s="1">
        <v>2410290835</v>
      </c>
      <c r="B5682" s="1" t="s">
        <v>3529</v>
      </c>
      <c r="C5682" s="1" t="s">
        <v>139</v>
      </c>
      <c r="D5682" s="1" t="s">
        <v>140</v>
      </c>
      <c r="E5682" s="3">
        <v>55460</v>
      </c>
      <c r="F5682" s="1" t="s">
        <v>89</v>
      </c>
      <c r="G5682" s="1">
        <v>0</v>
      </c>
      <c r="H5682" s="3">
        <v>0</v>
      </c>
      <c r="I5682" s="1">
        <v>2.9870459999999999</v>
      </c>
    </row>
    <row r="5683" spans="1:9" x14ac:dyDescent="0.25">
      <c r="A5683" s="1">
        <v>2410290837</v>
      </c>
      <c r="B5683" s="1" t="s">
        <v>3530</v>
      </c>
      <c r="C5683" s="1" t="s">
        <v>130</v>
      </c>
      <c r="D5683" s="1" t="s">
        <v>131</v>
      </c>
      <c r="E5683" s="3">
        <v>93</v>
      </c>
      <c r="F5683" s="1" t="s">
        <v>89</v>
      </c>
      <c r="G5683" s="1">
        <v>0</v>
      </c>
      <c r="H5683" s="1">
        <v>0</v>
      </c>
      <c r="I5683" s="1">
        <v>17</v>
      </c>
    </row>
    <row r="5684" spans="1:9" x14ac:dyDescent="0.25">
      <c r="A5684" s="1">
        <v>2410290837</v>
      </c>
      <c r="B5684" s="1" t="s">
        <v>3530</v>
      </c>
      <c r="C5684" s="1" t="s">
        <v>1698</v>
      </c>
      <c r="D5684" s="1" t="s">
        <v>1699</v>
      </c>
      <c r="E5684" s="1">
        <v>0.91</v>
      </c>
      <c r="F5684" s="1" t="s">
        <v>89</v>
      </c>
      <c r="G5684" s="1">
        <v>0</v>
      </c>
      <c r="H5684" s="1">
        <v>0</v>
      </c>
      <c r="I5684" s="1">
        <v>17</v>
      </c>
    </row>
    <row r="5685" spans="1:9" x14ac:dyDescent="0.25">
      <c r="A5685" s="1">
        <v>2410290838</v>
      </c>
      <c r="B5685" s="1" t="s">
        <v>3531</v>
      </c>
      <c r="C5685" s="1" t="s">
        <v>130</v>
      </c>
      <c r="D5685" s="1" t="s">
        <v>131</v>
      </c>
      <c r="E5685" s="1">
        <v>240</v>
      </c>
      <c r="F5685" s="1" t="s">
        <v>36</v>
      </c>
      <c r="G5685" s="1">
        <v>0</v>
      </c>
      <c r="H5685" s="3">
        <v>0</v>
      </c>
      <c r="I5685" s="1">
        <v>2.1583000000000001E-2</v>
      </c>
    </row>
    <row r="5686" spans="1:9" x14ac:dyDescent="0.25">
      <c r="A5686" s="1">
        <v>2410360001</v>
      </c>
      <c r="B5686" s="1" t="s">
        <v>3532</v>
      </c>
      <c r="C5686" s="1" t="s">
        <v>130</v>
      </c>
      <c r="D5686" s="1" t="s">
        <v>131</v>
      </c>
      <c r="E5686" s="3">
        <v>44321</v>
      </c>
      <c r="F5686" s="1" t="s">
        <v>36</v>
      </c>
      <c r="G5686" s="3">
        <v>4000</v>
      </c>
      <c r="H5686" s="1">
        <v>0</v>
      </c>
      <c r="I5686" s="1">
        <v>0.57639799999999997</v>
      </c>
    </row>
    <row r="5687" spans="1:9" x14ac:dyDescent="0.25">
      <c r="A5687" s="1">
        <v>2410360001</v>
      </c>
      <c r="B5687" s="1" t="s">
        <v>3532</v>
      </c>
      <c r="C5687" s="1" t="s">
        <v>126</v>
      </c>
      <c r="D5687" s="1" t="s">
        <v>127</v>
      </c>
      <c r="E5687" s="3">
        <v>119</v>
      </c>
      <c r="F5687" s="1" t="s">
        <v>36</v>
      </c>
      <c r="G5687" s="1">
        <v>0</v>
      </c>
      <c r="H5687" s="3">
        <v>0</v>
      </c>
      <c r="I5687" s="1">
        <v>0.57638699999999998</v>
      </c>
    </row>
    <row r="5688" spans="1:9" x14ac:dyDescent="0.25">
      <c r="A5688" s="1">
        <v>2410360001</v>
      </c>
      <c r="B5688" s="1" t="s">
        <v>3532</v>
      </c>
      <c r="C5688" s="1" t="s">
        <v>142</v>
      </c>
      <c r="D5688" s="1" t="s">
        <v>143</v>
      </c>
      <c r="E5688" s="3">
        <v>4024</v>
      </c>
      <c r="F5688" s="1" t="s">
        <v>36</v>
      </c>
      <c r="G5688" s="3">
        <v>0</v>
      </c>
      <c r="H5688" s="3">
        <v>4000</v>
      </c>
      <c r="I5688" s="1">
        <v>0.57639700000000005</v>
      </c>
    </row>
    <row r="5689" spans="1:9" x14ac:dyDescent="0.25">
      <c r="A5689" s="1">
        <v>2410360001</v>
      </c>
      <c r="B5689" s="1" t="s">
        <v>3532</v>
      </c>
      <c r="C5689" s="1" t="s">
        <v>157</v>
      </c>
      <c r="D5689" s="1" t="s">
        <v>158</v>
      </c>
      <c r="E5689" s="3">
        <v>889</v>
      </c>
      <c r="F5689" s="1" t="s">
        <v>36</v>
      </c>
      <c r="G5689" s="1">
        <v>0</v>
      </c>
      <c r="H5689" s="1">
        <v>0</v>
      </c>
      <c r="I5689" s="1">
        <v>0.57640000000000002</v>
      </c>
    </row>
    <row r="5690" spans="1:9" x14ac:dyDescent="0.25">
      <c r="A5690" s="1">
        <v>2410360001</v>
      </c>
      <c r="B5690" s="1" t="s">
        <v>3532</v>
      </c>
      <c r="C5690" s="1" t="s">
        <v>139</v>
      </c>
      <c r="D5690" s="1" t="s">
        <v>140</v>
      </c>
      <c r="E5690" s="3">
        <v>122000</v>
      </c>
      <c r="F5690" s="1" t="s">
        <v>36</v>
      </c>
      <c r="G5690" s="1">
        <v>0</v>
      </c>
      <c r="H5690" s="3">
        <v>0</v>
      </c>
      <c r="I5690" s="1">
        <v>0.57639799999999997</v>
      </c>
    </row>
    <row r="5691" spans="1:9" x14ac:dyDescent="0.25">
      <c r="A5691" s="1">
        <v>2410360011</v>
      </c>
      <c r="B5691" s="1" t="s">
        <v>3533</v>
      </c>
      <c r="C5691" s="1" t="s">
        <v>130</v>
      </c>
      <c r="D5691" s="1" t="s">
        <v>131</v>
      </c>
      <c r="E5691" s="3">
        <v>157863</v>
      </c>
      <c r="F5691" s="1" t="s">
        <v>36</v>
      </c>
      <c r="G5691" s="3">
        <v>4000</v>
      </c>
      <c r="H5691" s="1">
        <v>0</v>
      </c>
      <c r="I5691" s="1">
        <v>0.117488</v>
      </c>
    </row>
    <row r="5692" spans="1:9" x14ac:dyDescent="0.25">
      <c r="A5692" s="1">
        <v>2410360011</v>
      </c>
      <c r="B5692" s="1" t="s">
        <v>3533</v>
      </c>
      <c r="C5692" s="1" t="s">
        <v>126</v>
      </c>
      <c r="D5692" s="1" t="s">
        <v>127</v>
      </c>
      <c r="E5692" s="3">
        <v>9736</v>
      </c>
      <c r="F5692" s="1" t="s">
        <v>36</v>
      </c>
      <c r="G5692" s="1">
        <v>0</v>
      </c>
      <c r="H5692" s="1">
        <v>0</v>
      </c>
      <c r="I5692" s="1">
        <v>0.117488</v>
      </c>
    </row>
    <row r="5693" spans="1:9" x14ac:dyDescent="0.25">
      <c r="A5693" s="1">
        <v>2410360011</v>
      </c>
      <c r="B5693" s="1" t="s">
        <v>3533</v>
      </c>
      <c r="C5693" s="1" t="s">
        <v>142</v>
      </c>
      <c r="D5693" s="1" t="s">
        <v>143</v>
      </c>
      <c r="E5693" s="3">
        <v>3699</v>
      </c>
      <c r="F5693" s="1" t="s">
        <v>36</v>
      </c>
      <c r="G5693" s="1">
        <v>0</v>
      </c>
      <c r="H5693" s="3">
        <v>4000</v>
      </c>
      <c r="I5693" s="1">
        <v>0.117489</v>
      </c>
    </row>
    <row r="5694" spans="1:9" x14ac:dyDescent="0.25">
      <c r="A5694" s="1">
        <v>2410360011</v>
      </c>
      <c r="B5694" s="1" t="s">
        <v>3533</v>
      </c>
      <c r="C5694" s="1" t="s">
        <v>157</v>
      </c>
      <c r="D5694" s="1" t="s">
        <v>158</v>
      </c>
      <c r="E5694" s="3">
        <v>1473</v>
      </c>
      <c r="F5694" s="1" t="s">
        <v>36</v>
      </c>
      <c r="G5694" s="1">
        <v>0</v>
      </c>
      <c r="H5694" s="1">
        <v>0</v>
      </c>
      <c r="I5694" s="1">
        <v>0.117488</v>
      </c>
    </row>
    <row r="5695" spans="1:9" x14ac:dyDescent="0.25">
      <c r="A5695" s="1">
        <v>2410360012</v>
      </c>
      <c r="B5695" s="1" t="s">
        <v>3534</v>
      </c>
      <c r="C5695" s="1" t="s">
        <v>130</v>
      </c>
      <c r="D5695" s="1" t="s">
        <v>131</v>
      </c>
      <c r="E5695" s="3">
        <v>147804</v>
      </c>
      <c r="F5695" s="1" t="s">
        <v>36</v>
      </c>
      <c r="G5695" s="3">
        <v>4000</v>
      </c>
      <c r="H5695" s="1">
        <v>0</v>
      </c>
      <c r="I5695" s="1">
        <v>2.0147000000000002E-2</v>
      </c>
    </row>
    <row r="5696" spans="1:9" x14ac:dyDescent="0.25">
      <c r="A5696" s="1">
        <v>2410360012</v>
      </c>
      <c r="B5696" s="1" t="s">
        <v>3534</v>
      </c>
      <c r="C5696" s="1" t="s">
        <v>126</v>
      </c>
      <c r="D5696" s="1" t="s">
        <v>127</v>
      </c>
      <c r="E5696" s="3">
        <v>4432</v>
      </c>
      <c r="F5696" s="1" t="s">
        <v>36</v>
      </c>
      <c r="G5696" s="1">
        <v>0</v>
      </c>
      <c r="H5696" s="1">
        <v>0</v>
      </c>
      <c r="I5696" s="1">
        <v>2.0147000000000002E-2</v>
      </c>
    </row>
    <row r="5697" spans="1:9" x14ac:dyDescent="0.25">
      <c r="A5697" s="1">
        <v>2410360012</v>
      </c>
      <c r="B5697" s="1" t="s">
        <v>3534</v>
      </c>
      <c r="C5697" s="1" t="s">
        <v>142</v>
      </c>
      <c r="D5697" s="1" t="s">
        <v>143</v>
      </c>
      <c r="E5697" s="3">
        <v>3549</v>
      </c>
      <c r="F5697" s="1" t="s">
        <v>36</v>
      </c>
      <c r="G5697" s="1">
        <v>0</v>
      </c>
      <c r="H5697" s="3">
        <v>4000</v>
      </c>
      <c r="I5697" s="1">
        <v>2.0147000000000002E-2</v>
      </c>
    </row>
    <row r="5698" spans="1:9" x14ac:dyDescent="0.25">
      <c r="A5698" s="1">
        <v>2410360012</v>
      </c>
      <c r="B5698" s="1" t="s">
        <v>3534</v>
      </c>
      <c r="C5698" s="1" t="s">
        <v>157</v>
      </c>
      <c r="D5698" s="1" t="s">
        <v>158</v>
      </c>
      <c r="E5698" s="3">
        <v>2162</v>
      </c>
      <c r="F5698" s="1" t="s">
        <v>36</v>
      </c>
      <c r="G5698" s="1">
        <v>0</v>
      </c>
      <c r="H5698" s="1">
        <v>0</v>
      </c>
      <c r="I5698" s="1">
        <v>2.0147999999999999E-2</v>
      </c>
    </row>
    <row r="5699" spans="1:9" x14ac:dyDescent="0.25">
      <c r="A5699" s="1">
        <v>2410360013</v>
      </c>
      <c r="B5699" s="1" t="s">
        <v>3535</v>
      </c>
      <c r="C5699" s="1" t="s">
        <v>130</v>
      </c>
      <c r="D5699" s="1" t="s">
        <v>131</v>
      </c>
      <c r="E5699" s="3">
        <v>55613</v>
      </c>
      <c r="F5699" s="1" t="s">
        <v>36</v>
      </c>
      <c r="G5699" s="3">
        <v>4000</v>
      </c>
      <c r="H5699" s="1">
        <v>0</v>
      </c>
      <c r="I5699" s="1">
        <v>1.332357</v>
      </c>
    </row>
    <row r="5700" spans="1:9" x14ac:dyDescent="0.25">
      <c r="A5700" s="1">
        <v>2410360013</v>
      </c>
      <c r="B5700" s="1" t="s">
        <v>3535</v>
      </c>
      <c r="C5700" s="1" t="s">
        <v>126</v>
      </c>
      <c r="D5700" s="1" t="s">
        <v>127</v>
      </c>
      <c r="E5700" s="3">
        <v>12733</v>
      </c>
      <c r="F5700" s="1" t="s">
        <v>36</v>
      </c>
      <c r="G5700" s="1">
        <v>0</v>
      </c>
      <c r="H5700" s="1">
        <v>0</v>
      </c>
      <c r="I5700" s="1">
        <v>1.3783240000000001</v>
      </c>
    </row>
    <row r="5701" spans="1:9" x14ac:dyDescent="0.25">
      <c r="A5701" s="1">
        <v>2410360013</v>
      </c>
      <c r="B5701" s="1" t="s">
        <v>3535</v>
      </c>
      <c r="C5701" s="1" t="s">
        <v>142</v>
      </c>
      <c r="D5701" s="1" t="s">
        <v>143</v>
      </c>
      <c r="E5701" s="3">
        <v>3731</v>
      </c>
      <c r="F5701" s="1" t="s">
        <v>36</v>
      </c>
      <c r="G5701" s="1">
        <v>0</v>
      </c>
      <c r="H5701" s="3">
        <v>4000</v>
      </c>
      <c r="I5701" s="1">
        <v>1.331501</v>
      </c>
    </row>
    <row r="5702" spans="1:9" x14ac:dyDescent="0.25">
      <c r="A5702" s="1">
        <v>2410360013</v>
      </c>
      <c r="B5702" s="1" t="s">
        <v>3535</v>
      </c>
      <c r="C5702" s="1" t="s">
        <v>157</v>
      </c>
      <c r="D5702" s="1" t="s">
        <v>158</v>
      </c>
      <c r="E5702" s="3">
        <v>6302</v>
      </c>
      <c r="F5702" s="1" t="s">
        <v>36</v>
      </c>
      <c r="G5702" s="1">
        <v>0</v>
      </c>
      <c r="H5702" s="3">
        <v>0</v>
      </c>
      <c r="I5702" s="1">
        <v>1.3783240000000001</v>
      </c>
    </row>
    <row r="5703" spans="1:9" x14ac:dyDescent="0.25">
      <c r="A5703" s="1">
        <v>2410360013</v>
      </c>
      <c r="B5703" s="1" t="s">
        <v>3535</v>
      </c>
      <c r="C5703" s="1" t="s">
        <v>139</v>
      </c>
      <c r="D5703" s="1" t="s">
        <v>140</v>
      </c>
      <c r="E5703" s="3">
        <v>92300</v>
      </c>
      <c r="F5703" s="1" t="s">
        <v>36</v>
      </c>
      <c r="G5703" s="1">
        <v>0</v>
      </c>
      <c r="H5703" s="1">
        <v>0</v>
      </c>
      <c r="I5703" s="1">
        <v>1.3783240000000001</v>
      </c>
    </row>
    <row r="5704" spans="1:9" x14ac:dyDescent="0.25">
      <c r="A5704" s="1">
        <v>2410360014</v>
      </c>
      <c r="B5704" s="1" t="s">
        <v>3536</v>
      </c>
      <c r="C5704" s="1" t="s">
        <v>130</v>
      </c>
      <c r="D5704" s="1" t="s">
        <v>131</v>
      </c>
      <c r="E5704" s="3">
        <v>884860</v>
      </c>
      <c r="F5704" s="1" t="s">
        <v>36</v>
      </c>
      <c r="G5704" s="3">
        <v>20000</v>
      </c>
      <c r="H5704" s="1">
        <v>0</v>
      </c>
      <c r="I5704" s="1">
        <v>5.3940000000000004E-3</v>
      </c>
    </row>
    <row r="5705" spans="1:9" x14ac:dyDescent="0.25">
      <c r="A5705" s="1">
        <v>2410360014</v>
      </c>
      <c r="B5705" s="1" t="s">
        <v>3536</v>
      </c>
      <c r="C5705" s="1" t="s">
        <v>142</v>
      </c>
      <c r="D5705" s="1" t="s">
        <v>143</v>
      </c>
      <c r="E5705" s="3">
        <v>3088</v>
      </c>
      <c r="F5705" s="1" t="s">
        <v>36</v>
      </c>
      <c r="G5705" s="1">
        <v>0</v>
      </c>
      <c r="H5705" s="3">
        <v>20000</v>
      </c>
      <c r="I5705" s="1">
        <v>5.3949999999999996E-3</v>
      </c>
    </row>
    <row r="5706" spans="1:9" x14ac:dyDescent="0.25">
      <c r="A5706" s="1">
        <v>2410360014</v>
      </c>
      <c r="B5706" s="1" t="s">
        <v>3536</v>
      </c>
      <c r="C5706" s="1" t="s">
        <v>157</v>
      </c>
      <c r="D5706" s="1" t="s">
        <v>158</v>
      </c>
      <c r="E5706" s="3">
        <v>1900</v>
      </c>
      <c r="F5706" s="1" t="s">
        <v>36</v>
      </c>
      <c r="G5706" s="3">
        <v>0</v>
      </c>
      <c r="H5706" s="1">
        <v>0</v>
      </c>
      <c r="I5706" s="1">
        <v>5.3949999999999996E-3</v>
      </c>
    </row>
    <row r="5707" spans="1:9" x14ac:dyDescent="0.25">
      <c r="A5707" s="1">
        <v>2410360015</v>
      </c>
      <c r="B5707" s="1" t="s">
        <v>3537</v>
      </c>
      <c r="C5707" s="1" t="s">
        <v>130</v>
      </c>
      <c r="D5707" s="1" t="s">
        <v>131</v>
      </c>
      <c r="E5707" s="3">
        <v>3000</v>
      </c>
      <c r="F5707" s="1" t="s">
        <v>36</v>
      </c>
      <c r="G5707" s="1">
        <v>0</v>
      </c>
      <c r="H5707" s="1">
        <v>0</v>
      </c>
      <c r="I5707" s="1">
        <v>2.222877</v>
      </c>
    </row>
    <row r="5708" spans="1:9" x14ac:dyDescent="0.25">
      <c r="A5708" s="1">
        <v>2410360015</v>
      </c>
      <c r="B5708" s="1" t="s">
        <v>3537</v>
      </c>
      <c r="C5708" s="1" t="s">
        <v>126</v>
      </c>
      <c r="D5708" s="1" t="s">
        <v>127</v>
      </c>
      <c r="E5708" s="3">
        <v>83</v>
      </c>
      <c r="F5708" s="1" t="s">
        <v>36</v>
      </c>
      <c r="G5708" s="1">
        <v>0</v>
      </c>
      <c r="H5708" s="3">
        <v>0</v>
      </c>
      <c r="I5708" s="1">
        <v>2.2183130000000002</v>
      </c>
    </row>
    <row r="5709" spans="1:9" x14ac:dyDescent="0.25">
      <c r="A5709" s="1">
        <v>2410360016</v>
      </c>
      <c r="B5709" s="1" t="s">
        <v>3538</v>
      </c>
      <c r="C5709" s="1" t="s">
        <v>130</v>
      </c>
      <c r="D5709" s="1" t="s">
        <v>131</v>
      </c>
      <c r="E5709" s="3">
        <v>15993</v>
      </c>
      <c r="F5709" s="1" t="s">
        <v>36</v>
      </c>
      <c r="G5709" s="1">
        <v>0</v>
      </c>
      <c r="H5709" s="1">
        <v>0</v>
      </c>
      <c r="I5709" s="1">
        <v>0.350134</v>
      </c>
    </row>
    <row r="5710" spans="1:9" x14ac:dyDescent="0.25">
      <c r="A5710" s="1">
        <v>2410360017</v>
      </c>
      <c r="B5710" s="1" t="s">
        <v>3539</v>
      </c>
      <c r="C5710" s="1" t="s">
        <v>130</v>
      </c>
      <c r="D5710" s="1" t="s">
        <v>131</v>
      </c>
      <c r="E5710" s="3">
        <v>47880</v>
      </c>
      <c r="F5710" s="1" t="s">
        <v>36</v>
      </c>
      <c r="G5710" s="1">
        <v>0</v>
      </c>
      <c r="H5710" s="1">
        <v>0</v>
      </c>
      <c r="I5710" s="1">
        <v>2.2502999999999999E-2</v>
      </c>
    </row>
    <row r="5711" spans="1:9" x14ac:dyDescent="0.25">
      <c r="A5711" s="1">
        <v>2410360018</v>
      </c>
      <c r="B5711" s="1" t="s">
        <v>3540</v>
      </c>
      <c r="C5711" s="1" t="s">
        <v>130</v>
      </c>
      <c r="D5711" s="1" t="s">
        <v>131</v>
      </c>
      <c r="E5711" s="3">
        <v>9200</v>
      </c>
      <c r="F5711" s="1" t="s">
        <v>36</v>
      </c>
      <c r="G5711" s="1">
        <v>0</v>
      </c>
      <c r="H5711" s="1">
        <v>0</v>
      </c>
      <c r="I5711" s="1">
        <v>1.9458960000000001</v>
      </c>
    </row>
    <row r="5712" spans="1:9" x14ac:dyDescent="0.25">
      <c r="A5712" s="1">
        <v>2410360019</v>
      </c>
      <c r="B5712" s="1" t="s">
        <v>3541</v>
      </c>
      <c r="C5712" s="1" t="s">
        <v>130</v>
      </c>
      <c r="D5712" s="1" t="s">
        <v>131</v>
      </c>
      <c r="E5712" s="3">
        <v>2800</v>
      </c>
      <c r="F5712" s="1" t="s">
        <v>36</v>
      </c>
      <c r="G5712" s="1">
        <v>0</v>
      </c>
      <c r="H5712" s="1">
        <v>0</v>
      </c>
      <c r="I5712" s="1">
        <v>1.9458930000000001</v>
      </c>
    </row>
    <row r="5713" spans="1:9" x14ac:dyDescent="0.25">
      <c r="A5713" s="1">
        <v>2410360020</v>
      </c>
      <c r="B5713" s="1" t="s">
        <v>3542</v>
      </c>
      <c r="C5713" s="1" t="s">
        <v>130</v>
      </c>
      <c r="D5713" s="1" t="s">
        <v>131</v>
      </c>
      <c r="E5713" s="3">
        <v>2200</v>
      </c>
      <c r="F5713" s="1" t="s">
        <v>36</v>
      </c>
      <c r="G5713" s="1">
        <v>0</v>
      </c>
      <c r="H5713" s="1">
        <v>0</v>
      </c>
      <c r="I5713" s="1">
        <v>1.9458949999999999</v>
      </c>
    </row>
    <row r="5714" spans="1:9" x14ac:dyDescent="0.25">
      <c r="A5714" s="1">
        <v>2410360021</v>
      </c>
      <c r="B5714" s="1" t="s">
        <v>3543</v>
      </c>
      <c r="C5714" s="1" t="s">
        <v>130</v>
      </c>
      <c r="D5714" s="1" t="s">
        <v>131</v>
      </c>
      <c r="E5714" s="3">
        <v>3632</v>
      </c>
      <c r="F5714" s="1" t="s">
        <v>36</v>
      </c>
      <c r="G5714" s="1">
        <v>0</v>
      </c>
      <c r="H5714" s="1">
        <v>0</v>
      </c>
      <c r="I5714" s="1">
        <v>0.58278600000000003</v>
      </c>
    </row>
    <row r="5715" spans="1:9" x14ac:dyDescent="0.25">
      <c r="A5715" s="1">
        <v>2410360021</v>
      </c>
      <c r="B5715" s="1" t="s">
        <v>3543</v>
      </c>
      <c r="C5715" s="1" t="s">
        <v>126</v>
      </c>
      <c r="D5715" s="1" t="s">
        <v>127</v>
      </c>
      <c r="E5715" s="3">
        <v>4</v>
      </c>
      <c r="F5715" s="1" t="s">
        <v>36</v>
      </c>
      <c r="G5715" s="3">
        <v>0</v>
      </c>
      <c r="H5715" s="3">
        <v>0</v>
      </c>
      <c r="I5715" s="1">
        <v>0.7</v>
      </c>
    </row>
    <row r="5716" spans="1:9" x14ac:dyDescent="0.25">
      <c r="A5716" s="1">
        <v>2420010006</v>
      </c>
      <c r="B5716" s="1" t="s">
        <v>3544</v>
      </c>
      <c r="C5716" s="1" t="s">
        <v>523</v>
      </c>
      <c r="D5716" s="1" t="s">
        <v>524</v>
      </c>
      <c r="E5716" s="3">
        <v>1971.0019</v>
      </c>
      <c r="F5716" s="1" t="s">
        <v>36</v>
      </c>
      <c r="G5716" s="1">
        <v>0</v>
      </c>
      <c r="H5716" s="1">
        <v>0</v>
      </c>
      <c r="I5716" s="1">
        <v>0.225018</v>
      </c>
    </row>
    <row r="5717" spans="1:9" x14ac:dyDescent="0.25">
      <c r="A5717" s="1">
        <v>2420010007</v>
      </c>
      <c r="B5717" s="1" t="s">
        <v>3545</v>
      </c>
      <c r="C5717" s="1" t="s">
        <v>523</v>
      </c>
      <c r="D5717" s="1" t="s">
        <v>524</v>
      </c>
      <c r="E5717" s="3">
        <v>1971</v>
      </c>
      <c r="F5717" s="1" t="s">
        <v>36</v>
      </c>
      <c r="G5717" s="1">
        <v>0</v>
      </c>
      <c r="H5717" s="1">
        <v>0</v>
      </c>
      <c r="I5717" s="1">
        <v>0.23199900000000001</v>
      </c>
    </row>
    <row r="5718" spans="1:9" x14ac:dyDescent="0.25">
      <c r="A5718" s="1">
        <v>2420010010</v>
      </c>
      <c r="B5718" s="1" t="s">
        <v>3546</v>
      </c>
      <c r="C5718" s="1" t="s">
        <v>523</v>
      </c>
      <c r="D5718" s="1" t="s">
        <v>524</v>
      </c>
      <c r="E5718" s="3">
        <v>1971.0019</v>
      </c>
      <c r="F5718" s="1" t="s">
        <v>36</v>
      </c>
      <c r="G5718" s="1">
        <v>0</v>
      </c>
      <c r="H5718" s="1">
        <v>0</v>
      </c>
      <c r="I5718" s="1">
        <v>0.197154</v>
      </c>
    </row>
    <row r="5719" spans="1:9" x14ac:dyDescent="0.25">
      <c r="A5719" s="1">
        <v>2420020159</v>
      </c>
      <c r="B5719" s="1" t="s">
        <v>3547</v>
      </c>
      <c r="C5719" s="1" t="s">
        <v>1698</v>
      </c>
      <c r="D5719" s="1" t="s">
        <v>1699</v>
      </c>
      <c r="E5719" s="3">
        <v>11.6</v>
      </c>
      <c r="F5719" s="1" t="s">
        <v>36</v>
      </c>
      <c r="G5719" s="1">
        <v>0</v>
      </c>
      <c r="H5719" s="3">
        <v>0</v>
      </c>
      <c r="I5719" s="1">
        <v>0.60775900000000005</v>
      </c>
    </row>
    <row r="5720" spans="1:9" x14ac:dyDescent="0.25">
      <c r="A5720" s="1">
        <v>2420030030</v>
      </c>
      <c r="B5720" s="1" t="s">
        <v>3548</v>
      </c>
      <c r="C5720" s="1" t="s">
        <v>523</v>
      </c>
      <c r="D5720" s="1" t="s">
        <v>524</v>
      </c>
      <c r="E5720" s="1">
        <v>570</v>
      </c>
      <c r="F5720" s="1" t="s">
        <v>89</v>
      </c>
      <c r="G5720" s="1">
        <v>0</v>
      </c>
      <c r="H5720" s="1">
        <v>0</v>
      </c>
      <c r="I5720" s="1">
        <v>4.6169820000000001</v>
      </c>
    </row>
    <row r="5721" spans="1:9" x14ac:dyDescent="0.25">
      <c r="A5721" s="1">
        <v>2420030031</v>
      </c>
      <c r="B5721" s="1" t="s">
        <v>3549</v>
      </c>
      <c r="C5721" s="1" t="s">
        <v>523</v>
      </c>
      <c r="D5721" s="1" t="s">
        <v>524</v>
      </c>
      <c r="E5721" s="1">
        <v>210</v>
      </c>
      <c r="F5721" s="1" t="s">
        <v>89</v>
      </c>
      <c r="G5721" s="1">
        <v>0</v>
      </c>
      <c r="H5721" s="1">
        <v>0</v>
      </c>
      <c r="I5721" s="1">
        <v>4.5708570000000002</v>
      </c>
    </row>
    <row r="5722" spans="1:9" x14ac:dyDescent="0.25">
      <c r="A5722" s="1">
        <v>2420030036</v>
      </c>
      <c r="B5722" s="1" t="s">
        <v>3550</v>
      </c>
      <c r="C5722" s="1" t="s">
        <v>523</v>
      </c>
      <c r="D5722" s="1" t="s">
        <v>524</v>
      </c>
      <c r="E5722" s="1">
        <v>410</v>
      </c>
      <c r="F5722" s="1" t="s">
        <v>89</v>
      </c>
      <c r="G5722" s="1">
        <v>0</v>
      </c>
      <c r="H5722" s="1">
        <v>0</v>
      </c>
      <c r="I5722" s="1">
        <v>6.58</v>
      </c>
    </row>
    <row r="5723" spans="1:9" x14ac:dyDescent="0.25">
      <c r="A5723" s="1">
        <v>2420030040</v>
      </c>
      <c r="B5723" s="1" t="s">
        <v>3551</v>
      </c>
      <c r="C5723" s="1" t="s">
        <v>523</v>
      </c>
      <c r="D5723" s="1" t="s">
        <v>524</v>
      </c>
      <c r="E5723" s="1">
        <v>659</v>
      </c>
      <c r="F5723" s="1" t="s">
        <v>89</v>
      </c>
      <c r="G5723" s="1">
        <v>0</v>
      </c>
      <c r="H5723" s="1">
        <v>0</v>
      </c>
      <c r="I5723" s="1">
        <v>7.9760549999999997</v>
      </c>
    </row>
    <row r="5724" spans="1:9" x14ac:dyDescent="0.25">
      <c r="A5724" s="1">
        <v>2420030041</v>
      </c>
      <c r="B5724" s="1" t="s">
        <v>3552</v>
      </c>
      <c r="C5724" s="1" t="s">
        <v>523</v>
      </c>
      <c r="D5724" s="1" t="s">
        <v>524</v>
      </c>
      <c r="E5724" s="1">
        <v>194</v>
      </c>
      <c r="F5724" s="1" t="s">
        <v>89</v>
      </c>
      <c r="G5724" s="1">
        <v>0</v>
      </c>
      <c r="H5724" s="1">
        <v>0</v>
      </c>
      <c r="I5724" s="1">
        <v>5.2272679999999996</v>
      </c>
    </row>
    <row r="5725" spans="1:9" x14ac:dyDescent="0.25">
      <c r="A5725" s="1">
        <v>2420030042</v>
      </c>
      <c r="B5725" s="1" t="s">
        <v>3553</v>
      </c>
      <c r="C5725" s="1" t="s">
        <v>523</v>
      </c>
      <c r="D5725" s="1" t="s">
        <v>524</v>
      </c>
      <c r="E5725" s="3">
        <v>1050</v>
      </c>
      <c r="F5725" s="1" t="s">
        <v>89</v>
      </c>
      <c r="G5725" s="1">
        <v>0</v>
      </c>
      <c r="H5725" s="1">
        <v>0</v>
      </c>
      <c r="I5725" s="1">
        <v>5.2519239999999998</v>
      </c>
    </row>
    <row r="5726" spans="1:9" x14ac:dyDescent="0.25">
      <c r="A5726" s="1">
        <v>2420030046</v>
      </c>
      <c r="B5726" s="1" t="s">
        <v>3554</v>
      </c>
      <c r="C5726" s="1" t="s">
        <v>523</v>
      </c>
      <c r="D5726" s="1" t="s">
        <v>524</v>
      </c>
      <c r="E5726" s="3">
        <v>10096</v>
      </c>
      <c r="F5726" s="1" t="s">
        <v>89</v>
      </c>
      <c r="G5726" s="1">
        <v>0</v>
      </c>
      <c r="H5726" s="1">
        <v>0</v>
      </c>
      <c r="I5726" s="1">
        <v>3.1465489999999998</v>
      </c>
    </row>
    <row r="5727" spans="1:9" x14ac:dyDescent="0.25">
      <c r="A5727" s="1">
        <v>2420030049</v>
      </c>
      <c r="B5727" s="1" t="s">
        <v>3555</v>
      </c>
      <c r="C5727" s="1" t="s">
        <v>523</v>
      </c>
      <c r="D5727" s="1" t="s">
        <v>524</v>
      </c>
      <c r="E5727" s="1">
        <v>100</v>
      </c>
      <c r="F5727" s="1" t="s">
        <v>89</v>
      </c>
      <c r="G5727" s="1">
        <v>0</v>
      </c>
      <c r="H5727" s="1">
        <v>0</v>
      </c>
      <c r="I5727" s="1">
        <v>3.1993999999999998</v>
      </c>
    </row>
    <row r="5728" spans="1:9" x14ac:dyDescent="0.25">
      <c r="A5728" s="1">
        <v>2420030054</v>
      </c>
      <c r="B5728" s="1" t="s">
        <v>3556</v>
      </c>
      <c r="C5728" s="1" t="s">
        <v>523</v>
      </c>
      <c r="D5728" s="1" t="s">
        <v>524</v>
      </c>
      <c r="E5728" s="1">
        <v>2.6749999999999998</v>
      </c>
      <c r="F5728" s="1" t="s">
        <v>89</v>
      </c>
      <c r="G5728" s="1">
        <v>0</v>
      </c>
      <c r="H5728" s="1">
        <v>0</v>
      </c>
      <c r="I5728" s="1">
        <v>7.8467289999999998</v>
      </c>
    </row>
    <row r="5729" spans="1:9" x14ac:dyDescent="0.25">
      <c r="A5729" s="1">
        <v>2420030055</v>
      </c>
      <c r="B5729" s="1" t="s">
        <v>3557</v>
      </c>
      <c r="C5729" s="1" t="s">
        <v>523</v>
      </c>
      <c r="D5729" s="1" t="s">
        <v>524</v>
      </c>
      <c r="E5729" s="1">
        <v>407</v>
      </c>
      <c r="F5729" s="1" t="s">
        <v>89</v>
      </c>
      <c r="G5729" s="1">
        <v>0</v>
      </c>
      <c r="H5729" s="1">
        <v>0</v>
      </c>
      <c r="I5729" s="1">
        <v>4.2495580000000004</v>
      </c>
    </row>
    <row r="5730" spans="1:9" x14ac:dyDescent="0.25">
      <c r="A5730" s="1">
        <v>2420030057</v>
      </c>
      <c r="B5730" s="1" t="s">
        <v>3558</v>
      </c>
      <c r="C5730" s="1" t="s">
        <v>523</v>
      </c>
      <c r="D5730" s="1" t="s">
        <v>524</v>
      </c>
      <c r="E5730" s="1">
        <v>539</v>
      </c>
      <c r="F5730" s="1" t="s">
        <v>89</v>
      </c>
      <c r="G5730" s="1">
        <v>0</v>
      </c>
      <c r="H5730" s="1">
        <v>0</v>
      </c>
      <c r="I5730" s="1">
        <v>4.2958439999999998</v>
      </c>
    </row>
    <row r="5731" spans="1:9" x14ac:dyDescent="0.25">
      <c r="A5731" s="1">
        <v>2420030061</v>
      </c>
      <c r="B5731" s="1" t="s">
        <v>3559</v>
      </c>
      <c r="C5731" s="1" t="s">
        <v>523</v>
      </c>
      <c r="D5731" s="1" t="s">
        <v>524</v>
      </c>
      <c r="E5731" s="1">
        <v>641</v>
      </c>
      <c r="F5731" s="1" t="s">
        <v>89</v>
      </c>
      <c r="G5731" s="1">
        <v>76</v>
      </c>
      <c r="H5731" s="1">
        <v>0</v>
      </c>
      <c r="I5731" s="1">
        <v>5.0756319999999997</v>
      </c>
    </row>
    <row r="5732" spans="1:9" x14ac:dyDescent="0.25">
      <c r="A5732" s="1">
        <v>2420030061</v>
      </c>
      <c r="B5732" s="1" t="s">
        <v>3559</v>
      </c>
      <c r="C5732" s="1" t="s">
        <v>3560</v>
      </c>
      <c r="D5732" s="1" t="s">
        <v>3561</v>
      </c>
      <c r="E5732" s="1">
        <v>0</v>
      </c>
      <c r="F5732" s="1" t="s">
        <v>89</v>
      </c>
      <c r="G5732" s="1">
        <v>0</v>
      </c>
      <c r="H5732" s="1">
        <v>76</v>
      </c>
      <c r="I5732" s="1">
        <v>5.0756579999999998</v>
      </c>
    </row>
    <row r="5733" spans="1:9" x14ac:dyDescent="0.25">
      <c r="A5733" s="1">
        <v>2420060010</v>
      </c>
      <c r="B5733" s="1" t="s">
        <v>3562</v>
      </c>
      <c r="C5733" s="1" t="s">
        <v>157</v>
      </c>
      <c r="D5733" s="1" t="s">
        <v>158</v>
      </c>
      <c r="E5733" s="3">
        <v>15000</v>
      </c>
      <c r="F5733" s="1" t="s">
        <v>36</v>
      </c>
      <c r="G5733" s="1">
        <v>0</v>
      </c>
      <c r="H5733" s="1">
        <v>0</v>
      </c>
      <c r="I5733" s="1">
        <v>1.0753900000000001</v>
      </c>
    </row>
    <row r="5734" spans="1:9" x14ac:dyDescent="0.25">
      <c r="A5734" s="1">
        <v>2420060015</v>
      </c>
      <c r="B5734" s="1" t="s">
        <v>3563</v>
      </c>
      <c r="C5734" s="1" t="s">
        <v>130</v>
      </c>
      <c r="D5734" s="1" t="s">
        <v>131</v>
      </c>
      <c r="E5734" s="3">
        <v>116739</v>
      </c>
      <c r="F5734" s="1" t="s">
        <v>36</v>
      </c>
      <c r="G5734" s="3">
        <v>0</v>
      </c>
      <c r="H5734" s="1">
        <v>0</v>
      </c>
      <c r="I5734" s="1">
        <v>1.004141</v>
      </c>
    </row>
    <row r="5735" spans="1:9" x14ac:dyDescent="0.25">
      <c r="A5735" s="1">
        <v>2420060016</v>
      </c>
      <c r="B5735" s="1" t="s">
        <v>3564</v>
      </c>
      <c r="C5735" s="1" t="s">
        <v>139</v>
      </c>
      <c r="D5735" s="1" t="s">
        <v>140</v>
      </c>
      <c r="E5735" s="3">
        <v>14000</v>
      </c>
      <c r="F5735" s="1" t="s">
        <v>36</v>
      </c>
      <c r="G5735" s="1">
        <v>0</v>
      </c>
      <c r="H5735" s="1">
        <v>0</v>
      </c>
      <c r="I5735" s="1">
        <v>1.171923</v>
      </c>
    </row>
    <row r="5736" spans="1:9" x14ac:dyDescent="0.25">
      <c r="A5736" s="1">
        <v>2420060017</v>
      </c>
      <c r="B5736" s="1" t="s">
        <v>3565</v>
      </c>
      <c r="C5736" s="1" t="s">
        <v>130</v>
      </c>
      <c r="D5736" s="1" t="s">
        <v>131</v>
      </c>
      <c r="E5736" s="3">
        <v>495000</v>
      </c>
      <c r="F5736" s="1" t="s">
        <v>36</v>
      </c>
      <c r="G5736" s="3">
        <v>0</v>
      </c>
      <c r="H5736" s="1">
        <v>0</v>
      </c>
      <c r="I5736" s="1">
        <v>4.7777E-2</v>
      </c>
    </row>
    <row r="5737" spans="1:9" x14ac:dyDescent="0.25">
      <c r="A5737" s="1">
        <v>2420060018</v>
      </c>
      <c r="B5737" s="1" t="s">
        <v>3566</v>
      </c>
      <c r="C5737" s="1" t="s">
        <v>139</v>
      </c>
      <c r="D5737" s="1" t="s">
        <v>140</v>
      </c>
      <c r="E5737" s="3">
        <v>49200</v>
      </c>
      <c r="F5737" s="1" t="s">
        <v>36</v>
      </c>
      <c r="G5737" s="1">
        <v>0</v>
      </c>
      <c r="H5737" s="1">
        <v>0</v>
      </c>
      <c r="I5737" s="1">
        <v>1.2398659999999999</v>
      </c>
    </row>
    <row r="5738" spans="1:9" x14ac:dyDescent="0.25">
      <c r="A5738" s="1">
        <v>2420070008</v>
      </c>
      <c r="B5738" s="1" t="s">
        <v>3567</v>
      </c>
      <c r="C5738" s="1" t="s">
        <v>523</v>
      </c>
      <c r="D5738" s="1" t="s">
        <v>524</v>
      </c>
      <c r="E5738" s="3">
        <v>1103.9965999999999</v>
      </c>
      <c r="F5738" s="1" t="s">
        <v>36</v>
      </c>
      <c r="G5738" s="1">
        <v>0</v>
      </c>
      <c r="H5738" s="1">
        <v>0</v>
      </c>
      <c r="I5738" s="1">
        <v>0.32679399999999997</v>
      </c>
    </row>
    <row r="5739" spans="1:9" x14ac:dyDescent="0.25">
      <c r="A5739" s="1">
        <v>2420080009</v>
      </c>
      <c r="B5739" s="1" t="s">
        <v>3568</v>
      </c>
      <c r="C5739" s="1" t="s">
        <v>523</v>
      </c>
      <c r="D5739" s="1" t="s">
        <v>524</v>
      </c>
      <c r="E5739" s="3">
        <v>0</v>
      </c>
      <c r="F5739" s="1" t="s">
        <v>36</v>
      </c>
      <c r="G5739" s="1">
        <v>0</v>
      </c>
      <c r="H5739" s="3">
        <v>29425</v>
      </c>
      <c r="I5739" s="1">
        <v>0.205988</v>
      </c>
    </row>
    <row r="5740" spans="1:9" x14ac:dyDescent="0.25">
      <c r="A5740" s="1">
        <v>2420080018</v>
      </c>
      <c r="B5740" s="1" t="s">
        <v>3569</v>
      </c>
      <c r="C5740" s="1" t="s">
        <v>523</v>
      </c>
      <c r="D5740" s="1" t="s">
        <v>524</v>
      </c>
      <c r="E5740" s="1">
        <v>584</v>
      </c>
      <c r="F5740" s="1" t="s">
        <v>36</v>
      </c>
      <c r="G5740" s="1">
        <v>0</v>
      </c>
      <c r="H5740" s="1">
        <v>0</v>
      </c>
      <c r="I5740" s="1">
        <v>0.55265399999999998</v>
      </c>
    </row>
    <row r="5741" spans="1:9" x14ac:dyDescent="0.25">
      <c r="A5741" s="1">
        <v>2420080040</v>
      </c>
      <c r="B5741" s="1" t="s">
        <v>3570</v>
      </c>
      <c r="C5741" s="1" t="s">
        <v>523</v>
      </c>
      <c r="D5741" s="1" t="s">
        <v>524</v>
      </c>
      <c r="E5741" s="1">
        <v>975</v>
      </c>
      <c r="F5741" s="1" t="s">
        <v>36</v>
      </c>
      <c r="G5741" s="1">
        <v>0</v>
      </c>
      <c r="H5741" s="1">
        <v>17</v>
      </c>
      <c r="I5741" s="1">
        <v>0.50666699999999998</v>
      </c>
    </row>
    <row r="5742" spans="1:9" x14ac:dyDescent="0.25">
      <c r="A5742" s="1">
        <v>2420080071</v>
      </c>
      <c r="B5742" s="1" t="s">
        <v>3571</v>
      </c>
      <c r="C5742" s="1" t="s">
        <v>523</v>
      </c>
      <c r="D5742" s="1" t="s">
        <v>524</v>
      </c>
      <c r="E5742" s="1">
        <v>11</v>
      </c>
      <c r="F5742" s="1" t="s">
        <v>89</v>
      </c>
      <c r="G5742" s="1">
        <v>0</v>
      </c>
      <c r="H5742" s="1">
        <v>0</v>
      </c>
      <c r="I5742" s="1">
        <v>4.32</v>
      </c>
    </row>
    <row r="5743" spans="1:9" x14ac:dyDescent="0.25">
      <c r="A5743" s="1">
        <v>2420080071</v>
      </c>
      <c r="B5743" s="1" t="s">
        <v>3571</v>
      </c>
      <c r="C5743" s="1" t="s">
        <v>157</v>
      </c>
      <c r="D5743" s="1" t="s">
        <v>158</v>
      </c>
      <c r="E5743" s="3">
        <v>18866</v>
      </c>
      <c r="F5743" s="1" t="s">
        <v>89</v>
      </c>
      <c r="G5743" s="1">
        <v>0</v>
      </c>
      <c r="H5743" s="1">
        <v>0</v>
      </c>
      <c r="I5743" s="1">
        <v>4.3202069999999999</v>
      </c>
    </row>
    <row r="5744" spans="1:9" x14ac:dyDescent="0.25">
      <c r="A5744" s="1">
        <v>2420080075</v>
      </c>
      <c r="B5744" s="1" t="s">
        <v>3572</v>
      </c>
      <c r="C5744" s="1" t="s">
        <v>157</v>
      </c>
      <c r="D5744" s="1" t="s">
        <v>158</v>
      </c>
      <c r="E5744" s="1">
        <v>448.4</v>
      </c>
      <c r="F5744" s="1" t="s">
        <v>89</v>
      </c>
      <c r="G5744" s="1">
        <v>0</v>
      </c>
      <c r="H5744" s="1">
        <v>0</v>
      </c>
      <c r="I5744" s="1">
        <v>4.3214090000000001</v>
      </c>
    </row>
    <row r="5745" spans="1:9" x14ac:dyDescent="0.25">
      <c r="A5745" s="1">
        <v>2420080077</v>
      </c>
      <c r="B5745" s="1" t="s">
        <v>3573</v>
      </c>
      <c r="C5745" s="1" t="s">
        <v>157</v>
      </c>
      <c r="D5745" s="1" t="s">
        <v>158</v>
      </c>
      <c r="E5745" s="3">
        <v>8624</v>
      </c>
      <c r="F5745" s="1" t="s">
        <v>89</v>
      </c>
      <c r="G5745" s="1">
        <v>0</v>
      </c>
      <c r="H5745" s="1">
        <v>0</v>
      </c>
      <c r="I5745" s="1">
        <v>4.4791040000000004</v>
      </c>
    </row>
    <row r="5746" spans="1:9" x14ac:dyDescent="0.25">
      <c r="A5746" s="1">
        <v>2420080078</v>
      </c>
      <c r="B5746" s="1" t="s">
        <v>3574</v>
      </c>
      <c r="C5746" s="1" t="s">
        <v>523</v>
      </c>
      <c r="D5746" s="1" t="s">
        <v>524</v>
      </c>
      <c r="E5746" s="1">
        <v>33.042999999999999</v>
      </c>
      <c r="F5746" s="1" t="s">
        <v>89</v>
      </c>
      <c r="G5746" s="1">
        <v>0</v>
      </c>
      <c r="H5746" s="1">
        <v>0</v>
      </c>
      <c r="I5746" s="1">
        <v>4.3171020000000002</v>
      </c>
    </row>
    <row r="5747" spans="1:9" x14ac:dyDescent="0.25">
      <c r="A5747" s="1">
        <v>2420080089</v>
      </c>
      <c r="B5747" s="1" t="s">
        <v>3575</v>
      </c>
      <c r="C5747" s="1" t="s">
        <v>130</v>
      </c>
      <c r="D5747" s="1" t="s">
        <v>131</v>
      </c>
      <c r="E5747" s="3">
        <v>1500</v>
      </c>
      <c r="F5747" s="1" t="s">
        <v>36</v>
      </c>
      <c r="G5747" s="1">
        <v>0</v>
      </c>
      <c r="H5747" s="1">
        <v>0</v>
      </c>
      <c r="I5747" s="1">
        <v>0.42749300000000001</v>
      </c>
    </row>
    <row r="5748" spans="1:9" x14ac:dyDescent="0.25">
      <c r="A5748" s="1">
        <v>2420080090</v>
      </c>
      <c r="B5748" s="1" t="s">
        <v>3576</v>
      </c>
      <c r="C5748" s="1" t="s">
        <v>139</v>
      </c>
      <c r="D5748" s="1" t="s">
        <v>140</v>
      </c>
      <c r="E5748" s="3">
        <v>80000</v>
      </c>
      <c r="F5748" s="1" t="s">
        <v>36</v>
      </c>
      <c r="G5748" s="1">
        <v>0</v>
      </c>
      <c r="H5748" s="1">
        <v>0</v>
      </c>
      <c r="I5748" s="1">
        <v>0.39946300000000001</v>
      </c>
    </row>
    <row r="5749" spans="1:9" x14ac:dyDescent="0.25">
      <c r="A5749" s="1">
        <v>2420100001</v>
      </c>
      <c r="B5749" s="1" t="s">
        <v>3577</v>
      </c>
      <c r="C5749" s="1" t="s">
        <v>523</v>
      </c>
      <c r="D5749" s="1" t="s">
        <v>524</v>
      </c>
      <c r="E5749" s="1">
        <v>592</v>
      </c>
      <c r="F5749" s="1" t="s">
        <v>36</v>
      </c>
      <c r="G5749" s="1">
        <v>0</v>
      </c>
      <c r="H5749" s="1">
        <v>0</v>
      </c>
      <c r="I5749" s="1">
        <v>0.22182399999999999</v>
      </c>
    </row>
    <row r="5750" spans="1:9" x14ac:dyDescent="0.25">
      <c r="A5750" s="1">
        <v>2420120003</v>
      </c>
      <c r="B5750" s="1" t="s">
        <v>3578</v>
      </c>
      <c r="C5750" s="1" t="s">
        <v>523</v>
      </c>
      <c r="D5750" s="1" t="s">
        <v>524</v>
      </c>
      <c r="E5750" s="3">
        <v>0.7</v>
      </c>
      <c r="F5750" s="1" t="s">
        <v>89</v>
      </c>
      <c r="G5750" s="1">
        <v>0</v>
      </c>
      <c r="H5750" s="1">
        <v>0</v>
      </c>
      <c r="I5750" s="1">
        <v>28.528570999999999</v>
      </c>
    </row>
    <row r="5751" spans="1:9" x14ac:dyDescent="0.25">
      <c r="A5751" s="1">
        <v>2420120004</v>
      </c>
      <c r="B5751" s="1" t="s">
        <v>3579</v>
      </c>
      <c r="C5751" s="1" t="s">
        <v>523</v>
      </c>
      <c r="D5751" s="1" t="s">
        <v>524</v>
      </c>
      <c r="E5751" s="1">
        <v>4.5999999999999996</v>
      </c>
      <c r="F5751" s="1" t="s">
        <v>89</v>
      </c>
      <c r="G5751" s="1">
        <v>0</v>
      </c>
      <c r="H5751" s="1">
        <v>0</v>
      </c>
      <c r="I5751" s="1">
        <v>25.193477999999999</v>
      </c>
    </row>
    <row r="5752" spans="1:9" x14ac:dyDescent="0.25">
      <c r="A5752" s="1">
        <v>2420120009</v>
      </c>
      <c r="B5752" s="1" t="s">
        <v>3580</v>
      </c>
      <c r="C5752" s="1" t="s">
        <v>523</v>
      </c>
      <c r="D5752" s="1" t="s">
        <v>524</v>
      </c>
      <c r="E5752" s="3">
        <v>0.37</v>
      </c>
      <c r="F5752" s="1" t="s">
        <v>89</v>
      </c>
      <c r="G5752" s="1">
        <v>0</v>
      </c>
      <c r="H5752" s="1">
        <v>0</v>
      </c>
      <c r="I5752" s="1">
        <v>64.675675999999996</v>
      </c>
    </row>
    <row r="5753" spans="1:9" x14ac:dyDescent="0.25">
      <c r="A5753" s="1">
        <v>2420120015</v>
      </c>
      <c r="B5753" s="1" t="s">
        <v>3581</v>
      </c>
      <c r="C5753" s="1" t="s">
        <v>523</v>
      </c>
      <c r="D5753" s="1" t="s">
        <v>524</v>
      </c>
      <c r="E5753" s="1">
        <v>3.6</v>
      </c>
      <c r="F5753" s="1" t="s">
        <v>89</v>
      </c>
      <c r="G5753" s="1">
        <v>0</v>
      </c>
      <c r="H5753" s="1">
        <v>0</v>
      </c>
      <c r="I5753" s="1">
        <v>47.586111000000002</v>
      </c>
    </row>
    <row r="5754" spans="1:9" x14ac:dyDescent="0.25">
      <c r="A5754" s="1">
        <v>2420120033</v>
      </c>
      <c r="B5754" s="1" t="s">
        <v>3582</v>
      </c>
      <c r="C5754" s="1" t="s">
        <v>523</v>
      </c>
      <c r="D5754" s="1" t="s">
        <v>524</v>
      </c>
      <c r="E5754" s="1">
        <v>1</v>
      </c>
      <c r="F5754" s="1" t="s">
        <v>89</v>
      </c>
      <c r="G5754" s="1">
        <v>0</v>
      </c>
      <c r="H5754" s="1">
        <v>0</v>
      </c>
      <c r="I5754" s="1">
        <v>100.7</v>
      </c>
    </row>
    <row r="5755" spans="1:9" x14ac:dyDescent="0.25">
      <c r="A5755" s="1">
        <v>2420120034</v>
      </c>
      <c r="B5755" s="1" t="s">
        <v>3583</v>
      </c>
      <c r="C5755" s="1" t="s">
        <v>523</v>
      </c>
      <c r="D5755" s="1" t="s">
        <v>524</v>
      </c>
      <c r="E5755" s="1">
        <v>0.75</v>
      </c>
      <c r="F5755" s="1" t="s">
        <v>89</v>
      </c>
      <c r="G5755" s="1">
        <v>0</v>
      </c>
      <c r="H5755" s="3">
        <v>0</v>
      </c>
      <c r="I5755" s="1">
        <v>57.88</v>
      </c>
    </row>
    <row r="5756" spans="1:9" x14ac:dyDescent="0.25">
      <c r="A5756" s="1">
        <v>2420120050</v>
      </c>
      <c r="B5756" s="1" t="s">
        <v>3584</v>
      </c>
      <c r="C5756" s="1" t="s">
        <v>523</v>
      </c>
      <c r="D5756" s="1" t="s">
        <v>524</v>
      </c>
      <c r="E5756" s="3">
        <v>0</v>
      </c>
      <c r="F5756" s="1" t="s">
        <v>89</v>
      </c>
      <c r="G5756" s="1">
        <v>0</v>
      </c>
      <c r="H5756" s="1">
        <v>2.5</v>
      </c>
      <c r="I5756" s="1">
        <v>75.891891999999999</v>
      </c>
    </row>
    <row r="5757" spans="1:9" x14ac:dyDescent="0.25">
      <c r="A5757" s="1">
        <v>2420120059</v>
      </c>
      <c r="B5757" s="1" t="s">
        <v>3585</v>
      </c>
      <c r="C5757" s="1" t="s">
        <v>523</v>
      </c>
      <c r="D5757" s="1" t="s">
        <v>524</v>
      </c>
      <c r="E5757" s="3">
        <v>4.2</v>
      </c>
      <c r="F5757" s="1" t="s">
        <v>89</v>
      </c>
      <c r="G5757" s="1">
        <v>0</v>
      </c>
      <c r="H5757" s="1">
        <v>0</v>
      </c>
      <c r="I5757" s="1">
        <v>158.42618999999999</v>
      </c>
    </row>
    <row r="5758" spans="1:9" x14ac:dyDescent="0.25">
      <c r="A5758" s="1">
        <v>2420120081</v>
      </c>
      <c r="B5758" s="1" t="s">
        <v>3586</v>
      </c>
      <c r="C5758" s="1" t="s">
        <v>523</v>
      </c>
      <c r="D5758" s="1" t="s">
        <v>524</v>
      </c>
      <c r="E5758" s="3">
        <v>0.95</v>
      </c>
      <c r="F5758" s="1" t="s">
        <v>89</v>
      </c>
      <c r="G5758" s="1">
        <v>0</v>
      </c>
      <c r="H5758" s="1">
        <v>0</v>
      </c>
      <c r="I5758" s="1">
        <v>122.4</v>
      </c>
    </row>
    <row r="5759" spans="1:9" x14ac:dyDescent="0.25">
      <c r="A5759" s="1">
        <v>2420120087</v>
      </c>
      <c r="B5759" s="1" t="s">
        <v>3587</v>
      </c>
      <c r="C5759" s="1" t="s">
        <v>523</v>
      </c>
      <c r="D5759" s="1" t="s">
        <v>524</v>
      </c>
      <c r="E5759" s="1">
        <v>3.25</v>
      </c>
      <c r="F5759" s="1" t="s">
        <v>89</v>
      </c>
      <c r="G5759" s="1">
        <v>0</v>
      </c>
      <c r="H5759" s="1">
        <v>0</v>
      </c>
      <c r="I5759" s="1">
        <v>86.526154000000005</v>
      </c>
    </row>
    <row r="5760" spans="1:9" x14ac:dyDescent="0.25">
      <c r="A5760" s="1">
        <v>2420120088</v>
      </c>
      <c r="B5760" s="1" t="s">
        <v>3588</v>
      </c>
      <c r="C5760" s="1" t="s">
        <v>523</v>
      </c>
      <c r="D5760" s="1" t="s">
        <v>524</v>
      </c>
      <c r="E5760" s="1">
        <v>14.25</v>
      </c>
      <c r="F5760" s="1" t="s">
        <v>89</v>
      </c>
      <c r="G5760" s="1">
        <v>0</v>
      </c>
      <c r="H5760" s="1">
        <v>0</v>
      </c>
      <c r="I5760" s="1">
        <v>50.875087999999998</v>
      </c>
    </row>
    <row r="5761" spans="1:9" x14ac:dyDescent="0.25">
      <c r="A5761" s="1">
        <v>2420140003</v>
      </c>
      <c r="B5761" s="1" t="s">
        <v>3589</v>
      </c>
      <c r="C5761" s="1" t="s">
        <v>523</v>
      </c>
      <c r="D5761" s="1" t="s">
        <v>524</v>
      </c>
      <c r="E5761" s="1">
        <v>1</v>
      </c>
      <c r="F5761" s="1" t="s">
        <v>3382</v>
      </c>
      <c r="G5761" s="3">
        <v>0</v>
      </c>
      <c r="H5761" s="1">
        <v>0</v>
      </c>
      <c r="I5761" s="1">
        <v>14.72</v>
      </c>
    </row>
    <row r="5762" spans="1:9" x14ac:dyDescent="0.25">
      <c r="A5762" s="1">
        <v>2420140004</v>
      </c>
      <c r="B5762" s="1" t="s">
        <v>3590</v>
      </c>
      <c r="C5762" s="1" t="s">
        <v>523</v>
      </c>
      <c r="D5762" s="1" t="s">
        <v>524</v>
      </c>
      <c r="E5762" s="1">
        <v>1.4</v>
      </c>
      <c r="F5762" s="1" t="s">
        <v>3382</v>
      </c>
      <c r="G5762" s="1">
        <v>0</v>
      </c>
      <c r="H5762" s="1">
        <v>0</v>
      </c>
      <c r="I5762" s="1">
        <v>7.5857140000000003</v>
      </c>
    </row>
    <row r="5763" spans="1:9" x14ac:dyDescent="0.25">
      <c r="A5763" s="1">
        <v>2420150007</v>
      </c>
      <c r="B5763" s="1" t="s">
        <v>3591</v>
      </c>
      <c r="C5763" s="1" t="s">
        <v>523</v>
      </c>
      <c r="D5763" s="1" t="s">
        <v>524</v>
      </c>
      <c r="E5763" s="3">
        <v>0</v>
      </c>
      <c r="F5763" s="1" t="s">
        <v>89</v>
      </c>
      <c r="G5763" s="1">
        <v>0</v>
      </c>
      <c r="H5763" s="1">
        <v>17</v>
      </c>
      <c r="I5763" s="1">
        <v>0</v>
      </c>
    </row>
    <row r="5764" spans="1:9" x14ac:dyDescent="0.25">
      <c r="A5764" s="1">
        <v>2420150022</v>
      </c>
      <c r="B5764" s="1" t="s">
        <v>3592</v>
      </c>
      <c r="C5764" s="1" t="s">
        <v>523</v>
      </c>
      <c r="D5764" s="1" t="s">
        <v>524</v>
      </c>
      <c r="E5764" s="1">
        <v>7.5</v>
      </c>
      <c r="F5764" s="1" t="s">
        <v>89</v>
      </c>
      <c r="G5764" s="1">
        <v>0</v>
      </c>
      <c r="H5764" s="1">
        <v>0</v>
      </c>
      <c r="I5764" s="1">
        <v>21.590667</v>
      </c>
    </row>
    <row r="5765" spans="1:9" x14ac:dyDescent="0.25">
      <c r="A5765" s="1">
        <v>2420150024</v>
      </c>
      <c r="B5765" s="1" t="s">
        <v>3593</v>
      </c>
      <c r="C5765" s="1" t="s">
        <v>523</v>
      </c>
      <c r="D5765" s="1" t="s">
        <v>524</v>
      </c>
      <c r="E5765" s="1">
        <v>11</v>
      </c>
      <c r="F5765" s="1" t="s">
        <v>89</v>
      </c>
      <c r="G5765" s="1">
        <v>0</v>
      </c>
      <c r="H5765" s="1">
        <v>0</v>
      </c>
      <c r="I5765" s="1">
        <v>20.593636</v>
      </c>
    </row>
    <row r="5766" spans="1:9" x14ac:dyDescent="0.25">
      <c r="A5766" s="1">
        <v>2420180003</v>
      </c>
      <c r="B5766" s="1" t="s">
        <v>3594</v>
      </c>
      <c r="C5766" s="1" t="s">
        <v>523</v>
      </c>
      <c r="D5766" s="1" t="s">
        <v>524</v>
      </c>
      <c r="E5766" s="1">
        <v>132.34</v>
      </c>
      <c r="F5766" s="1" t="s">
        <v>89</v>
      </c>
      <c r="G5766" s="1">
        <v>0</v>
      </c>
      <c r="H5766" s="1">
        <v>0</v>
      </c>
      <c r="I5766" s="1">
        <v>5.1364669999999997</v>
      </c>
    </row>
    <row r="5767" spans="1:9" x14ac:dyDescent="0.25">
      <c r="A5767" s="1">
        <v>2420190010</v>
      </c>
      <c r="B5767" s="1" t="s">
        <v>3595</v>
      </c>
      <c r="C5767" s="1" t="s">
        <v>523</v>
      </c>
      <c r="D5767" s="1" t="s">
        <v>524</v>
      </c>
      <c r="E5767" s="1">
        <v>208.0043</v>
      </c>
      <c r="F5767" s="1" t="s">
        <v>36</v>
      </c>
      <c r="G5767" s="1">
        <v>0</v>
      </c>
      <c r="H5767" s="1">
        <v>0</v>
      </c>
      <c r="I5767" s="1">
        <v>15.214734</v>
      </c>
    </row>
    <row r="5768" spans="1:9" x14ac:dyDescent="0.25">
      <c r="A5768" s="1">
        <v>2420190012</v>
      </c>
      <c r="B5768" s="1" t="s">
        <v>3596</v>
      </c>
      <c r="C5768" s="1" t="s">
        <v>523</v>
      </c>
      <c r="D5768" s="1" t="s">
        <v>524</v>
      </c>
      <c r="E5768" s="1">
        <v>17.899999999999999</v>
      </c>
      <c r="F5768" s="1" t="s">
        <v>36</v>
      </c>
      <c r="G5768" s="1">
        <v>0</v>
      </c>
      <c r="H5768" s="1">
        <v>100</v>
      </c>
      <c r="I5768" s="1">
        <v>17.034637</v>
      </c>
    </row>
    <row r="5769" spans="1:9" x14ac:dyDescent="0.25">
      <c r="A5769" s="1">
        <v>2420190013</v>
      </c>
      <c r="B5769" s="1" t="s">
        <v>3597</v>
      </c>
      <c r="C5769" s="1" t="s">
        <v>523</v>
      </c>
      <c r="D5769" s="1" t="s">
        <v>524</v>
      </c>
      <c r="E5769" s="1">
        <v>70.772000000000006</v>
      </c>
      <c r="F5769" s="1" t="s">
        <v>36</v>
      </c>
      <c r="G5769" s="1">
        <v>0</v>
      </c>
      <c r="H5769" s="1">
        <v>-4</v>
      </c>
      <c r="I5769" s="1">
        <v>26.783049999999999</v>
      </c>
    </row>
    <row r="5770" spans="1:9" x14ac:dyDescent="0.25">
      <c r="A5770" s="1">
        <v>2420220074</v>
      </c>
      <c r="B5770" s="1" t="s">
        <v>3598</v>
      </c>
      <c r="C5770" s="1" t="s">
        <v>523</v>
      </c>
      <c r="D5770" s="1" t="s">
        <v>524</v>
      </c>
      <c r="E5770" s="1">
        <v>0</v>
      </c>
      <c r="F5770" s="1" t="s">
        <v>89</v>
      </c>
      <c r="G5770" s="1">
        <v>0</v>
      </c>
      <c r="H5770" s="1">
        <v>2.5</v>
      </c>
      <c r="I5770" s="1">
        <v>24.166667</v>
      </c>
    </row>
    <row r="5771" spans="1:9" x14ac:dyDescent="0.25">
      <c r="A5771" s="1">
        <v>2420220075</v>
      </c>
      <c r="B5771" s="1" t="s">
        <v>3599</v>
      </c>
      <c r="C5771" s="1" t="s">
        <v>523</v>
      </c>
      <c r="D5771" s="1" t="s">
        <v>524</v>
      </c>
      <c r="E5771" s="1">
        <v>3.76</v>
      </c>
      <c r="F5771" s="1" t="s">
        <v>89</v>
      </c>
      <c r="G5771" s="1">
        <v>0</v>
      </c>
      <c r="H5771" s="1">
        <v>5</v>
      </c>
      <c r="I5771" s="1">
        <v>24.215426000000001</v>
      </c>
    </row>
    <row r="5772" spans="1:9" x14ac:dyDescent="0.25">
      <c r="A5772" s="1">
        <v>2420220076</v>
      </c>
      <c r="B5772" s="1" t="s">
        <v>3600</v>
      </c>
      <c r="C5772" s="1" t="s">
        <v>523</v>
      </c>
      <c r="D5772" s="1" t="s">
        <v>524</v>
      </c>
      <c r="E5772" s="1">
        <v>2.82</v>
      </c>
      <c r="F5772" s="1" t="s">
        <v>89</v>
      </c>
      <c r="G5772" s="1">
        <v>0</v>
      </c>
      <c r="H5772" s="1">
        <v>5</v>
      </c>
      <c r="I5772" s="1">
        <v>24.216311999999999</v>
      </c>
    </row>
    <row r="5773" spans="1:9" x14ac:dyDescent="0.25">
      <c r="A5773" s="1">
        <v>2420220077</v>
      </c>
      <c r="B5773" s="1" t="s">
        <v>3601</v>
      </c>
      <c r="C5773" s="1" t="s">
        <v>523</v>
      </c>
      <c r="D5773" s="1" t="s">
        <v>524</v>
      </c>
      <c r="E5773" s="1">
        <v>2.46</v>
      </c>
      <c r="F5773" s="1" t="s">
        <v>89</v>
      </c>
      <c r="G5773" s="1">
        <v>0</v>
      </c>
      <c r="H5773" s="1">
        <v>0</v>
      </c>
      <c r="I5773" s="1">
        <v>24.215447000000001</v>
      </c>
    </row>
    <row r="5774" spans="1:9" x14ac:dyDescent="0.25">
      <c r="A5774" s="1">
        <v>2420230002</v>
      </c>
      <c r="B5774" s="1" t="s">
        <v>3602</v>
      </c>
      <c r="C5774" s="1" t="s">
        <v>523</v>
      </c>
      <c r="D5774" s="1" t="s">
        <v>524</v>
      </c>
      <c r="E5774" s="1">
        <v>3.37</v>
      </c>
      <c r="F5774" s="1" t="s">
        <v>89</v>
      </c>
      <c r="G5774" s="1">
        <v>0</v>
      </c>
      <c r="H5774" s="1">
        <v>2</v>
      </c>
      <c r="I5774" s="1">
        <v>15.62908</v>
      </c>
    </row>
    <row r="5775" spans="1:9" x14ac:dyDescent="0.25">
      <c r="A5775" s="1">
        <v>2420230003</v>
      </c>
      <c r="B5775" s="1" t="s">
        <v>3603</v>
      </c>
      <c r="C5775" s="1" t="s">
        <v>523</v>
      </c>
      <c r="D5775" s="1" t="s">
        <v>524</v>
      </c>
      <c r="E5775" s="1">
        <v>3.44</v>
      </c>
      <c r="F5775" s="1" t="s">
        <v>89</v>
      </c>
      <c r="G5775" s="1">
        <v>0</v>
      </c>
      <c r="H5775" s="1">
        <v>0</v>
      </c>
      <c r="I5775" s="1">
        <v>7.8779070000000004</v>
      </c>
    </row>
    <row r="5776" spans="1:9" x14ac:dyDescent="0.25">
      <c r="A5776" s="1">
        <v>2420230006</v>
      </c>
      <c r="B5776" s="1" t="s">
        <v>3604</v>
      </c>
      <c r="C5776" s="1" t="s">
        <v>523</v>
      </c>
      <c r="D5776" s="1" t="s">
        <v>524</v>
      </c>
      <c r="E5776" s="1">
        <v>2.8</v>
      </c>
      <c r="F5776" s="1" t="s">
        <v>89</v>
      </c>
      <c r="G5776" s="1">
        <v>0</v>
      </c>
      <c r="H5776" s="1">
        <v>0</v>
      </c>
      <c r="I5776" s="1">
        <v>10.025</v>
      </c>
    </row>
    <row r="5777" spans="1:9" x14ac:dyDescent="0.25">
      <c r="A5777" s="1">
        <v>2420240015</v>
      </c>
      <c r="B5777" s="1" t="s">
        <v>3605</v>
      </c>
      <c r="C5777" s="1" t="s">
        <v>523</v>
      </c>
      <c r="D5777" s="1" t="s">
        <v>524</v>
      </c>
      <c r="E5777" s="1">
        <v>12.55</v>
      </c>
      <c r="F5777" s="1" t="s">
        <v>89</v>
      </c>
      <c r="G5777" s="1">
        <v>0</v>
      </c>
      <c r="H5777" s="1">
        <v>0</v>
      </c>
      <c r="I5777" s="1">
        <v>12.772112</v>
      </c>
    </row>
    <row r="5778" spans="1:9" x14ac:dyDescent="0.25">
      <c r="A5778" s="1">
        <v>2420300015</v>
      </c>
      <c r="B5778" s="1" t="s">
        <v>3606</v>
      </c>
      <c r="C5778" s="1" t="s">
        <v>523</v>
      </c>
      <c r="D5778" s="1" t="s">
        <v>524</v>
      </c>
      <c r="E5778" s="3">
        <v>1.3</v>
      </c>
      <c r="F5778" s="1" t="s">
        <v>89</v>
      </c>
      <c r="G5778" s="1">
        <v>0</v>
      </c>
      <c r="H5778" s="3">
        <v>0</v>
      </c>
      <c r="I5778" s="1">
        <v>39.784615000000002</v>
      </c>
    </row>
    <row r="5779" spans="1:9" x14ac:dyDescent="0.25">
      <c r="A5779" s="1">
        <v>2430230003</v>
      </c>
      <c r="B5779" s="1" t="s">
        <v>3607</v>
      </c>
      <c r="C5779" s="1" t="s">
        <v>1480</v>
      </c>
      <c r="D5779" s="1" t="s">
        <v>1481</v>
      </c>
      <c r="E5779" s="1">
        <v>165</v>
      </c>
      <c r="F5779" s="1" t="s">
        <v>89</v>
      </c>
      <c r="G5779" s="1">
        <v>0</v>
      </c>
      <c r="H5779" s="1">
        <v>0</v>
      </c>
      <c r="I5779" s="1">
        <v>6.9866669999999997</v>
      </c>
    </row>
    <row r="5780" spans="1:9" x14ac:dyDescent="0.25">
      <c r="A5780" s="1">
        <v>2430300005</v>
      </c>
      <c r="B5780" s="1" t="s">
        <v>3608</v>
      </c>
      <c r="C5780" s="1" t="s">
        <v>130</v>
      </c>
      <c r="D5780" s="1" t="s">
        <v>131</v>
      </c>
      <c r="E5780" s="1">
        <v>74.938000000000002</v>
      </c>
      <c r="F5780" s="1" t="s">
        <v>89</v>
      </c>
      <c r="G5780" s="1">
        <v>0</v>
      </c>
      <c r="H5780" s="1">
        <v>0</v>
      </c>
      <c r="I5780" s="1">
        <v>16.978569</v>
      </c>
    </row>
    <row r="5781" spans="1:9" x14ac:dyDescent="0.25">
      <c r="A5781" s="1">
        <v>2430310004</v>
      </c>
      <c r="B5781" s="1" t="s">
        <v>3609</v>
      </c>
      <c r="C5781" s="1" t="s">
        <v>130</v>
      </c>
      <c r="D5781" s="1" t="s">
        <v>131</v>
      </c>
      <c r="E5781" s="1">
        <v>20.100000000000001</v>
      </c>
      <c r="F5781" s="1" t="s">
        <v>89</v>
      </c>
      <c r="G5781" s="1">
        <v>0</v>
      </c>
      <c r="H5781" s="1">
        <v>0</v>
      </c>
      <c r="I5781" s="1">
        <v>71.874128999999996</v>
      </c>
    </row>
    <row r="5782" spans="1:9" x14ac:dyDescent="0.25">
      <c r="A5782" s="1">
        <v>2430310007</v>
      </c>
      <c r="B5782" s="1" t="s">
        <v>3610</v>
      </c>
      <c r="C5782" s="1" t="s">
        <v>130</v>
      </c>
      <c r="D5782" s="1" t="s">
        <v>131</v>
      </c>
      <c r="E5782" s="3">
        <v>170.7</v>
      </c>
      <c r="F5782" s="1" t="s">
        <v>89</v>
      </c>
      <c r="G5782" s="1">
        <v>0</v>
      </c>
      <c r="H5782" s="1">
        <v>0</v>
      </c>
      <c r="I5782" s="1">
        <v>4.7399529999999999</v>
      </c>
    </row>
    <row r="5783" spans="1:9" x14ac:dyDescent="0.25">
      <c r="A5783" s="1">
        <v>2430310007</v>
      </c>
      <c r="B5783" s="1" t="s">
        <v>3610</v>
      </c>
      <c r="C5783" s="1" t="s">
        <v>1480</v>
      </c>
      <c r="D5783" s="1" t="s">
        <v>1481</v>
      </c>
      <c r="E5783" s="1">
        <v>113</v>
      </c>
      <c r="F5783" s="1" t="s">
        <v>89</v>
      </c>
      <c r="G5783" s="1">
        <v>0</v>
      </c>
      <c r="H5783" s="1">
        <v>254</v>
      </c>
      <c r="I5783" s="1">
        <v>4.7425660000000001</v>
      </c>
    </row>
    <row r="5784" spans="1:9" x14ac:dyDescent="0.25">
      <c r="A5784" s="1">
        <v>2430330004</v>
      </c>
      <c r="B5784" s="1" t="s">
        <v>3611</v>
      </c>
      <c r="C5784" s="1" t="s">
        <v>130</v>
      </c>
      <c r="D5784" s="1" t="s">
        <v>131</v>
      </c>
      <c r="E5784" s="3">
        <v>5767.6361999999999</v>
      </c>
      <c r="F5784" s="1" t="s">
        <v>89</v>
      </c>
      <c r="G5784" s="1">
        <v>577.37199999999996</v>
      </c>
      <c r="H5784" s="1">
        <v>0</v>
      </c>
      <c r="I5784" s="1">
        <v>14.394951000000001</v>
      </c>
    </row>
    <row r="5785" spans="1:9" x14ac:dyDescent="0.25">
      <c r="A5785" s="1">
        <v>2430330004</v>
      </c>
      <c r="B5785" s="1" t="s">
        <v>3611</v>
      </c>
      <c r="C5785" s="1" t="s">
        <v>2174</v>
      </c>
      <c r="D5785" s="1" t="s">
        <v>2175</v>
      </c>
      <c r="E5785" s="1">
        <v>163.84700000000001</v>
      </c>
      <c r="F5785" s="1" t="s">
        <v>89</v>
      </c>
      <c r="G5785" s="1">
        <v>0</v>
      </c>
      <c r="H5785" s="1">
        <v>577.37199999999996</v>
      </c>
      <c r="I5785" s="1">
        <v>14.394893</v>
      </c>
    </row>
    <row r="5786" spans="1:9" x14ac:dyDescent="0.25">
      <c r="A5786" s="1">
        <v>2430330005</v>
      </c>
      <c r="B5786" s="1" t="s">
        <v>3612</v>
      </c>
      <c r="C5786" s="1" t="s">
        <v>130</v>
      </c>
      <c r="D5786" s="1" t="s">
        <v>131</v>
      </c>
      <c r="E5786" s="1">
        <v>39.738999999999997</v>
      </c>
      <c r="F5786" s="1" t="s">
        <v>89</v>
      </c>
      <c r="G5786" s="1">
        <v>0</v>
      </c>
      <c r="H5786" s="1">
        <v>0</v>
      </c>
      <c r="I5786" s="1">
        <v>10.012079</v>
      </c>
    </row>
    <row r="5787" spans="1:9" x14ac:dyDescent="0.25">
      <c r="A5787" s="1">
        <v>2430330006</v>
      </c>
      <c r="B5787" s="1" t="s">
        <v>3613</v>
      </c>
      <c r="C5787" s="1" t="s">
        <v>130</v>
      </c>
      <c r="D5787" s="1" t="s">
        <v>131</v>
      </c>
      <c r="E5787" s="1">
        <v>1.5</v>
      </c>
      <c r="F5787" s="1" t="s">
        <v>89</v>
      </c>
      <c r="G5787" s="1">
        <v>0</v>
      </c>
      <c r="H5787" s="1">
        <v>0</v>
      </c>
      <c r="I5787" s="1">
        <v>6.7133330000000004</v>
      </c>
    </row>
    <row r="5788" spans="1:9" x14ac:dyDescent="0.25">
      <c r="A5788" s="1">
        <v>2430330008</v>
      </c>
      <c r="B5788" s="1" t="s">
        <v>3614</v>
      </c>
      <c r="C5788" s="1" t="s">
        <v>130</v>
      </c>
      <c r="D5788" s="1" t="s">
        <v>131</v>
      </c>
      <c r="E5788" s="1">
        <v>70.849999999999994</v>
      </c>
      <c r="F5788" s="1" t="s">
        <v>89</v>
      </c>
      <c r="G5788" s="1">
        <v>0</v>
      </c>
      <c r="H5788" s="1">
        <v>0</v>
      </c>
      <c r="I5788" s="1">
        <v>14.272689</v>
      </c>
    </row>
    <row r="5789" spans="1:9" x14ac:dyDescent="0.25">
      <c r="A5789" s="1">
        <v>2430330010</v>
      </c>
      <c r="B5789" s="1" t="s">
        <v>3615</v>
      </c>
      <c r="C5789" s="1" t="s">
        <v>130</v>
      </c>
      <c r="D5789" s="1" t="s">
        <v>131</v>
      </c>
      <c r="E5789" s="1">
        <v>54.984000000000002</v>
      </c>
      <c r="F5789" s="1" t="s">
        <v>89</v>
      </c>
      <c r="G5789" s="1">
        <v>0</v>
      </c>
      <c r="H5789" s="1">
        <v>0</v>
      </c>
      <c r="I5789" s="1">
        <v>33.497563</v>
      </c>
    </row>
    <row r="5790" spans="1:9" x14ac:dyDescent="0.25">
      <c r="A5790" s="1">
        <v>2430350001</v>
      </c>
      <c r="B5790" s="1" t="s">
        <v>3616</v>
      </c>
      <c r="C5790" s="1" t="s">
        <v>130</v>
      </c>
      <c r="D5790" s="1" t="s">
        <v>131</v>
      </c>
      <c r="E5790" s="1">
        <v>426.84809999999999</v>
      </c>
      <c r="F5790" s="1" t="s">
        <v>89</v>
      </c>
      <c r="G5790" s="1">
        <v>7.79</v>
      </c>
      <c r="H5790" s="1">
        <v>0</v>
      </c>
      <c r="I5790" s="1">
        <v>8.0727779999999996</v>
      </c>
    </row>
    <row r="5791" spans="1:9" x14ac:dyDescent="0.25">
      <c r="A5791" s="1">
        <v>2430350001</v>
      </c>
      <c r="B5791" s="1" t="s">
        <v>3616</v>
      </c>
      <c r="C5791" s="1" t="s">
        <v>142</v>
      </c>
      <c r="D5791" s="1" t="s">
        <v>143</v>
      </c>
      <c r="E5791" s="3">
        <v>0</v>
      </c>
      <c r="F5791" s="1" t="s">
        <v>89</v>
      </c>
      <c r="G5791" s="1">
        <v>0</v>
      </c>
      <c r="H5791" s="1">
        <v>7.79</v>
      </c>
      <c r="I5791" s="1">
        <v>8.4947850000000003</v>
      </c>
    </row>
    <row r="5792" spans="1:9" x14ac:dyDescent="0.25">
      <c r="A5792" s="1">
        <v>2430350001</v>
      </c>
      <c r="B5792" s="1" t="s">
        <v>3616</v>
      </c>
      <c r="C5792" s="1" t="s">
        <v>2174</v>
      </c>
      <c r="D5792" s="1" t="s">
        <v>2175</v>
      </c>
      <c r="E5792" s="1">
        <v>99.239900000000006</v>
      </c>
      <c r="F5792" s="1" t="s">
        <v>89</v>
      </c>
      <c r="G5792" s="1">
        <v>0</v>
      </c>
      <c r="H5792" s="1">
        <v>0</v>
      </c>
      <c r="I5792" s="1">
        <v>8.0996659999999991</v>
      </c>
    </row>
    <row r="5793" spans="1:9" x14ac:dyDescent="0.25">
      <c r="A5793" s="1">
        <v>2430350019</v>
      </c>
      <c r="B5793" s="1" t="s">
        <v>3617</v>
      </c>
      <c r="C5793" s="1" t="s">
        <v>1480</v>
      </c>
      <c r="D5793" s="1" t="s">
        <v>1481</v>
      </c>
      <c r="E5793" s="1">
        <v>0.5</v>
      </c>
      <c r="F5793" s="1" t="s">
        <v>89</v>
      </c>
      <c r="G5793" s="1">
        <v>0</v>
      </c>
      <c r="H5793" s="1">
        <v>1</v>
      </c>
      <c r="I5793" s="1">
        <v>24.8</v>
      </c>
    </row>
    <row r="5794" spans="1:9" x14ac:dyDescent="0.25">
      <c r="A5794" s="1">
        <v>2430360005</v>
      </c>
      <c r="B5794" s="1" t="s">
        <v>3618</v>
      </c>
      <c r="C5794" s="1" t="s">
        <v>130</v>
      </c>
      <c r="D5794" s="1" t="s">
        <v>131</v>
      </c>
      <c r="E5794" s="1">
        <v>63.5</v>
      </c>
      <c r="F5794" s="1" t="s">
        <v>89</v>
      </c>
      <c r="G5794" s="1">
        <v>0</v>
      </c>
      <c r="H5794" s="1">
        <v>0</v>
      </c>
      <c r="I5794" s="1">
        <v>7.3744880000000004</v>
      </c>
    </row>
    <row r="5795" spans="1:9" x14ac:dyDescent="0.25">
      <c r="A5795" s="1">
        <v>2430380013</v>
      </c>
      <c r="B5795" s="1" t="s">
        <v>3619</v>
      </c>
      <c r="C5795" s="1" t="s">
        <v>1480</v>
      </c>
      <c r="D5795" s="1" t="s">
        <v>1481</v>
      </c>
      <c r="E5795" s="1">
        <v>27</v>
      </c>
      <c r="F5795" s="1" t="s">
        <v>89</v>
      </c>
      <c r="G5795" s="1">
        <v>0</v>
      </c>
      <c r="H5795" s="1">
        <v>0</v>
      </c>
      <c r="I5795" s="1">
        <v>28.651481</v>
      </c>
    </row>
    <row r="5796" spans="1:9" x14ac:dyDescent="0.25">
      <c r="A5796" s="1">
        <v>2430390001</v>
      </c>
      <c r="B5796" s="1" t="s">
        <v>3620</v>
      </c>
      <c r="C5796" s="1" t="s">
        <v>130</v>
      </c>
      <c r="D5796" s="1" t="s">
        <v>131</v>
      </c>
      <c r="E5796" s="1">
        <v>107.5</v>
      </c>
      <c r="F5796" s="1" t="s">
        <v>89</v>
      </c>
      <c r="G5796" s="1">
        <v>0</v>
      </c>
      <c r="H5796" s="3">
        <v>0</v>
      </c>
      <c r="I5796" s="1">
        <v>2.4335810000000002</v>
      </c>
    </row>
    <row r="5797" spans="1:9" x14ac:dyDescent="0.25">
      <c r="A5797" s="1">
        <v>2430390001</v>
      </c>
      <c r="B5797" s="1" t="s">
        <v>3620</v>
      </c>
      <c r="C5797" s="1" t="s">
        <v>1480</v>
      </c>
      <c r="D5797" s="1" t="s">
        <v>1481</v>
      </c>
      <c r="E5797" s="3">
        <v>240</v>
      </c>
      <c r="F5797" s="1" t="s">
        <v>89</v>
      </c>
      <c r="G5797" s="1">
        <v>0</v>
      </c>
      <c r="H5797" s="1">
        <v>120</v>
      </c>
      <c r="I5797" s="1">
        <v>2.3872080000000002</v>
      </c>
    </row>
    <row r="5798" spans="1:9" x14ac:dyDescent="0.25">
      <c r="A5798">
        <v>2430390002</v>
      </c>
      <c r="B5798" t="s">
        <v>3621</v>
      </c>
      <c r="C5798" t="s">
        <v>1480</v>
      </c>
      <c r="D5798" t="s">
        <v>1481</v>
      </c>
      <c r="E5798" s="2">
        <v>1.1000000000000001</v>
      </c>
      <c r="F5798" t="s">
        <v>89</v>
      </c>
      <c r="G5798" s="2">
        <v>0</v>
      </c>
      <c r="H5798">
        <v>2.2000000000000002</v>
      </c>
      <c r="I5798">
        <v>30.590909</v>
      </c>
    </row>
    <row r="5799" spans="1:9" x14ac:dyDescent="0.25">
      <c r="A5799" s="1">
        <v>2430390004</v>
      </c>
      <c r="B5799" s="1" t="s">
        <v>3622</v>
      </c>
      <c r="C5799" s="1" t="s">
        <v>1480</v>
      </c>
      <c r="D5799" s="1" t="s">
        <v>1481</v>
      </c>
      <c r="E5799" s="1">
        <v>0.31</v>
      </c>
      <c r="F5799" s="1" t="s">
        <v>89</v>
      </c>
      <c r="G5799" s="1">
        <v>0</v>
      </c>
      <c r="H5799" s="1">
        <v>0</v>
      </c>
      <c r="I5799" s="1">
        <v>14.870968</v>
      </c>
    </row>
    <row r="5800" spans="1:9" x14ac:dyDescent="0.25">
      <c r="A5800" s="1">
        <v>2430390006</v>
      </c>
      <c r="B5800" s="1" t="s">
        <v>3623</v>
      </c>
      <c r="C5800" s="1" t="s">
        <v>130</v>
      </c>
      <c r="D5800" s="1" t="s">
        <v>131</v>
      </c>
      <c r="E5800" s="3">
        <v>56.9</v>
      </c>
      <c r="F5800" s="1" t="s">
        <v>89</v>
      </c>
      <c r="G5800" s="1">
        <v>0</v>
      </c>
      <c r="H5800" s="1">
        <v>0</v>
      </c>
      <c r="I5800" s="1">
        <v>45.736555000000003</v>
      </c>
    </row>
    <row r="5801" spans="1:9" x14ac:dyDescent="0.25">
      <c r="A5801" s="1">
        <v>2430390013</v>
      </c>
      <c r="B5801" s="1" t="s">
        <v>3624</v>
      </c>
      <c r="C5801" s="1" t="s">
        <v>130</v>
      </c>
      <c r="D5801" s="1" t="s">
        <v>131</v>
      </c>
      <c r="E5801" s="1">
        <v>479.80099999999999</v>
      </c>
      <c r="F5801" s="1" t="s">
        <v>89</v>
      </c>
      <c r="G5801" s="1">
        <v>0</v>
      </c>
      <c r="H5801" s="1">
        <v>0</v>
      </c>
      <c r="I5801" s="1">
        <v>26.576163999999999</v>
      </c>
    </row>
    <row r="5802" spans="1:9" x14ac:dyDescent="0.25">
      <c r="A5802" s="1">
        <v>2430390013</v>
      </c>
      <c r="B5802" s="1" t="s">
        <v>3624</v>
      </c>
      <c r="C5802" s="1" t="s">
        <v>2174</v>
      </c>
      <c r="D5802" s="1" t="s">
        <v>2175</v>
      </c>
      <c r="E5802" s="3">
        <v>25.181000000000001</v>
      </c>
      <c r="F5802" s="1" t="s">
        <v>89</v>
      </c>
      <c r="G5802" s="1">
        <v>0</v>
      </c>
      <c r="H5802" s="1">
        <v>0</v>
      </c>
      <c r="I5802" s="1">
        <v>26.597037</v>
      </c>
    </row>
    <row r="5803" spans="1:9" x14ac:dyDescent="0.25">
      <c r="A5803" s="1">
        <v>2430430002</v>
      </c>
      <c r="B5803" s="1" t="s">
        <v>3625</v>
      </c>
      <c r="C5803" s="1" t="s">
        <v>130</v>
      </c>
      <c r="D5803" s="1" t="s">
        <v>131</v>
      </c>
      <c r="E5803" s="3">
        <v>17.600000000000001</v>
      </c>
      <c r="F5803" s="1" t="s">
        <v>89</v>
      </c>
      <c r="G5803" s="1">
        <v>0</v>
      </c>
      <c r="H5803" s="1">
        <v>0</v>
      </c>
      <c r="I5803" s="1">
        <v>15.911364000000001</v>
      </c>
    </row>
    <row r="5804" spans="1:9" x14ac:dyDescent="0.25">
      <c r="A5804" s="1">
        <v>2430440002</v>
      </c>
      <c r="B5804" s="1" t="s">
        <v>3626</v>
      </c>
      <c r="C5804" s="1" t="s">
        <v>130</v>
      </c>
      <c r="D5804" s="1" t="s">
        <v>131</v>
      </c>
      <c r="E5804" s="3">
        <v>141.71</v>
      </c>
      <c r="F5804" s="1" t="s">
        <v>89</v>
      </c>
      <c r="G5804" s="1">
        <v>0</v>
      </c>
      <c r="H5804" s="1">
        <v>0</v>
      </c>
      <c r="I5804" s="1">
        <v>29.297297</v>
      </c>
    </row>
    <row r="5805" spans="1:9" x14ac:dyDescent="0.25">
      <c r="A5805" s="1">
        <v>2430450001</v>
      </c>
      <c r="B5805" s="1" t="s">
        <v>93</v>
      </c>
      <c r="C5805" s="1" t="s">
        <v>130</v>
      </c>
      <c r="D5805" s="1" t="s">
        <v>131</v>
      </c>
      <c r="E5805" s="3">
        <v>212.46799999999999</v>
      </c>
      <c r="F5805" s="1" t="s">
        <v>89</v>
      </c>
      <c r="G5805" s="1">
        <v>0</v>
      </c>
      <c r="H5805" s="1">
        <v>0</v>
      </c>
      <c r="I5805" s="1">
        <v>5.0953559999999998</v>
      </c>
    </row>
    <row r="5806" spans="1:9" x14ac:dyDescent="0.25">
      <c r="A5806" s="1">
        <v>2430450001</v>
      </c>
      <c r="B5806" s="1" t="s">
        <v>93</v>
      </c>
      <c r="C5806" s="1" t="s">
        <v>2174</v>
      </c>
      <c r="D5806" s="1" t="s">
        <v>2175</v>
      </c>
      <c r="E5806" s="3">
        <v>105.03360000000001</v>
      </c>
      <c r="F5806" s="1" t="s">
        <v>89</v>
      </c>
      <c r="G5806" s="1">
        <v>0</v>
      </c>
      <c r="H5806" s="1">
        <v>0</v>
      </c>
      <c r="I5806" s="1">
        <v>5.0953220000000004</v>
      </c>
    </row>
    <row r="5807" spans="1:9" x14ac:dyDescent="0.25">
      <c r="A5807" s="1">
        <v>2430470004</v>
      </c>
      <c r="B5807" s="1" t="s">
        <v>3627</v>
      </c>
      <c r="C5807" s="1" t="s">
        <v>130</v>
      </c>
      <c r="D5807" s="1" t="s">
        <v>131</v>
      </c>
      <c r="E5807" s="3">
        <v>325</v>
      </c>
      <c r="F5807" s="1" t="s">
        <v>89</v>
      </c>
      <c r="G5807" s="1">
        <v>0</v>
      </c>
      <c r="H5807" s="1">
        <v>0</v>
      </c>
      <c r="I5807" s="1">
        <v>10.754892</v>
      </c>
    </row>
    <row r="5808" spans="1:9" x14ac:dyDescent="0.25">
      <c r="A5808" s="1">
        <v>2430480002</v>
      </c>
      <c r="B5808" s="1" t="s">
        <v>3628</v>
      </c>
      <c r="C5808" s="1" t="s">
        <v>130</v>
      </c>
      <c r="D5808" s="1" t="s">
        <v>131</v>
      </c>
      <c r="E5808" s="3">
        <v>775</v>
      </c>
      <c r="F5808" s="1" t="s">
        <v>89</v>
      </c>
      <c r="G5808" s="1">
        <v>0</v>
      </c>
      <c r="H5808" s="1">
        <v>885.5</v>
      </c>
      <c r="I5808" s="1">
        <v>5.2347739999999998</v>
      </c>
    </row>
    <row r="5809" spans="1:9" x14ac:dyDescent="0.25">
      <c r="A5809" s="1">
        <v>2430480002</v>
      </c>
      <c r="B5809" s="1" t="s">
        <v>3628</v>
      </c>
      <c r="C5809" s="1" t="s">
        <v>2333</v>
      </c>
      <c r="D5809" s="1" t="s">
        <v>2334</v>
      </c>
      <c r="E5809" s="3">
        <v>885.5</v>
      </c>
      <c r="F5809" s="1" t="s">
        <v>89</v>
      </c>
      <c r="G5809" s="1">
        <v>885.5</v>
      </c>
      <c r="H5809" s="1">
        <v>0</v>
      </c>
      <c r="I5809" s="1">
        <v>5.2347710000000003</v>
      </c>
    </row>
    <row r="5810" spans="1:9" x14ac:dyDescent="0.25">
      <c r="A5810" s="1">
        <v>2430500001</v>
      </c>
      <c r="B5810" s="1" t="s">
        <v>3629</v>
      </c>
      <c r="C5810" s="1" t="s">
        <v>130</v>
      </c>
      <c r="D5810" s="1" t="s">
        <v>131</v>
      </c>
      <c r="E5810" s="3">
        <v>24.12</v>
      </c>
      <c r="F5810" s="1" t="s">
        <v>89</v>
      </c>
      <c r="G5810" s="1">
        <v>0</v>
      </c>
      <c r="H5810" s="1">
        <v>0</v>
      </c>
      <c r="I5810" s="1">
        <v>3.1214759999999999</v>
      </c>
    </row>
    <row r="5811" spans="1:9" x14ac:dyDescent="0.25">
      <c r="A5811" s="1">
        <v>2430520004</v>
      </c>
      <c r="B5811" s="1" t="s">
        <v>3630</v>
      </c>
      <c r="C5811" s="1" t="s">
        <v>1480</v>
      </c>
      <c r="D5811" s="1" t="s">
        <v>1481</v>
      </c>
      <c r="E5811" s="3">
        <v>17.5</v>
      </c>
      <c r="F5811" s="1" t="s">
        <v>89</v>
      </c>
      <c r="G5811" s="1">
        <v>0</v>
      </c>
      <c r="H5811" s="1">
        <v>7.5</v>
      </c>
      <c r="I5811" s="1">
        <v>8.9920000000000009</v>
      </c>
    </row>
    <row r="5812" spans="1:9" x14ac:dyDescent="0.25">
      <c r="A5812" s="1">
        <v>2430520005</v>
      </c>
      <c r="B5812" s="1" t="s">
        <v>3631</v>
      </c>
      <c r="C5812" s="1" t="s">
        <v>130</v>
      </c>
      <c r="D5812" s="1" t="s">
        <v>131</v>
      </c>
      <c r="E5812" s="3">
        <v>84.646000000000001</v>
      </c>
      <c r="F5812" s="1" t="s">
        <v>89</v>
      </c>
      <c r="G5812" s="1">
        <v>32.892000000000003</v>
      </c>
      <c r="H5812" s="1">
        <v>0</v>
      </c>
      <c r="I5812" s="1">
        <v>10.514614</v>
      </c>
    </row>
    <row r="5813" spans="1:9" x14ac:dyDescent="0.25">
      <c r="A5813" s="1">
        <v>2430520005</v>
      </c>
      <c r="B5813" s="1" t="s">
        <v>3631</v>
      </c>
      <c r="C5813" s="1" t="s">
        <v>2333</v>
      </c>
      <c r="D5813" s="1" t="s">
        <v>2334</v>
      </c>
      <c r="E5813" s="3">
        <v>1.7929999999999999</v>
      </c>
      <c r="F5813" s="1" t="s">
        <v>89</v>
      </c>
      <c r="G5813" s="1">
        <v>0</v>
      </c>
      <c r="H5813" s="1">
        <v>0</v>
      </c>
      <c r="I5813" s="1">
        <v>10.574456</v>
      </c>
    </row>
    <row r="5814" spans="1:9" x14ac:dyDescent="0.25">
      <c r="A5814" s="1">
        <v>2430520005</v>
      </c>
      <c r="B5814" s="1" t="s">
        <v>3631</v>
      </c>
      <c r="C5814" s="1" t="s">
        <v>2174</v>
      </c>
      <c r="D5814" s="1" t="s">
        <v>2175</v>
      </c>
      <c r="E5814" s="3">
        <v>107.2538</v>
      </c>
      <c r="F5814" s="1" t="s">
        <v>89</v>
      </c>
      <c r="G5814" s="1">
        <v>0</v>
      </c>
      <c r="H5814" s="1">
        <v>32.892000000000003</v>
      </c>
      <c r="I5814" s="1">
        <v>10.515618</v>
      </c>
    </row>
    <row r="5815" spans="1:9" x14ac:dyDescent="0.25">
      <c r="A5815" s="1">
        <v>2430530002</v>
      </c>
      <c r="B5815" s="1" t="s">
        <v>3632</v>
      </c>
      <c r="C5815" s="1" t="s">
        <v>1480</v>
      </c>
      <c r="D5815" s="1" t="s">
        <v>1481</v>
      </c>
      <c r="E5815" s="3">
        <v>20</v>
      </c>
      <c r="F5815" s="1" t="s">
        <v>89</v>
      </c>
      <c r="G5815" s="1">
        <v>0</v>
      </c>
      <c r="H5815" s="1">
        <v>0</v>
      </c>
      <c r="I5815" s="1">
        <v>0.77049999999999996</v>
      </c>
    </row>
    <row r="5816" spans="1:9" x14ac:dyDescent="0.25">
      <c r="A5816" s="1">
        <v>2430530004</v>
      </c>
      <c r="B5816" s="1" t="s">
        <v>3633</v>
      </c>
      <c r="C5816" s="1" t="s">
        <v>130</v>
      </c>
      <c r="D5816" s="1" t="s">
        <v>131</v>
      </c>
      <c r="E5816" s="3">
        <v>1190.5899999999999</v>
      </c>
      <c r="F5816" s="1" t="s">
        <v>89</v>
      </c>
      <c r="G5816" s="1">
        <v>750.67600000000004</v>
      </c>
      <c r="H5816" s="1">
        <v>0</v>
      </c>
      <c r="I5816" s="1">
        <v>0.49230200000000002</v>
      </c>
    </row>
    <row r="5817" spans="1:9" x14ac:dyDescent="0.25">
      <c r="A5817" s="1">
        <v>2430530004</v>
      </c>
      <c r="B5817" s="1" t="s">
        <v>3633</v>
      </c>
      <c r="C5817" s="1" t="s">
        <v>2174</v>
      </c>
      <c r="D5817" s="1" t="s">
        <v>2175</v>
      </c>
      <c r="E5817" s="3">
        <v>220.51499999999999</v>
      </c>
      <c r="F5817" s="1" t="s">
        <v>89</v>
      </c>
      <c r="G5817" s="1">
        <v>0</v>
      </c>
      <c r="H5817" s="1">
        <v>750.67600000000004</v>
      </c>
      <c r="I5817" s="1">
        <v>0.49230200000000002</v>
      </c>
    </row>
    <row r="5818" spans="1:9" x14ac:dyDescent="0.25">
      <c r="A5818" s="1">
        <v>2430530004</v>
      </c>
      <c r="B5818" s="1" t="s">
        <v>3633</v>
      </c>
      <c r="C5818" s="1" t="s">
        <v>1480</v>
      </c>
      <c r="D5818" s="1" t="s">
        <v>1481</v>
      </c>
      <c r="E5818" s="3">
        <v>4780</v>
      </c>
      <c r="F5818" s="1" t="s">
        <v>89</v>
      </c>
      <c r="G5818" s="1">
        <v>0</v>
      </c>
      <c r="H5818" s="3">
        <v>2400</v>
      </c>
      <c r="I5818" s="1">
        <v>0.44836399999999998</v>
      </c>
    </row>
    <row r="5819" spans="1:9" x14ac:dyDescent="0.25">
      <c r="A5819" s="1">
        <v>2430530010</v>
      </c>
      <c r="B5819" s="1" t="s">
        <v>3634</v>
      </c>
      <c r="C5819" s="1" t="s">
        <v>130</v>
      </c>
      <c r="D5819" s="1" t="s">
        <v>131</v>
      </c>
      <c r="E5819" s="3">
        <v>2625</v>
      </c>
      <c r="F5819" s="1" t="s">
        <v>89</v>
      </c>
      <c r="G5819" s="1">
        <v>0</v>
      </c>
      <c r="H5819" s="1">
        <v>0</v>
      </c>
      <c r="I5819" s="1">
        <v>0.66962999999999995</v>
      </c>
    </row>
    <row r="5820" spans="1:9" x14ac:dyDescent="0.25">
      <c r="A5820" s="1">
        <v>2430530010</v>
      </c>
      <c r="B5820" s="1" t="s">
        <v>3634</v>
      </c>
      <c r="C5820" s="1" t="s">
        <v>2174</v>
      </c>
      <c r="D5820" s="1" t="s">
        <v>2175</v>
      </c>
      <c r="E5820" s="3">
        <v>6.6230000000000002</v>
      </c>
      <c r="F5820" s="1" t="s">
        <v>89</v>
      </c>
      <c r="G5820" s="1">
        <v>0</v>
      </c>
      <c r="H5820" s="1">
        <v>0</v>
      </c>
      <c r="I5820" s="1">
        <v>0.66888099999999995</v>
      </c>
    </row>
    <row r="5821" spans="1:9" x14ac:dyDescent="0.25">
      <c r="A5821" s="1">
        <v>2430540001</v>
      </c>
      <c r="B5821" s="1" t="s">
        <v>3635</v>
      </c>
      <c r="C5821" s="1" t="s">
        <v>130</v>
      </c>
      <c r="D5821" s="1" t="s">
        <v>131</v>
      </c>
      <c r="E5821" s="1">
        <v>794.66</v>
      </c>
      <c r="F5821" s="1" t="s">
        <v>89</v>
      </c>
      <c r="G5821" s="1">
        <v>0</v>
      </c>
      <c r="H5821" s="1">
        <v>0</v>
      </c>
      <c r="I5821" s="1">
        <v>1.6542289999999999</v>
      </c>
    </row>
    <row r="5822" spans="1:9" x14ac:dyDescent="0.25">
      <c r="A5822" s="1">
        <v>2430550002</v>
      </c>
      <c r="B5822" s="1" t="s">
        <v>3636</v>
      </c>
      <c r="C5822" s="1" t="s">
        <v>1480</v>
      </c>
      <c r="D5822" s="1" t="s">
        <v>1481</v>
      </c>
      <c r="E5822" s="1">
        <v>2.5</v>
      </c>
      <c r="F5822" s="1" t="s">
        <v>89</v>
      </c>
      <c r="G5822" s="1">
        <v>0</v>
      </c>
      <c r="H5822" s="1">
        <v>0</v>
      </c>
      <c r="I5822" s="1">
        <v>5.524</v>
      </c>
    </row>
    <row r="5823" spans="1:9" x14ac:dyDescent="0.25">
      <c r="A5823" s="1">
        <v>2430550007</v>
      </c>
      <c r="B5823" s="1" t="s">
        <v>3637</v>
      </c>
      <c r="C5823" s="1" t="s">
        <v>1480</v>
      </c>
      <c r="D5823" s="1" t="s">
        <v>1481</v>
      </c>
      <c r="E5823" s="3">
        <v>0</v>
      </c>
      <c r="F5823" s="1" t="s">
        <v>89</v>
      </c>
      <c r="G5823" s="1">
        <v>0</v>
      </c>
      <c r="H5823" s="1">
        <v>8</v>
      </c>
      <c r="I5823" s="1">
        <v>6.0674999999999999</v>
      </c>
    </row>
    <row r="5824" spans="1:9" x14ac:dyDescent="0.25">
      <c r="A5824" s="1">
        <v>2430550008</v>
      </c>
      <c r="B5824" s="1" t="s">
        <v>3638</v>
      </c>
      <c r="C5824" s="1" t="s">
        <v>1480</v>
      </c>
      <c r="D5824" s="1" t="s">
        <v>1481</v>
      </c>
      <c r="E5824" s="1">
        <v>12.5</v>
      </c>
      <c r="F5824" s="1" t="s">
        <v>89</v>
      </c>
      <c r="G5824" s="1">
        <v>0</v>
      </c>
      <c r="H5824" s="1">
        <v>25</v>
      </c>
      <c r="I5824" s="1">
        <v>4.7447999999999997</v>
      </c>
    </row>
    <row r="5825" spans="1:9" x14ac:dyDescent="0.25">
      <c r="A5825" s="1">
        <v>2430550009</v>
      </c>
      <c r="B5825" s="1" t="s">
        <v>3639</v>
      </c>
      <c r="C5825" s="1" t="s">
        <v>130</v>
      </c>
      <c r="D5825" s="1" t="s">
        <v>131</v>
      </c>
      <c r="E5825" s="3">
        <v>2471.5998</v>
      </c>
      <c r="F5825" s="1" t="s">
        <v>89</v>
      </c>
      <c r="G5825" s="3">
        <v>1270.116</v>
      </c>
      <c r="H5825" s="1">
        <v>0</v>
      </c>
      <c r="I5825" s="1">
        <v>1.6416980000000001</v>
      </c>
    </row>
    <row r="5826" spans="1:9" x14ac:dyDescent="0.25">
      <c r="A5826" s="1">
        <v>2430550009</v>
      </c>
      <c r="B5826" s="1" t="s">
        <v>3639</v>
      </c>
      <c r="C5826" s="1" t="s">
        <v>2174</v>
      </c>
      <c r="D5826" s="1" t="s">
        <v>2175</v>
      </c>
      <c r="E5826" s="1">
        <v>420.12</v>
      </c>
      <c r="F5826" s="1" t="s">
        <v>89</v>
      </c>
      <c r="G5826" s="1">
        <v>0</v>
      </c>
      <c r="H5826" s="3">
        <v>1270.116</v>
      </c>
      <c r="I5826" s="1">
        <v>1.6416980000000001</v>
      </c>
    </row>
    <row r="5827" spans="1:9" x14ac:dyDescent="0.25">
      <c r="A5827" s="1">
        <v>2430550010</v>
      </c>
      <c r="B5827" s="1" t="s">
        <v>3640</v>
      </c>
      <c r="C5827" s="1" t="s">
        <v>130</v>
      </c>
      <c r="D5827" s="1" t="s">
        <v>131</v>
      </c>
      <c r="E5827" s="3">
        <v>730.56500000000005</v>
      </c>
      <c r="F5827" s="1" t="s">
        <v>89</v>
      </c>
      <c r="G5827" s="1">
        <v>210.32400000000001</v>
      </c>
      <c r="H5827" s="1">
        <v>0</v>
      </c>
      <c r="I5827" s="1">
        <v>0.98659300000000005</v>
      </c>
    </row>
    <row r="5828" spans="1:9" x14ac:dyDescent="0.25">
      <c r="A5828" s="1">
        <v>2430550010</v>
      </c>
      <c r="B5828" s="1" t="s">
        <v>3640</v>
      </c>
      <c r="C5828" s="1" t="s">
        <v>2174</v>
      </c>
      <c r="D5828" s="1" t="s">
        <v>2175</v>
      </c>
      <c r="E5828" s="1">
        <v>0</v>
      </c>
      <c r="F5828" s="1" t="s">
        <v>89</v>
      </c>
      <c r="G5828" s="1">
        <v>0</v>
      </c>
      <c r="H5828" s="1">
        <v>210.32400000000001</v>
      </c>
      <c r="I5828" s="1">
        <v>0.98662099999999997</v>
      </c>
    </row>
    <row r="5829" spans="1:9" x14ac:dyDescent="0.25">
      <c r="A5829" s="1">
        <v>2430580001</v>
      </c>
      <c r="B5829" s="1" t="s">
        <v>3641</v>
      </c>
      <c r="C5829" s="1" t="s">
        <v>130</v>
      </c>
      <c r="D5829" s="1" t="s">
        <v>131</v>
      </c>
      <c r="E5829" s="1">
        <v>103.80200000000001</v>
      </c>
      <c r="F5829" s="1" t="s">
        <v>89</v>
      </c>
      <c r="G5829" s="3">
        <v>0</v>
      </c>
      <c r="H5829" s="3">
        <v>0</v>
      </c>
      <c r="I5829" s="1">
        <v>18.246950999999999</v>
      </c>
    </row>
    <row r="5830" spans="1:9" x14ac:dyDescent="0.25">
      <c r="A5830" s="1">
        <v>2430580001</v>
      </c>
      <c r="B5830" s="1" t="s">
        <v>3641</v>
      </c>
      <c r="C5830" s="1" t="s">
        <v>2174</v>
      </c>
      <c r="D5830" s="1" t="s">
        <v>2175</v>
      </c>
      <c r="E5830" s="1">
        <v>1.1000000000000001</v>
      </c>
      <c r="F5830" s="1" t="s">
        <v>89</v>
      </c>
      <c r="G5830" s="1">
        <v>0</v>
      </c>
      <c r="H5830" s="1">
        <v>0</v>
      </c>
      <c r="I5830" s="1">
        <v>19.027273000000001</v>
      </c>
    </row>
    <row r="5831" spans="1:9" x14ac:dyDescent="0.25">
      <c r="A5831" s="1">
        <v>2430580002</v>
      </c>
      <c r="B5831" s="1" t="s">
        <v>3642</v>
      </c>
      <c r="C5831" s="1" t="s">
        <v>130</v>
      </c>
      <c r="D5831" s="1" t="s">
        <v>131</v>
      </c>
      <c r="E5831" s="1">
        <v>63.9039</v>
      </c>
      <c r="F5831" s="1" t="s">
        <v>89</v>
      </c>
      <c r="G5831" s="1">
        <v>0</v>
      </c>
      <c r="H5831" s="1">
        <v>0</v>
      </c>
      <c r="I5831" s="1">
        <v>12.029313</v>
      </c>
    </row>
    <row r="5832" spans="1:9" x14ac:dyDescent="0.25">
      <c r="A5832" s="1">
        <v>2430580002</v>
      </c>
      <c r="B5832" s="1" t="s">
        <v>3642</v>
      </c>
      <c r="C5832" s="1" t="s">
        <v>2333</v>
      </c>
      <c r="D5832" s="1" t="s">
        <v>2334</v>
      </c>
      <c r="E5832" s="1">
        <v>0.17899999999999999</v>
      </c>
      <c r="F5832" s="1" t="s">
        <v>89</v>
      </c>
      <c r="G5832" s="1">
        <v>0</v>
      </c>
      <c r="H5832" s="1">
        <v>0</v>
      </c>
      <c r="I5832" s="1">
        <v>12.067038999999999</v>
      </c>
    </row>
    <row r="5833" spans="1:9" x14ac:dyDescent="0.25">
      <c r="A5833" s="1">
        <v>2430580002</v>
      </c>
      <c r="B5833" s="1" t="s">
        <v>3642</v>
      </c>
      <c r="C5833" s="1" t="s">
        <v>1480</v>
      </c>
      <c r="D5833" s="1" t="s">
        <v>1481</v>
      </c>
      <c r="E5833" s="1">
        <v>0.3</v>
      </c>
      <c r="F5833" s="1" t="s">
        <v>89</v>
      </c>
      <c r="G5833" s="1">
        <v>0</v>
      </c>
      <c r="H5833" s="1">
        <v>0</v>
      </c>
      <c r="I5833" s="1">
        <v>12.2</v>
      </c>
    </row>
    <row r="5834" spans="1:9" x14ac:dyDescent="0.25">
      <c r="A5834" s="1">
        <v>2430600001</v>
      </c>
      <c r="B5834" s="1" t="s">
        <v>3643</v>
      </c>
      <c r="C5834" s="1" t="s">
        <v>1480</v>
      </c>
      <c r="D5834" s="1" t="s">
        <v>1481</v>
      </c>
      <c r="E5834" s="3">
        <v>13.25</v>
      </c>
      <c r="F5834" s="1" t="s">
        <v>89</v>
      </c>
      <c r="G5834" s="1">
        <v>0</v>
      </c>
      <c r="H5834" s="1">
        <v>0</v>
      </c>
      <c r="I5834" s="1">
        <v>6.535094</v>
      </c>
    </row>
    <row r="5835" spans="1:9" x14ac:dyDescent="0.25">
      <c r="A5835" s="1">
        <v>2430600005</v>
      </c>
      <c r="B5835" s="1" t="s">
        <v>3644</v>
      </c>
      <c r="C5835" s="1" t="s">
        <v>130</v>
      </c>
      <c r="D5835" s="1" t="s">
        <v>131</v>
      </c>
      <c r="E5835" s="3">
        <v>194.97020000000001</v>
      </c>
      <c r="F5835" s="1" t="s">
        <v>89</v>
      </c>
      <c r="G5835" s="1">
        <v>0</v>
      </c>
      <c r="H5835" s="1">
        <v>0</v>
      </c>
      <c r="I5835" s="1">
        <v>6.0274340000000004</v>
      </c>
    </row>
    <row r="5836" spans="1:9" x14ac:dyDescent="0.25">
      <c r="A5836" s="1">
        <v>2430600005</v>
      </c>
      <c r="B5836" s="1" t="s">
        <v>3644</v>
      </c>
      <c r="C5836" s="1" t="s">
        <v>2174</v>
      </c>
      <c r="D5836" s="1" t="s">
        <v>2175</v>
      </c>
      <c r="E5836" s="1">
        <v>8.0399999999999991</v>
      </c>
      <c r="F5836" s="1" t="s">
        <v>89</v>
      </c>
      <c r="G5836" s="1">
        <v>0</v>
      </c>
      <c r="H5836" s="1">
        <v>0</v>
      </c>
      <c r="I5836" s="1">
        <v>6.0273630000000002</v>
      </c>
    </row>
    <row r="5837" spans="1:9" x14ac:dyDescent="0.25">
      <c r="A5837" s="1">
        <v>2430600006</v>
      </c>
      <c r="B5837" s="1" t="s">
        <v>3645</v>
      </c>
      <c r="C5837" s="1" t="s">
        <v>130</v>
      </c>
      <c r="D5837" s="1" t="s">
        <v>131</v>
      </c>
      <c r="E5837" s="3">
        <v>443.01</v>
      </c>
      <c r="F5837" s="1" t="s">
        <v>89</v>
      </c>
      <c r="G5837" s="1">
        <v>0</v>
      </c>
      <c r="H5837" s="1">
        <v>0</v>
      </c>
      <c r="I5837" s="1">
        <v>24.221304</v>
      </c>
    </row>
    <row r="5838" spans="1:9" x14ac:dyDescent="0.25">
      <c r="A5838" s="1">
        <v>2430610002</v>
      </c>
      <c r="B5838" s="1" t="s">
        <v>3646</v>
      </c>
      <c r="C5838" s="1" t="s">
        <v>1480</v>
      </c>
      <c r="D5838" s="1" t="s">
        <v>1481</v>
      </c>
      <c r="E5838" s="1">
        <v>2.0249999999999999</v>
      </c>
      <c r="F5838" s="1" t="s">
        <v>89</v>
      </c>
      <c r="G5838" s="1">
        <v>0</v>
      </c>
      <c r="H5838" s="1">
        <v>0</v>
      </c>
      <c r="I5838" s="1">
        <v>20.967901000000001</v>
      </c>
    </row>
    <row r="5839" spans="1:9" x14ac:dyDescent="0.25">
      <c r="A5839" s="1">
        <v>2430620001</v>
      </c>
      <c r="B5839" s="1" t="s">
        <v>3647</v>
      </c>
      <c r="C5839" s="1" t="s">
        <v>130</v>
      </c>
      <c r="D5839" s="1" t="s">
        <v>131</v>
      </c>
      <c r="E5839" s="3">
        <v>34.335000000000001</v>
      </c>
      <c r="F5839" s="1" t="s">
        <v>89</v>
      </c>
      <c r="G5839" s="1">
        <v>0</v>
      </c>
      <c r="H5839" s="3">
        <v>0</v>
      </c>
      <c r="I5839" s="1">
        <v>33.819716999999997</v>
      </c>
    </row>
    <row r="5840" spans="1:9" x14ac:dyDescent="0.25">
      <c r="A5840" s="1">
        <v>2430620001</v>
      </c>
      <c r="B5840" s="1" t="s">
        <v>3647</v>
      </c>
      <c r="C5840" s="1" t="s">
        <v>2174</v>
      </c>
      <c r="D5840" s="1" t="s">
        <v>2175</v>
      </c>
      <c r="E5840" s="1">
        <v>16.724799999999998</v>
      </c>
      <c r="F5840" s="1" t="s">
        <v>89</v>
      </c>
      <c r="G5840" s="1">
        <v>0</v>
      </c>
      <c r="H5840" s="1">
        <v>0</v>
      </c>
      <c r="I5840" s="1">
        <v>34.023724999999999</v>
      </c>
    </row>
    <row r="5841" spans="1:9" x14ac:dyDescent="0.25">
      <c r="A5841" s="1">
        <v>2430620001</v>
      </c>
      <c r="B5841" s="1" t="s">
        <v>3647</v>
      </c>
      <c r="C5841" s="1" t="s">
        <v>1480</v>
      </c>
      <c r="D5841" s="1" t="s">
        <v>1481</v>
      </c>
      <c r="E5841" s="1">
        <v>0.05</v>
      </c>
      <c r="F5841" s="1" t="s">
        <v>89</v>
      </c>
      <c r="G5841" s="1">
        <v>0</v>
      </c>
      <c r="H5841" s="1">
        <v>0</v>
      </c>
      <c r="I5841" s="1">
        <v>40.4</v>
      </c>
    </row>
    <row r="5842" spans="1:9" x14ac:dyDescent="0.25">
      <c r="A5842" s="1">
        <v>2430620015</v>
      </c>
      <c r="B5842" s="1" t="s">
        <v>3648</v>
      </c>
      <c r="C5842" s="1" t="s">
        <v>130</v>
      </c>
      <c r="D5842" s="1" t="s">
        <v>131</v>
      </c>
      <c r="E5842" s="1">
        <v>5</v>
      </c>
      <c r="F5842" s="1" t="s">
        <v>89</v>
      </c>
      <c r="G5842" s="3">
        <v>0</v>
      </c>
      <c r="H5842" s="3">
        <v>0</v>
      </c>
      <c r="I5842" s="1">
        <v>75.787999999999997</v>
      </c>
    </row>
    <row r="5843" spans="1:9" x14ac:dyDescent="0.25">
      <c r="A5843" s="1">
        <v>2430620015</v>
      </c>
      <c r="B5843" s="1" t="s">
        <v>3648</v>
      </c>
      <c r="C5843" s="1" t="s">
        <v>2333</v>
      </c>
      <c r="D5843" s="1" t="s">
        <v>2334</v>
      </c>
      <c r="E5843" s="3">
        <v>2.8359999999999999</v>
      </c>
      <c r="F5843" s="1" t="s">
        <v>89</v>
      </c>
      <c r="G5843" s="3">
        <v>0</v>
      </c>
      <c r="H5843" s="1">
        <v>0</v>
      </c>
      <c r="I5843" s="1">
        <v>75.782792999999998</v>
      </c>
    </row>
    <row r="5844" spans="1:9" x14ac:dyDescent="0.25">
      <c r="A5844" s="1">
        <v>2430620016</v>
      </c>
      <c r="B5844" s="1" t="s">
        <v>3649</v>
      </c>
      <c r="C5844" s="1" t="s">
        <v>130</v>
      </c>
      <c r="D5844" s="1" t="s">
        <v>131</v>
      </c>
      <c r="E5844" s="3">
        <v>5</v>
      </c>
      <c r="F5844" s="1" t="s">
        <v>89</v>
      </c>
      <c r="G5844" s="1">
        <v>0</v>
      </c>
      <c r="H5844" s="1">
        <v>0</v>
      </c>
      <c r="I5844" s="1">
        <v>53.228000000000002</v>
      </c>
    </row>
    <row r="5845" spans="1:9" x14ac:dyDescent="0.25">
      <c r="A5845" s="1">
        <v>2430620016</v>
      </c>
      <c r="B5845" s="1" t="s">
        <v>3649</v>
      </c>
      <c r="C5845" s="1" t="s">
        <v>2333</v>
      </c>
      <c r="D5845" s="1" t="s">
        <v>2334</v>
      </c>
      <c r="E5845" s="3">
        <v>3.0470000000000002</v>
      </c>
      <c r="F5845" s="1" t="s">
        <v>89</v>
      </c>
      <c r="G5845" s="1">
        <v>0</v>
      </c>
      <c r="H5845" s="1">
        <v>0</v>
      </c>
      <c r="I5845" s="1">
        <v>53.229405999999997</v>
      </c>
    </row>
    <row r="5846" spans="1:9" x14ac:dyDescent="0.25">
      <c r="A5846" s="1">
        <v>2430630001</v>
      </c>
      <c r="B5846" s="1" t="s">
        <v>3650</v>
      </c>
      <c r="C5846" s="1" t="s">
        <v>130</v>
      </c>
      <c r="D5846" s="1" t="s">
        <v>131</v>
      </c>
      <c r="E5846" s="1">
        <v>5</v>
      </c>
      <c r="F5846" s="1" t="s">
        <v>89</v>
      </c>
      <c r="G5846" s="1">
        <v>0</v>
      </c>
      <c r="H5846" s="1">
        <v>0</v>
      </c>
      <c r="I5846" s="1">
        <v>40.29</v>
      </c>
    </row>
    <row r="5847" spans="1:9" x14ac:dyDescent="0.25">
      <c r="A5847" s="1">
        <v>2430630001</v>
      </c>
      <c r="B5847" s="1" t="s">
        <v>3650</v>
      </c>
      <c r="C5847" s="1" t="s">
        <v>2333</v>
      </c>
      <c r="D5847" s="1" t="s">
        <v>2334</v>
      </c>
      <c r="E5847" s="3">
        <v>3.0670000000000002</v>
      </c>
      <c r="F5847" s="1" t="s">
        <v>89</v>
      </c>
      <c r="G5847" s="1">
        <v>0</v>
      </c>
      <c r="H5847" s="1">
        <v>0</v>
      </c>
      <c r="I5847" s="1">
        <v>40.290185999999999</v>
      </c>
    </row>
    <row r="5848" spans="1:9" x14ac:dyDescent="0.25">
      <c r="A5848" s="1">
        <v>2430640001</v>
      </c>
      <c r="B5848" s="1" t="s">
        <v>3651</v>
      </c>
      <c r="C5848" s="1" t="s">
        <v>1480</v>
      </c>
      <c r="D5848" s="1" t="s">
        <v>1481</v>
      </c>
      <c r="E5848" s="1">
        <v>2.85</v>
      </c>
      <c r="F5848" s="1" t="s">
        <v>89</v>
      </c>
      <c r="G5848" s="1">
        <v>0</v>
      </c>
      <c r="H5848" s="1">
        <v>0</v>
      </c>
      <c r="I5848" s="1">
        <v>31.926316</v>
      </c>
    </row>
    <row r="5849" spans="1:9" x14ac:dyDescent="0.25">
      <c r="A5849" s="1">
        <v>2430640003</v>
      </c>
      <c r="B5849" s="1" t="s">
        <v>3652</v>
      </c>
      <c r="C5849" s="1" t="s">
        <v>130</v>
      </c>
      <c r="D5849" s="1" t="s">
        <v>131</v>
      </c>
      <c r="E5849" s="3">
        <v>49.457000000000001</v>
      </c>
      <c r="F5849" s="1" t="s">
        <v>89</v>
      </c>
      <c r="G5849" s="1">
        <v>0</v>
      </c>
      <c r="H5849" s="1">
        <v>0</v>
      </c>
      <c r="I5849" s="1">
        <v>44.788806000000001</v>
      </c>
    </row>
    <row r="5850" spans="1:9" x14ac:dyDescent="0.25">
      <c r="A5850" s="1">
        <v>2430640004</v>
      </c>
      <c r="B5850" s="1" t="s">
        <v>3653</v>
      </c>
      <c r="C5850" s="1" t="s">
        <v>130</v>
      </c>
      <c r="D5850" s="1" t="s">
        <v>131</v>
      </c>
      <c r="E5850" s="3">
        <v>41.1</v>
      </c>
      <c r="F5850" s="1" t="s">
        <v>89</v>
      </c>
      <c r="G5850" s="1">
        <v>0</v>
      </c>
      <c r="H5850" s="1">
        <v>0</v>
      </c>
      <c r="I5850" s="1">
        <v>70.462287000000003</v>
      </c>
    </row>
    <row r="5851" spans="1:9" x14ac:dyDescent="0.25">
      <c r="A5851" s="1">
        <v>2430640005</v>
      </c>
      <c r="B5851" s="1" t="s">
        <v>3654</v>
      </c>
      <c r="C5851" s="1" t="s">
        <v>130</v>
      </c>
      <c r="D5851" s="1" t="s">
        <v>131</v>
      </c>
      <c r="E5851" s="3">
        <v>19.920000000000002</v>
      </c>
      <c r="F5851" s="1" t="s">
        <v>89</v>
      </c>
      <c r="G5851" s="1">
        <v>0</v>
      </c>
      <c r="H5851" s="1">
        <v>0</v>
      </c>
      <c r="I5851" s="1">
        <v>131.712851</v>
      </c>
    </row>
    <row r="5852" spans="1:9" x14ac:dyDescent="0.25">
      <c r="A5852" s="1">
        <v>2430640007</v>
      </c>
      <c r="B5852" s="1" t="s">
        <v>3655</v>
      </c>
      <c r="C5852" s="1" t="s">
        <v>130</v>
      </c>
      <c r="D5852" s="1" t="s">
        <v>131</v>
      </c>
      <c r="E5852" s="1">
        <v>5</v>
      </c>
      <c r="F5852" s="1" t="s">
        <v>89</v>
      </c>
      <c r="G5852" s="1">
        <v>0</v>
      </c>
      <c r="H5852" s="1">
        <v>0</v>
      </c>
      <c r="I5852" s="1">
        <v>53.323999999999998</v>
      </c>
    </row>
    <row r="5853" spans="1:9" x14ac:dyDescent="0.25">
      <c r="A5853" s="1">
        <v>2430640007</v>
      </c>
      <c r="B5853" s="1" t="s">
        <v>3655</v>
      </c>
      <c r="C5853" s="1" t="s">
        <v>2333</v>
      </c>
      <c r="D5853" s="1" t="s">
        <v>2334</v>
      </c>
      <c r="E5853" s="3">
        <v>2.7368000000000001</v>
      </c>
      <c r="F5853" s="1" t="s">
        <v>89</v>
      </c>
      <c r="G5853" s="1">
        <v>0</v>
      </c>
      <c r="H5853" s="1">
        <v>0</v>
      </c>
      <c r="I5853" s="1">
        <v>53.325051000000002</v>
      </c>
    </row>
    <row r="5854" spans="1:9" x14ac:dyDescent="0.25">
      <c r="A5854" s="1">
        <v>2430660002</v>
      </c>
      <c r="B5854" s="1" t="s">
        <v>3656</v>
      </c>
      <c r="C5854" s="1" t="s">
        <v>1480</v>
      </c>
      <c r="D5854" s="1" t="s">
        <v>1481</v>
      </c>
      <c r="E5854" s="3">
        <v>4.5</v>
      </c>
      <c r="F5854" s="1" t="s">
        <v>89</v>
      </c>
      <c r="G5854" s="1">
        <v>0</v>
      </c>
      <c r="H5854" s="1">
        <v>0</v>
      </c>
      <c r="I5854" s="1">
        <v>6.8444440000000002</v>
      </c>
    </row>
    <row r="5855" spans="1:9" x14ac:dyDescent="0.25">
      <c r="A5855" s="1">
        <v>2430660006</v>
      </c>
      <c r="B5855" s="1" t="s">
        <v>3657</v>
      </c>
      <c r="C5855" s="1" t="s">
        <v>130</v>
      </c>
      <c r="D5855" s="1" t="s">
        <v>131</v>
      </c>
      <c r="E5855" s="1">
        <v>491.29129999999998</v>
      </c>
      <c r="F5855" s="1" t="s">
        <v>89</v>
      </c>
      <c r="G5855" s="1">
        <v>0</v>
      </c>
      <c r="H5855" s="1">
        <v>0</v>
      </c>
      <c r="I5855" s="1">
        <v>5.0693349999999997</v>
      </c>
    </row>
    <row r="5856" spans="1:9" x14ac:dyDescent="0.25">
      <c r="A5856" s="1">
        <v>2430660006</v>
      </c>
      <c r="B5856" s="1" t="s">
        <v>3657</v>
      </c>
      <c r="C5856" s="1" t="s">
        <v>2333</v>
      </c>
      <c r="D5856" s="1" t="s">
        <v>2334</v>
      </c>
      <c r="E5856" s="3">
        <v>1.05</v>
      </c>
      <c r="F5856" s="1" t="s">
        <v>89</v>
      </c>
      <c r="G5856" s="1">
        <v>0</v>
      </c>
      <c r="H5856" s="1">
        <v>0</v>
      </c>
      <c r="I5856" s="1">
        <v>5.0857140000000003</v>
      </c>
    </row>
    <row r="5857" spans="1:9" x14ac:dyDescent="0.25">
      <c r="A5857" s="1">
        <v>2430660006</v>
      </c>
      <c r="B5857" s="1" t="s">
        <v>3657</v>
      </c>
      <c r="C5857" s="1" t="s">
        <v>2174</v>
      </c>
      <c r="D5857" s="1" t="s">
        <v>2175</v>
      </c>
      <c r="E5857" s="3">
        <v>4.0000000000000001E-3</v>
      </c>
      <c r="F5857" s="1" t="s">
        <v>89</v>
      </c>
      <c r="G5857" s="1">
        <v>0</v>
      </c>
      <c r="H5857" s="1">
        <v>0</v>
      </c>
      <c r="I5857" s="3">
        <v>5</v>
      </c>
    </row>
    <row r="5858" spans="1:9" x14ac:dyDescent="0.25">
      <c r="A5858" s="1">
        <v>2430670002</v>
      </c>
      <c r="B5858" s="1" t="s">
        <v>3658</v>
      </c>
      <c r="C5858" s="1" t="s">
        <v>130</v>
      </c>
      <c r="D5858" s="1" t="s">
        <v>131</v>
      </c>
      <c r="E5858" s="3">
        <v>0.16</v>
      </c>
      <c r="F5858" s="1" t="s">
        <v>89</v>
      </c>
      <c r="G5858" s="1">
        <v>0</v>
      </c>
      <c r="H5858" s="3">
        <v>0</v>
      </c>
      <c r="I5858" s="1">
        <v>54.875</v>
      </c>
    </row>
    <row r="5859" spans="1:9" x14ac:dyDescent="0.25">
      <c r="A5859" s="1">
        <v>2430680002</v>
      </c>
      <c r="B5859" s="1" t="s">
        <v>3659</v>
      </c>
      <c r="C5859" s="1" t="s">
        <v>130</v>
      </c>
      <c r="D5859" s="1" t="s">
        <v>131</v>
      </c>
      <c r="E5859" s="3">
        <v>2.1080000000000001</v>
      </c>
      <c r="F5859" s="1" t="s">
        <v>89</v>
      </c>
      <c r="G5859" s="1">
        <v>0</v>
      </c>
      <c r="H5859" s="1">
        <v>0</v>
      </c>
      <c r="I5859" s="1">
        <v>37.139468999999998</v>
      </c>
    </row>
    <row r="5860" spans="1:9" x14ac:dyDescent="0.25">
      <c r="A5860" s="1">
        <v>2430680002</v>
      </c>
      <c r="B5860" s="1" t="s">
        <v>3659</v>
      </c>
      <c r="C5860" s="1" t="s">
        <v>1480</v>
      </c>
      <c r="D5860" s="1" t="s">
        <v>1481</v>
      </c>
      <c r="E5860" s="1">
        <v>1.2</v>
      </c>
      <c r="F5860" s="1" t="s">
        <v>89</v>
      </c>
      <c r="G5860" s="1">
        <v>0</v>
      </c>
      <c r="H5860" s="1">
        <v>0</v>
      </c>
      <c r="I5860" s="1">
        <v>37.583333000000003</v>
      </c>
    </row>
    <row r="5861" spans="1:9" x14ac:dyDescent="0.25">
      <c r="A5861" s="1">
        <v>2430680003</v>
      </c>
      <c r="B5861" s="1" t="s">
        <v>3660</v>
      </c>
      <c r="C5861" s="1" t="s">
        <v>130</v>
      </c>
      <c r="D5861" s="1" t="s">
        <v>131</v>
      </c>
      <c r="E5861" s="3">
        <v>187.15</v>
      </c>
      <c r="F5861" s="1" t="s">
        <v>89</v>
      </c>
      <c r="G5861" s="1">
        <v>0</v>
      </c>
      <c r="H5861" s="1">
        <v>0</v>
      </c>
      <c r="I5861" s="1">
        <v>36.403579999999998</v>
      </c>
    </row>
    <row r="5862" spans="1:9" x14ac:dyDescent="0.25">
      <c r="A5862" s="1">
        <v>2430680003</v>
      </c>
      <c r="B5862" s="1" t="s">
        <v>3660</v>
      </c>
      <c r="C5862" s="1" t="s">
        <v>2174</v>
      </c>
      <c r="D5862" s="1" t="s">
        <v>2175</v>
      </c>
      <c r="E5862" s="3">
        <v>47.798900000000003</v>
      </c>
      <c r="F5862" s="1" t="s">
        <v>89</v>
      </c>
      <c r="G5862" s="1">
        <v>0</v>
      </c>
      <c r="H5862" s="1">
        <v>0</v>
      </c>
      <c r="I5862" s="1">
        <v>36.798963999999998</v>
      </c>
    </row>
    <row r="5863" spans="1:9" x14ac:dyDescent="0.25">
      <c r="A5863" s="1">
        <v>2430680005</v>
      </c>
      <c r="B5863" s="1" t="s">
        <v>3661</v>
      </c>
      <c r="C5863" s="1" t="s">
        <v>130</v>
      </c>
      <c r="D5863" s="1" t="s">
        <v>131</v>
      </c>
      <c r="E5863" s="3">
        <v>9.6425999999999998</v>
      </c>
      <c r="F5863" s="1" t="s">
        <v>89</v>
      </c>
      <c r="G5863" s="1">
        <v>0</v>
      </c>
      <c r="H5863" s="1">
        <v>0</v>
      </c>
      <c r="I5863" s="1">
        <v>67.261942000000005</v>
      </c>
    </row>
    <row r="5864" spans="1:9" x14ac:dyDescent="0.25">
      <c r="A5864" s="1">
        <v>2430680005</v>
      </c>
      <c r="B5864" s="1" t="s">
        <v>3661</v>
      </c>
      <c r="C5864" s="1" t="s">
        <v>2333</v>
      </c>
      <c r="D5864" s="1" t="s">
        <v>2334</v>
      </c>
      <c r="E5864" s="3">
        <v>0.72740000000000005</v>
      </c>
      <c r="F5864" s="1" t="s">
        <v>89</v>
      </c>
      <c r="G5864" s="1">
        <v>0</v>
      </c>
      <c r="H5864" s="1">
        <v>0</v>
      </c>
      <c r="I5864" s="1">
        <v>67.266977999999995</v>
      </c>
    </row>
    <row r="5865" spans="1:9" x14ac:dyDescent="0.25">
      <c r="A5865" s="1">
        <v>2430680011</v>
      </c>
      <c r="B5865" s="1" t="s">
        <v>3662</v>
      </c>
      <c r="C5865" s="1" t="s">
        <v>130</v>
      </c>
      <c r="D5865" s="1" t="s">
        <v>131</v>
      </c>
      <c r="E5865" s="1">
        <v>28</v>
      </c>
      <c r="F5865" s="1" t="s">
        <v>89</v>
      </c>
      <c r="G5865" s="1">
        <v>0</v>
      </c>
      <c r="H5865" s="1">
        <v>0</v>
      </c>
      <c r="I5865" s="1">
        <v>72.215356999999997</v>
      </c>
    </row>
    <row r="5866" spans="1:9" x14ac:dyDescent="0.25">
      <c r="A5866" s="1">
        <v>2430690004</v>
      </c>
      <c r="B5866" s="1" t="s">
        <v>3663</v>
      </c>
      <c r="C5866" s="1" t="s">
        <v>1480</v>
      </c>
      <c r="D5866" s="1" t="s">
        <v>1481</v>
      </c>
      <c r="E5866" s="3">
        <v>0.45</v>
      </c>
      <c r="F5866" s="1" t="s">
        <v>89</v>
      </c>
      <c r="G5866" s="1">
        <v>0</v>
      </c>
      <c r="H5866" s="1">
        <v>0</v>
      </c>
      <c r="I5866" s="1">
        <v>71.866667000000007</v>
      </c>
    </row>
    <row r="5867" spans="1:9" x14ac:dyDescent="0.25">
      <c r="A5867" s="1">
        <v>2430690012</v>
      </c>
      <c r="B5867" s="1" t="s">
        <v>3664</v>
      </c>
      <c r="C5867" s="1" t="s">
        <v>130</v>
      </c>
      <c r="D5867" s="1" t="s">
        <v>131</v>
      </c>
      <c r="E5867" s="1">
        <v>5</v>
      </c>
      <c r="F5867" s="1" t="s">
        <v>89</v>
      </c>
      <c r="G5867" s="1">
        <v>0</v>
      </c>
      <c r="H5867" s="1">
        <v>0</v>
      </c>
      <c r="I5867" s="1">
        <v>68.918000000000006</v>
      </c>
    </row>
    <row r="5868" spans="1:9" x14ac:dyDescent="0.25">
      <c r="A5868" s="1">
        <v>2430690012</v>
      </c>
      <c r="B5868" s="1" t="s">
        <v>3664</v>
      </c>
      <c r="C5868" s="1" t="s">
        <v>2333</v>
      </c>
      <c r="D5868" s="1" t="s">
        <v>2334</v>
      </c>
      <c r="E5868" s="3">
        <v>3.0670000000000002</v>
      </c>
      <c r="F5868" s="1" t="s">
        <v>89</v>
      </c>
      <c r="G5868" s="1">
        <v>0</v>
      </c>
      <c r="H5868" s="1">
        <v>0</v>
      </c>
      <c r="I5868" s="1">
        <v>68.920769000000007</v>
      </c>
    </row>
    <row r="5869" spans="1:9" x14ac:dyDescent="0.25">
      <c r="A5869" s="1">
        <v>2430690013</v>
      </c>
      <c r="B5869" s="1" t="s">
        <v>3665</v>
      </c>
      <c r="C5869" s="1" t="s">
        <v>130</v>
      </c>
      <c r="D5869" s="1" t="s">
        <v>131</v>
      </c>
      <c r="E5869" s="3">
        <v>5</v>
      </c>
      <c r="F5869" s="1" t="s">
        <v>89</v>
      </c>
      <c r="G5869" s="1">
        <v>0</v>
      </c>
      <c r="H5869" s="1">
        <v>0</v>
      </c>
      <c r="I5869" s="1">
        <v>85.682000000000002</v>
      </c>
    </row>
    <row r="5870" spans="1:9" x14ac:dyDescent="0.25">
      <c r="A5870" s="1">
        <v>2430690013</v>
      </c>
      <c r="B5870" s="1" t="s">
        <v>3665</v>
      </c>
      <c r="C5870" s="1" t="s">
        <v>2333</v>
      </c>
      <c r="D5870" s="1" t="s">
        <v>2334</v>
      </c>
      <c r="E5870" s="3">
        <v>2.6280000000000001</v>
      </c>
      <c r="F5870" s="1" t="s">
        <v>89</v>
      </c>
      <c r="G5870" s="1">
        <v>0</v>
      </c>
      <c r="H5870" s="1">
        <v>0</v>
      </c>
      <c r="I5870" s="1">
        <v>85.681126000000006</v>
      </c>
    </row>
    <row r="5871" spans="1:9" x14ac:dyDescent="0.25">
      <c r="A5871" s="1">
        <v>2430700001</v>
      </c>
      <c r="B5871" s="1" t="s">
        <v>3666</v>
      </c>
      <c r="C5871" s="1" t="s">
        <v>130</v>
      </c>
      <c r="D5871" s="1" t="s">
        <v>131</v>
      </c>
      <c r="E5871" s="1">
        <v>136.31880000000001</v>
      </c>
      <c r="F5871" s="1" t="s">
        <v>89</v>
      </c>
      <c r="G5871" s="1">
        <v>9.5489999999999995</v>
      </c>
      <c r="H5871" s="1">
        <v>0</v>
      </c>
      <c r="I5871" s="1">
        <v>21.535326999999999</v>
      </c>
    </row>
    <row r="5872" spans="1:9" x14ac:dyDescent="0.25">
      <c r="A5872" s="1">
        <v>2430700001</v>
      </c>
      <c r="B5872" s="1" t="s">
        <v>3666</v>
      </c>
      <c r="C5872" s="1" t="s">
        <v>2333</v>
      </c>
      <c r="D5872" s="1" t="s">
        <v>2334</v>
      </c>
      <c r="E5872" s="3">
        <v>1.262</v>
      </c>
      <c r="F5872" s="1" t="s">
        <v>89</v>
      </c>
      <c r="G5872" s="1">
        <v>0</v>
      </c>
      <c r="H5872" s="1">
        <v>0</v>
      </c>
      <c r="I5872" s="3">
        <v>21.537241999999999</v>
      </c>
    </row>
    <row r="5873" spans="1:9" x14ac:dyDescent="0.25">
      <c r="A5873" s="1">
        <v>2430700001</v>
      </c>
      <c r="B5873" s="1" t="s">
        <v>3666</v>
      </c>
      <c r="C5873" s="1" t="s">
        <v>2174</v>
      </c>
      <c r="D5873" s="1" t="s">
        <v>2175</v>
      </c>
      <c r="E5873" s="1">
        <v>0</v>
      </c>
      <c r="F5873" s="1" t="s">
        <v>89</v>
      </c>
      <c r="G5873" s="1">
        <v>0</v>
      </c>
      <c r="H5873" s="1">
        <v>9.5489999999999995</v>
      </c>
      <c r="I5873" s="1">
        <v>21.534918000000001</v>
      </c>
    </row>
    <row r="5874" spans="1:9" x14ac:dyDescent="0.25">
      <c r="A5874" s="1">
        <v>2430700003</v>
      </c>
      <c r="B5874" s="1" t="s">
        <v>3667</v>
      </c>
      <c r="C5874" s="1" t="s">
        <v>130</v>
      </c>
      <c r="D5874" s="1" t="s">
        <v>131</v>
      </c>
      <c r="E5874" s="1">
        <v>49.9</v>
      </c>
      <c r="F5874" s="1" t="s">
        <v>89</v>
      </c>
      <c r="G5874" s="1">
        <v>0</v>
      </c>
      <c r="H5874" s="1">
        <v>0</v>
      </c>
      <c r="I5874" s="1">
        <v>17.904609000000001</v>
      </c>
    </row>
    <row r="5875" spans="1:9" x14ac:dyDescent="0.25">
      <c r="A5875" s="1">
        <v>2430700004</v>
      </c>
      <c r="B5875" s="1" t="s">
        <v>3668</v>
      </c>
      <c r="C5875" s="1" t="s">
        <v>130</v>
      </c>
      <c r="D5875" s="1" t="s">
        <v>131</v>
      </c>
      <c r="E5875" s="1">
        <v>24.6</v>
      </c>
      <c r="F5875" s="1" t="s">
        <v>89</v>
      </c>
      <c r="G5875" s="1">
        <v>0</v>
      </c>
      <c r="H5875" s="1">
        <v>0</v>
      </c>
      <c r="I5875" s="3">
        <v>211.073984</v>
      </c>
    </row>
    <row r="5876" spans="1:9" x14ac:dyDescent="0.25">
      <c r="A5876" s="1">
        <v>2430700006</v>
      </c>
      <c r="B5876" s="1" t="s">
        <v>3669</v>
      </c>
      <c r="C5876" s="1" t="s">
        <v>130</v>
      </c>
      <c r="D5876" s="1" t="s">
        <v>131</v>
      </c>
      <c r="E5876" s="1">
        <v>5</v>
      </c>
      <c r="F5876" s="1" t="s">
        <v>89</v>
      </c>
      <c r="G5876" s="1">
        <v>0</v>
      </c>
      <c r="H5876" s="1">
        <v>0</v>
      </c>
      <c r="I5876" s="3">
        <v>47.281999999999996</v>
      </c>
    </row>
    <row r="5877" spans="1:9" x14ac:dyDescent="0.25">
      <c r="A5877" s="1">
        <v>2430700006</v>
      </c>
      <c r="B5877" s="1" t="s">
        <v>3669</v>
      </c>
      <c r="C5877" s="1" t="s">
        <v>2333</v>
      </c>
      <c r="D5877" s="1" t="s">
        <v>2334</v>
      </c>
      <c r="E5877" s="1">
        <v>3.0659999999999998</v>
      </c>
      <c r="F5877" s="1" t="s">
        <v>89</v>
      </c>
      <c r="G5877" s="1">
        <v>0</v>
      </c>
      <c r="H5877" s="1">
        <v>0</v>
      </c>
      <c r="I5877" s="1">
        <v>47.279843</v>
      </c>
    </row>
    <row r="5878" spans="1:9" x14ac:dyDescent="0.25">
      <c r="A5878" s="1">
        <v>2430700007</v>
      </c>
      <c r="B5878" s="1" t="s">
        <v>3670</v>
      </c>
      <c r="C5878" s="1" t="s">
        <v>130</v>
      </c>
      <c r="D5878" s="1" t="s">
        <v>131</v>
      </c>
      <c r="E5878" s="1">
        <v>5</v>
      </c>
      <c r="F5878" s="1" t="s">
        <v>89</v>
      </c>
      <c r="G5878" s="1">
        <v>0</v>
      </c>
      <c r="H5878" s="1">
        <v>0</v>
      </c>
      <c r="I5878" s="1">
        <v>42.66</v>
      </c>
    </row>
    <row r="5879" spans="1:9" x14ac:dyDescent="0.25">
      <c r="A5879" s="1">
        <v>2430700007</v>
      </c>
      <c r="B5879" s="1" t="s">
        <v>3670</v>
      </c>
      <c r="C5879" s="1" t="s">
        <v>2333</v>
      </c>
      <c r="D5879" s="1" t="s">
        <v>2334</v>
      </c>
      <c r="E5879" s="1">
        <v>3.085</v>
      </c>
      <c r="F5879" s="1" t="s">
        <v>89</v>
      </c>
      <c r="G5879" s="1">
        <v>0</v>
      </c>
      <c r="H5879" s="1">
        <v>0</v>
      </c>
      <c r="I5879" s="1">
        <v>42.658023</v>
      </c>
    </row>
    <row r="5880" spans="1:9" x14ac:dyDescent="0.25">
      <c r="A5880" s="1">
        <v>2430710001</v>
      </c>
      <c r="B5880" s="1" t="s">
        <v>3671</v>
      </c>
      <c r="C5880" s="1" t="s">
        <v>130</v>
      </c>
      <c r="D5880" s="1" t="s">
        <v>131</v>
      </c>
      <c r="E5880" s="1">
        <v>63.34</v>
      </c>
      <c r="F5880" s="1" t="s">
        <v>89</v>
      </c>
      <c r="G5880" s="1">
        <v>0</v>
      </c>
      <c r="H5880" s="1">
        <v>0</v>
      </c>
      <c r="I5880" s="1">
        <v>38.970950000000002</v>
      </c>
    </row>
    <row r="5881" spans="1:9" x14ac:dyDescent="0.25">
      <c r="A5881" s="1">
        <v>2430710003</v>
      </c>
      <c r="B5881" s="1" t="s">
        <v>3672</v>
      </c>
      <c r="C5881" s="1" t="s">
        <v>130</v>
      </c>
      <c r="D5881" s="1" t="s">
        <v>131</v>
      </c>
      <c r="E5881" s="1">
        <v>121.136</v>
      </c>
      <c r="F5881" s="1" t="s">
        <v>89</v>
      </c>
      <c r="G5881" s="1">
        <v>0</v>
      </c>
      <c r="H5881" s="1">
        <v>0</v>
      </c>
      <c r="I5881" s="1">
        <v>31.113872000000001</v>
      </c>
    </row>
    <row r="5882" spans="1:9" x14ac:dyDescent="0.25">
      <c r="A5882" s="1">
        <v>2430710006</v>
      </c>
      <c r="B5882" s="1" t="s">
        <v>3673</v>
      </c>
      <c r="C5882" s="1" t="s">
        <v>130</v>
      </c>
      <c r="D5882" s="1" t="s">
        <v>131</v>
      </c>
      <c r="E5882" s="1">
        <v>2.6520000000000001</v>
      </c>
      <c r="F5882" s="1" t="s">
        <v>89</v>
      </c>
      <c r="G5882" s="1">
        <v>0</v>
      </c>
      <c r="H5882" s="1">
        <v>0</v>
      </c>
      <c r="I5882" s="1">
        <v>38.612367999999996</v>
      </c>
    </row>
    <row r="5883" spans="1:9" x14ac:dyDescent="0.25">
      <c r="A5883" s="1">
        <v>2430710006</v>
      </c>
      <c r="B5883" s="1" t="s">
        <v>3673</v>
      </c>
      <c r="C5883" s="1" t="s">
        <v>2174</v>
      </c>
      <c r="D5883" s="1" t="s">
        <v>2175</v>
      </c>
      <c r="E5883" s="1">
        <v>6.4000000000000001E-2</v>
      </c>
      <c r="F5883" s="1" t="s">
        <v>89</v>
      </c>
      <c r="G5883" s="1">
        <v>0</v>
      </c>
      <c r="H5883" s="1">
        <v>0</v>
      </c>
      <c r="I5883" s="1">
        <v>38.59375</v>
      </c>
    </row>
    <row r="5884" spans="1:9" x14ac:dyDescent="0.25">
      <c r="A5884" s="1">
        <v>2430710007</v>
      </c>
      <c r="B5884" s="1" t="s">
        <v>3674</v>
      </c>
      <c r="C5884" s="1" t="s">
        <v>130</v>
      </c>
      <c r="D5884" s="1" t="s">
        <v>131</v>
      </c>
      <c r="E5884" s="1">
        <v>19.100000000000001</v>
      </c>
      <c r="F5884" s="1" t="s">
        <v>89</v>
      </c>
      <c r="G5884" s="1">
        <v>0</v>
      </c>
      <c r="H5884" s="1">
        <v>0</v>
      </c>
      <c r="I5884" s="1">
        <v>59.069634000000001</v>
      </c>
    </row>
    <row r="5885" spans="1:9" x14ac:dyDescent="0.25">
      <c r="A5885" s="1">
        <v>2430710008</v>
      </c>
      <c r="B5885" s="1" t="s">
        <v>3675</v>
      </c>
      <c r="C5885" s="1" t="s">
        <v>130</v>
      </c>
      <c r="D5885" s="1" t="s">
        <v>131</v>
      </c>
      <c r="E5885" s="1">
        <v>3.6</v>
      </c>
      <c r="F5885" s="1" t="s">
        <v>89</v>
      </c>
      <c r="G5885" s="1">
        <v>0</v>
      </c>
      <c r="H5885" s="1">
        <v>0</v>
      </c>
      <c r="I5885" s="1">
        <v>92.513889000000006</v>
      </c>
    </row>
    <row r="5886" spans="1:9" x14ac:dyDescent="0.25">
      <c r="A5886" s="1">
        <v>2430740001</v>
      </c>
      <c r="B5886" s="1" t="s">
        <v>3676</v>
      </c>
      <c r="C5886" s="1" t="s">
        <v>130</v>
      </c>
      <c r="D5886" s="1" t="s">
        <v>131</v>
      </c>
      <c r="E5886" s="1">
        <v>44.37</v>
      </c>
      <c r="F5886" s="1" t="s">
        <v>89</v>
      </c>
      <c r="G5886" s="1">
        <v>0</v>
      </c>
      <c r="H5886" s="1">
        <v>0</v>
      </c>
      <c r="I5886" s="1">
        <v>38.350462</v>
      </c>
    </row>
    <row r="5887" spans="1:9" x14ac:dyDescent="0.25">
      <c r="A5887" s="1">
        <v>2430740002</v>
      </c>
      <c r="B5887" s="1" t="s">
        <v>3677</v>
      </c>
      <c r="C5887" s="1" t="s">
        <v>130</v>
      </c>
      <c r="D5887" s="1" t="s">
        <v>131</v>
      </c>
      <c r="E5887" s="1">
        <v>11.415800000000001</v>
      </c>
      <c r="F5887" s="1" t="s">
        <v>89</v>
      </c>
      <c r="G5887" s="1">
        <v>0.505</v>
      </c>
      <c r="H5887" s="1">
        <v>0</v>
      </c>
      <c r="I5887" s="1">
        <v>42.227438999999997</v>
      </c>
    </row>
    <row r="5888" spans="1:9" x14ac:dyDescent="0.25">
      <c r="A5888" s="1">
        <v>2430740002</v>
      </c>
      <c r="B5888" s="1" t="s">
        <v>3677</v>
      </c>
      <c r="C5888" s="1" t="s">
        <v>2174</v>
      </c>
      <c r="D5888" s="1" t="s">
        <v>2175</v>
      </c>
      <c r="E5888" s="1">
        <v>0</v>
      </c>
      <c r="F5888" s="1" t="s">
        <v>89</v>
      </c>
      <c r="G5888" s="1">
        <v>0</v>
      </c>
      <c r="H5888" s="1">
        <v>0.505</v>
      </c>
      <c r="I5888" s="1">
        <v>42.217821999999998</v>
      </c>
    </row>
    <row r="5889" spans="1:9" x14ac:dyDescent="0.25">
      <c r="A5889" s="1">
        <v>2430740008</v>
      </c>
      <c r="B5889" s="1" t="s">
        <v>3678</v>
      </c>
      <c r="C5889" s="1" t="s">
        <v>130</v>
      </c>
      <c r="D5889" s="1" t="s">
        <v>131</v>
      </c>
      <c r="E5889" s="1">
        <v>25.72</v>
      </c>
      <c r="F5889" s="1" t="s">
        <v>89</v>
      </c>
      <c r="G5889" s="1">
        <v>0</v>
      </c>
      <c r="H5889" s="1">
        <v>0</v>
      </c>
      <c r="I5889" s="1">
        <v>80.846423000000001</v>
      </c>
    </row>
    <row r="5890" spans="1:9" x14ac:dyDescent="0.25">
      <c r="A5890" s="1">
        <v>2430740010</v>
      </c>
      <c r="B5890" s="1" t="s">
        <v>3679</v>
      </c>
      <c r="C5890" s="1" t="s">
        <v>130</v>
      </c>
      <c r="D5890" s="1" t="s">
        <v>131</v>
      </c>
      <c r="E5890" s="1">
        <v>5</v>
      </c>
      <c r="F5890" s="1" t="s">
        <v>89</v>
      </c>
      <c r="G5890" s="1">
        <v>0</v>
      </c>
      <c r="H5890" s="1">
        <v>0</v>
      </c>
      <c r="I5890" s="1">
        <v>40.322000000000003</v>
      </c>
    </row>
    <row r="5891" spans="1:9" x14ac:dyDescent="0.25">
      <c r="A5891" s="1">
        <v>2430740010</v>
      </c>
      <c r="B5891" s="1" t="s">
        <v>3679</v>
      </c>
      <c r="C5891" s="1" t="s">
        <v>2333</v>
      </c>
      <c r="D5891" s="1" t="s">
        <v>2334</v>
      </c>
      <c r="E5891" s="1">
        <v>3.3123999999999998</v>
      </c>
      <c r="F5891" s="1" t="s">
        <v>89</v>
      </c>
      <c r="G5891" s="1">
        <v>0</v>
      </c>
      <c r="H5891" s="1">
        <v>0</v>
      </c>
      <c r="I5891" s="1">
        <v>40.327255000000001</v>
      </c>
    </row>
    <row r="5892" spans="1:9" x14ac:dyDescent="0.25">
      <c r="A5892" s="1">
        <v>2430740011</v>
      </c>
      <c r="B5892" s="1" t="s">
        <v>3680</v>
      </c>
      <c r="C5892" s="1" t="s">
        <v>130</v>
      </c>
      <c r="D5892" s="1" t="s">
        <v>131</v>
      </c>
      <c r="E5892" s="1">
        <v>5</v>
      </c>
      <c r="F5892" s="1" t="s">
        <v>89</v>
      </c>
      <c r="G5892" s="1">
        <v>0</v>
      </c>
      <c r="H5892" s="1">
        <v>0</v>
      </c>
      <c r="I5892" s="1">
        <v>52.7</v>
      </c>
    </row>
    <row r="5893" spans="1:9" x14ac:dyDescent="0.25">
      <c r="A5893" s="1">
        <v>2430740011</v>
      </c>
      <c r="B5893" s="1" t="s">
        <v>3680</v>
      </c>
      <c r="C5893" s="1" t="s">
        <v>2333</v>
      </c>
      <c r="D5893" s="1" t="s">
        <v>2334</v>
      </c>
      <c r="E5893" s="1">
        <v>2.48</v>
      </c>
      <c r="F5893" s="1" t="s">
        <v>89</v>
      </c>
      <c r="G5893" s="1">
        <v>0</v>
      </c>
      <c r="H5893" s="1">
        <v>0</v>
      </c>
      <c r="I5893" s="1">
        <v>52.697581</v>
      </c>
    </row>
    <row r="5894" spans="1:9" x14ac:dyDescent="0.25">
      <c r="A5894" s="1">
        <v>2430760003</v>
      </c>
      <c r="B5894" s="1" t="s">
        <v>3681</v>
      </c>
      <c r="C5894" s="1" t="s">
        <v>130</v>
      </c>
      <c r="D5894" s="1" t="s">
        <v>131</v>
      </c>
      <c r="E5894" s="1">
        <v>20.876999999999999</v>
      </c>
      <c r="F5894" s="1" t="s">
        <v>89</v>
      </c>
      <c r="G5894" s="1">
        <v>0</v>
      </c>
      <c r="H5894" s="1">
        <v>0</v>
      </c>
      <c r="I5894" s="1">
        <v>152.318341</v>
      </c>
    </row>
    <row r="5895" spans="1:9" x14ac:dyDescent="0.25">
      <c r="A5895" s="1">
        <v>2430760003</v>
      </c>
      <c r="B5895" s="1" t="s">
        <v>3681</v>
      </c>
      <c r="C5895" s="1" t="s">
        <v>2174</v>
      </c>
      <c r="D5895" s="1" t="s">
        <v>2175</v>
      </c>
      <c r="E5895" s="1">
        <v>0.151</v>
      </c>
      <c r="F5895" s="1" t="s">
        <v>89</v>
      </c>
      <c r="G5895" s="1">
        <v>0</v>
      </c>
      <c r="H5895" s="1">
        <v>0</v>
      </c>
      <c r="I5895" s="1">
        <v>152.317881</v>
      </c>
    </row>
    <row r="5896" spans="1:9" x14ac:dyDescent="0.25">
      <c r="A5896" s="1">
        <v>2430760004</v>
      </c>
      <c r="B5896" s="1" t="s">
        <v>3682</v>
      </c>
      <c r="C5896" s="1" t="s">
        <v>130</v>
      </c>
      <c r="D5896" s="1" t="s">
        <v>131</v>
      </c>
      <c r="E5896" s="1">
        <v>30.01</v>
      </c>
      <c r="F5896" s="1" t="s">
        <v>89</v>
      </c>
      <c r="G5896" s="1">
        <v>0</v>
      </c>
      <c r="H5896" s="1">
        <v>0</v>
      </c>
      <c r="I5896" s="1">
        <v>76.148284000000004</v>
      </c>
    </row>
    <row r="5897" spans="1:9" x14ac:dyDescent="0.25">
      <c r="A5897" s="1">
        <v>2430760005</v>
      </c>
      <c r="B5897" s="1" t="s">
        <v>3683</v>
      </c>
      <c r="C5897" s="1" t="s">
        <v>130</v>
      </c>
      <c r="D5897" s="1" t="s">
        <v>131</v>
      </c>
      <c r="E5897" s="1">
        <v>24</v>
      </c>
      <c r="F5897" s="1" t="s">
        <v>89</v>
      </c>
      <c r="G5897" s="1">
        <v>0</v>
      </c>
      <c r="H5897" s="1">
        <v>0</v>
      </c>
      <c r="I5897" s="1">
        <v>86.995417000000003</v>
      </c>
    </row>
    <row r="5898" spans="1:9" x14ac:dyDescent="0.25">
      <c r="A5898" s="1">
        <v>2430760006</v>
      </c>
      <c r="B5898" s="1" t="s">
        <v>3684</v>
      </c>
      <c r="C5898" s="1" t="s">
        <v>130</v>
      </c>
      <c r="D5898" s="1" t="s">
        <v>131</v>
      </c>
      <c r="E5898" s="1">
        <v>19.100000000000001</v>
      </c>
      <c r="F5898" s="1" t="s">
        <v>89</v>
      </c>
      <c r="G5898" s="1">
        <v>0</v>
      </c>
      <c r="H5898" s="1">
        <v>0</v>
      </c>
      <c r="I5898" s="1">
        <v>41.646597</v>
      </c>
    </row>
    <row r="5899" spans="1:9" x14ac:dyDescent="0.25">
      <c r="A5899" s="1">
        <v>2430760008</v>
      </c>
      <c r="B5899" s="1" t="s">
        <v>3685</v>
      </c>
      <c r="C5899" s="1" t="s">
        <v>2333</v>
      </c>
      <c r="D5899" s="1" t="s">
        <v>2334</v>
      </c>
      <c r="E5899" s="1">
        <v>0.254</v>
      </c>
      <c r="F5899" s="1" t="s">
        <v>89</v>
      </c>
      <c r="G5899" s="1">
        <v>0</v>
      </c>
      <c r="H5899" s="1">
        <v>0</v>
      </c>
      <c r="I5899" s="1">
        <v>125.19685</v>
      </c>
    </row>
    <row r="5900" spans="1:9" x14ac:dyDescent="0.25">
      <c r="A5900" s="1">
        <v>2430760009</v>
      </c>
      <c r="B5900" s="1" t="s">
        <v>3686</v>
      </c>
      <c r="C5900" s="1" t="s">
        <v>2333</v>
      </c>
      <c r="D5900" s="1" t="s">
        <v>2334</v>
      </c>
      <c r="E5900" s="1">
        <v>8.1000000000000003E-2</v>
      </c>
      <c r="F5900" s="1" t="s">
        <v>89</v>
      </c>
      <c r="G5900" s="1">
        <v>0</v>
      </c>
      <c r="H5900" s="1">
        <v>0</v>
      </c>
      <c r="I5900" s="1">
        <v>67.037036999999998</v>
      </c>
    </row>
    <row r="5901" spans="1:9" x14ac:dyDescent="0.25">
      <c r="A5901" s="1">
        <v>2430760009</v>
      </c>
      <c r="B5901" s="1" t="s">
        <v>3686</v>
      </c>
      <c r="C5901" s="1" t="s">
        <v>625</v>
      </c>
      <c r="D5901" s="1" t="s">
        <v>626</v>
      </c>
      <c r="E5901" s="1">
        <v>8</v>
      </c>
      <c r="F5901" s="1" t="s">
        <v>89</v>
      </c>
      <c r="G5901" s="1">
        <v>0</v>
      </c>
      <c r="H5901" s="1">
        <v>0</v>
      </c>
      <c r="I5901" s="1">
        <v>65.242500000000007</v>
      </c>
    </row>
    <row r="5902" spans="1:9" x14ac:dyDescent="0.25">
      <c r="A5902" s="1">
        <v>2430810004</v>
      </c>
      <c r="B5902" s="1" t="s">
        <v>3687</v>
      </c>
      <c r="C5902" s="1" t="s">
        <v>130</v>
      </c>
      <c r="D5902" s="1" t="s">
        <v>131</v>
      </c>
      <c r="E5902" s="1">
        <v>0</v>
      </c>
      <c r="F5902" s="1" t="s">
        <v>89</v>
      </c>
      <c r="G5902" s="1">
        <v>4.0999999999999996</v>
      </c>
      <c r="H5902" s="1">
        <v>0</v>
      </c>
      <c r="I5902" s="1">
        <v>5.5637780000000001</v>
      </c>
    </row>
    <row r="5903" spans="1:9" x14ac:dyDescent="0.25">
      <c r="A5903" s="1">
        <v>2430810004</v>
      </c>
      <c r="B5903" s="1" t="s">
        <v>3687</v>
      </c>
      <c r="C5903" s="1" t="s">
        <v>142</v>
      </c>
      <c r="D5903" s="1" t="s">
        <v>143</v>
      </c>
      <c r="E5903" s="1">
        <v>0</v>
      </c>
      <c r="F5903" s="1" t="s">
        <v>89</v>
      </c>
      <c r="G5903" s="1">
        <v>0</v>
      </c>
      <c r="H5903" s="1">
        <v>4.0999999999999996</v>
      </c>
      <c r="I5903" s="1">
        <v>5.7816960000000002</v>
      </c>
    </row>
    <row r="5904" spans="1:9" x14ac:dyDescent="0.25">
      <c r="A5904" s="1">
        <v>2430810004</v>
      </c>
      <c r="B5904" s="1" t="s">
        <v>3687</v>
      </c>
      <c r="C5904" s="1" t="s">
        <v>2174</v>
      </c>
      <c r="D5904" s="1" t="s">
        <v>2175</v>
      </c>
      <c r="E5904" s="1">
        <v>65.408600000000007</v>
      </c>
      <c r="F5904" s="1" t="s">
        <v>89</v>
      </c>
      <c r="G5904" s="1">
        <v>0</v>
      </c>
      <c r="H5904" s="1">
        <v>0</v>
      </c>
      <c r="I5904" s="1">
        <v>5.5968179999999998</v>
      </c>
    </row>
    <row r="5905" spans="1:9" x14ac:dyDescent="0.25">
      <c r="A5905" s="1">
        <v>2430820001</v>
      </c>
      <c r="B5905" s="1" t="s">
        <v>3688</v>
      </c>
      <c r="C5905" s="1" t="s">
        <v>130</v>
      </c>
      <c r="D5905" s="1" t="s">
        <v>131</v>
      </c>
      <c r="E5905" s="1">
        <v>28.89</v>
      </c>
      <c r="F5905" s="1" t="s">
        <v>89</v>
      </c>
      <c r="G5905" s="1">
        <v>0</v>
      </c>
      <c r="H5905" s="1">
        <v>0</v>
      </c>
      <c r="I5905" s="1">
        <v>5.8999649999999999</v>
      </c>
    </row>
    <row r="5906" spans="1:9" x14ac:dyDescent="0.25">
      <c r="A5906" s="1">
        <v>2430820004</v>
      </c>
      <c r="B5906" s="1" t="s">
        <v>3689</v>
      </c>
      <c r="C5906" s="1" t="s">
        <v>130</v>
      </c>
      <c r="D5906" s="1" t="s">
        <v>131</v>
      </c>
      <c r="E5906" s="1">
        <v>56.3</v>
      </c>
      <c r="F5906" s="1" t="s">
        <v>89</v>
      </c>
      <c r="G5906" s="1">
        <v>0</v>
      </c>
      <c r="H5906" s="1">
        <v>0</v>
      </c>
      <c r="I5906" s="1">
        <v>19.451332000000001</v>
      </c>
    </row>
    <row r="5907" spans="1:9" x14ac:dyDescent="0.25">
      <c r="A5907" s="1">
        <v>2430820004</v>
      </c>
      <c r="B5907" s="1" t="s">
        <v>3689</v>
      </c>
      <c r="C5907" s="1" t="s">
        <v>1480</v>
      </c>
      <c r="D5907" s="1" t="s">
        <v>1481</v>
      </c>
      <c r="E5907" s="1">
        <v>6</v>
      </c>
      <c r="F5907" s="1" t="s">
        <v>89</v>
      </c>
      <c r="G5907" s="1">
        <v>0</v>
      </c>
      <c r="H5907" s="1">
        <v>0</v>
      </c>
      <c r="I5907" s="1">
        <v>19.473333</v>
      </c>
    </row>
    <row r="5908" spans="1:9" x14ac:dyDescent="0.25">
      <c r="A5908" s="1">
        <v>2430840003</v>
      </c>
      <c r="B5908" s="1" t="s">
        <v>3690</v>
      </c>
      <c r="C5908" s="1" t="s">
        <v>130</v>
      </c>
      <c r="D5908" s="1" t="s">
        <v>131</v>
      </c>
      <c r="E5908" s="1">
        <v>60</v>
      </c>
      <c r="F5908" s="1" t="s">
        <v>89</v>
      </c>
      <c r="G5908" s="1">
        <v>0</v>
      </c>
      <c r="H5908" s="1">
        <v>0</v>
      </c>
      <c r="I5908" s="1">
        <v>27.724167000000001</v>
      </c>
    </row>
    <row r="5909" spans="1:9" x14ac:dyDescent="0.25">
      <c r="A5909" s="1">
        <v>2430840005</v>
      </c>
      <c r="B5909" s="1" t="s">
        <v>3691</v>
      </c>
      <c r="C5909" s="1" t="s">
        <v>130</v>
      </c>
      <c r="D5909" s="1" t="s">
        <v>131</v>
      </c>
      <c r="E5909" s="1">
        <v>130</v>
      </c>
      <c r="F5909" s="1" t="s">
        <v>89</v>
      </c>
      <c r="G5909" s="1">
        <v>0</v>
      </c>
      <c r="H5909" s="1">
        <v>0</v>
      </c>
      <c r="I5909" s="1">
        <v>37.857154000000001</v>
      </c>
    </row>
    <row r="5910" spans="1:9" x14ac:dyDescent="0.25">
      <c r="A5910" s="1">
        <v>2430850005</v>
      </c>
      <c r="B5910" s="1" t="s">
        <v>3692</v>
      </c>
      <c r="C5910" s="1" t="s">
        <v>1480</v>
      </c>
      <c r="D5910" s="1" t="s">
        <v>1481</v>
      </c>
      <c r="E5910" s="1">
        <v>3.75</v>
      </c>
      <c r="F5910" s="1" t="s">
        <v>89</v>
      </c>
      <c r="G5910" s="1">
        <v>0</v>
      </c>
      <c r="H5910" s="1">
        <v>0</v>
      </c>
      <c r="I5910" s="1">
        <v>5.5519999999999996</v>
      </c>
    </row>
    <row r="5911" spans="1:9" x14ac:dyDescent="0.25">
      <c r="A5911" s="1">
        <v>2430850010</v>
      </c>
      <c r="B5911" s="1" t="s">
        <v>3693</v>
      </c>
      <c r="C5911" s="1" t="s">
        <v>1480</v>
      </c>
      <c r="D5911" s="1" t="s">
        <v>1481</v>
      </c>
      <c r="E5911" s="1">
        <v>4.5</v>
      </c>
      <c r="F5911" s="1" t="s">
        <v>89</v>
      </c>
      <c r="G5911" s="1">
        <v>0</v>
      </c>
      <c r="H5911" s="1">
        <v>0</v>
      </c>
      <c r="I5911" s="1">
        <v>24.737777999999999</v>
      </c>
    </row>
    <row r="5912" spans="1:9" x14ac:dyDescent="0.25">
      <c r="A5912" s="1">
        <v>2430850011</v>
      </c>
      <c r="B5912" s="1" t="s">
        <v>3694</v>
      </c>
      <c r="C5912" s="1" t="s">
        <v>1480</v>
      </c>
      <c r="D5912" s="1" t="s">
        <v>1481</v>
      </c>
      <c r="E5912" s="1">
        <v>1.2</v>
      </c>
      <c r="F5912" s="1" t="s">
        <v>89</v>
      </c>
      <c r="G5912" s="1">
        <v>0</v>
      </c>
      <c r="H5912" s="1">
        <v>1.6</v>
      </c>
      <c r="I5912" s="1">
        <v>7.0333329999999998</v>
      </c>
    </row>
    <row r="5913" spans="1:9" x14ac:dyDescent="0.25">
      <c r="A5913" s="1">
        <v>2430850012</v>
      </c>
      <c r="B5913" s="1" t="s">
        <v>3695</v>
      </c>
      <c r="C5913" s="1" t="s">
        <v>130</v>
      </c>
      <c r="D5913" s="1" t="s">
        <v>131</v>
      </c>
      <c r="E5913" s="1">
        <v>187.81299999999999</v>
      </c>
      <c r="F5913" s="1" t="s">
        <v>89</v>
      </c>
      <c r="G5913" s="1">
        <v>1.1200000000000001</v>
      </c>
      <c r="H5913" s="1">
        <v>0</v>
      </c>
      <c r="I5913" s="1">
        <v>13.272031</v>
      </c>
    </row>
    <row r="5914" spans="1:9" x14ac:dyDescent="0.25">
      <c r="A5914" s="1">
        <v>2430850012</v>
      </c>
      <c r="B5914" s="1" t="s">
        <v>3695</v>
      </c>
      <c r="C5914" s="1" t="s">
        <v>142</v>
      </c>
      <c r="D5914" s="1" t="s">
        <v>143</v>
      </c>
      <c r="E5914" s="1">
        <v>8</v>
      </c>
      <c r="F5914" s="1" t="s">
        <v>89</v>
      </c>
      <c r="G5914" s="1">
        <v>0</v>
      </c>
      <c r="H5914" s="1">
        <v>1.1200000000000001</v>
      </c>
      <c r="I5914" s="1">
        <v>13.272500000000001</v>
      </c>
    </row>
    <row r="5915" spans="1:9" x14ac:dyDescent="0.25">
      <c r="A5915" s="1">
        <v>2430850012</v>
      </c>
      <c r="B5915" s="1" t="s">
        <v>3695</v>
      </c>
      <c r="C5915" s="1" t="s">
        <v>2174</v>
      </c>
      <c r="D5915" s="1" t="s">
        <v>2175</v>
      </c>
      <c r="E5915" s="1">
        <v>132.77529999999999</v>
      </c>
      <c r="F5915" s="1" t="s">
        <v>89</v>
      </c>
      <c r="G5915" s="1">
        <v>0</v>
      </c>
      <c r="H5915" s="1">
        <v>0</v>
      </c>
      <c r="I5915" s="1">
        <v>13.289068</v>
      </c>
    </row>
    <row r="5916" spans="1:9" x14ac:dyDescent="0.25">
      <c r="A5916" s="1">
        <v>2430850012</v>
      </c>
      <c r="B5916" s="1" t="s">
        <v>3695</v>
      </c>
      <c r="C5916" s="1" t="s">
        <v>1480</v>
      </c>
      <c r="D5916" s="1" t="s">
        <v>1481</v>
      </c>
      <c r="E5916" s="1">
        <v>1.1499999999999999</v>
      </c>
      <c r="F5916" s="1" t="s">
        <v>89</v>
      </c>
      <c r="G5916" s="1">
        <v>0</v>
      </c>
      <c r="H5916" s="1">
        <v>1.8</v>
      </c>
      <c r="I5916" s="1">
        <v>15.486957</v>
      </c>
    </row>
    <row r="5917" spans="1:9" x14ac:dyDescent="0.25">
      <c r="A5917" s="1">
        <v>2430850013</v>
      </c>
      <c r="B5917" s="1" t="s">
        <v>3696</v>
      </c>
      <c r="C5917" s="1" t="s">
        <v>130</v>
      </c>
      <c r="D5917" s="1" t="s">
        <v>131</v>
      </c>
      <c r="E5917" s="1">
        <v>178.6</v>
      </c>
      <c r="F5917" s="1" t="s">
        <v>89</v>
      </c>
      <c r="G5917" s="3">
        <v>2.79</v>
      </c>
      <c r="H5917" s="1">
        <v>0</v>
      </c>
      <c r="I5917" s="1">
        <v>5.3988800000000001</v>
      </c>
    </row>
    <row r="5918" spans="1:9" x14ac:dyDescent="0.25">
      <c r="A5918" s="1">
        <v>2430850013</v>
      </c>
      <c r="B5918" s="1" t="s">
        <v>3696</v>
      </c>
      <c r="C5918" s="1" t="s">
        <v>142</v>
      </c>
      <c r="D5918" s="1" t="s">
        <v>143</v>
      </c>
      <c r="E5918" s="1">
        <v>0</v>
      </c>
      <c r="F5918" s="1" t="s">
        <v>89</v>
      </c>
      <c r="G5918" s="1">
        <v>0</v>
      </c>
      <c r="H5918" s="1">
        <v>2.79</v>
      </c>
      <c r="I5918" s="1">
        <v>5.4047999999999998</v>
      </c>
    </row>
    <row r="5919" spans="1:9" x14ac:dyDescent="0.25">
      <c r="A5919" s="1">
        <v>2430850013</v>
      </c>
      <c r="B5919" s="1" t="s">
        <v>3696</v>
      </c>
      <c r="C5919" s="1" t="s">
        <v>2174</v>
      </c>
      <c r="D5919" s="1" t="s">
        <v>2175</v>
      </c>
      <c r="E5919" s="1">
        <v>79.567800000000005</v>
      </c>
      <c r="F5919" s="1" t="s">
        <v>89</v>
      </c>
      <c r="G5919" s="1">
        <v>0</v>
      </c>
      <c r="H5919" s="1">
        <v>0</v>
      </c>
      <c r="I5919" s="1">
        <v>5.4006769999999999</v>
      </c>
    </row>
    <row r="5920" spans="1:9" x14ac:dyDescent="0.25">
      <c r="A5920" s="1">
        <v>2430850013</v>
      </c>
      <c r="B5920" s="1" t="s">
        <v>3696</v>
      </c>
      <c r="C5920" s="1" t="s">
        <v>1480</v>
      </c>
      <c r="D5920" s="1" t="s">
        <v>1481</v>
      </c>
      <c r="E5920" s="1">
        <v>1.85</v>
      </c>
      <c r="F5920" s="1" t="s">
        <v>89</v>
      </c>
      <c r="G5920" s="1">
        <v>0</v>
      </c>
      <c r="H5920" s="1">
        <v>2.4</v>
      </c>
      <c r="I5920" s="1">
        <v>6.0810810000000002</v>
      </c>
    </row>
    <row r="5921" spans="1:9" x14ac:dyDescent="0.25">
      <c r="A5921" s="1">
        <v>2430850014</v>
      </c>
      <c r="B5921" s="1" t="s">
        <v>3697</v>
      </c>
      <c r="C5921" s="1" t="s">
        <v>1480</v>
      </c>
      <c r="D5921" s="1" t="s">
        <v>1481</v>
      </c>
      <c r="E5921" s="1">
        <v>1.79</v>
      </c>
      <c r="F5921" s="1" t="s">
        <v>89</v>
      </c>
      <c r="G5921" s="1">
        <v>0</v>
      </c>
      <c r="H5921" s="1">
        <v>1.4</v>
      </c>
      <c r="I5921" s="1">
        <v>53.815641999999997</v>
      </c>
    </row>
    <row r="5922" spans="1:9" x14ac:dyDescent="0.25">
      <c r="A5922" s="1">
        <v>2430850015</v>
      </c>
      <c r="B5922" s="1" t="s">
        <v>3698</v>
      </c>
      <c r="C5922" s="1" t="s">
        <v>130</v>
      </c>
      <c r="D5922" s="1" t="s">
        <v>131</v>
      </c>
      <c r="E5922" s="1">
        <v>50.1</v>
      </c>
      <c r="F5922" s="1" t="s">
        <v>89</v>
      </c>
      <c r="G5922" s="1">
        <v>0</v>
      </c>
      <c r="H5922" s="1">
        <v>0</v>
      </c>
      <c r="I5922" s="1">
        <v>6.6019959999999998</v>
      </c>
    </row>
    <row r="5923" spans="1:9" x14ac:dyDescent="0.25">
      <c r="A5923" s="1">
        <v>2430850021</v>
      </c>
      <c r="B5923" s="1" t="s">
        <v>3699</v>
      </c>
      <c r="C5923" s="1" t="s">
        <v>130</v>
      </c>
      <c r="D5923" s="1" t="s">
        <v>131</v>
      </c>
      <c r="E5923" s="1">
        <v>46</v>
      </c>
      <c r="F5923" s="1" t="s">
        <v>89</v>
      </c>
      <c r="G5923" s="1">
        <v>0</v>
      </c>
      <c r="H5923" s="1">
        <v>0</v>
      </c>
      <c r="I5923" s="1">
        <v>4.7923910000000003</v>
      </c>
    </row>
    <row r="5924" spans="1:9" x14ac:dyDescent="0.25">
      <c r="A5924" s="1">
        <v>2430850022</v>
      </c>
      <c r="B5924" s="1" t="s">
        <v>3700</v>
      </c>
      <c r="C5924" s="1" t="s">
        <v>130</v>
      </c>
      <c r="D5924" s="1" t="s">
        <v>131</v>
      </c>
      <c r="E5924" s="1">
        <v>0.4</v>
      </c>
      <c r="F5924" s="1" t="s">
        <v>89</v>
      </c>
      <c r="G5924" s="1">
        <v>0</v>
      </c>
      <c r="H5924" s="1">
        <v>0</v>
      </c>
      <c r="I5924" s="1">
        <v>15.175000000000001</v>
      </c>
    </row>
    <row r="5925" spans="1:9" x14ac:dyDescent="0.25">
      <c r="A5925" s="1">
        <v>2430850025</v>
      </c>
      <c r="B5925" s="1" t="s">
        <v>3701</v>
      </c>
      <c r="C5925" s="1" t="s">
        <v>130</v>
      </c>
      <c r="D5925" s="1" t="s">
        <v>131</v>
      </c>
      <c r="E5925" s="1">
        <v>2.4900000000000002</v>
      </c>
      <c r="F5925" s="1" t="s">
        <v>89</v>
      </c>
      <c r="G5925" s="1">
        <v>0</v>
      </c>
      <c r="H5925" s="1">
        <v>0</v>
      </c>
      <c r="I5925" s="1">
        <v>65</v>
      </c>
    </row>
    <row r="5926" spans="1:9" x14ac:dyDescent="0.25">
      <c r="A5926" s="1">
        <v>2430850037</v>
      </c>
      <c r="B5926" s="1" t="s">
        <v>3702</v>
      </c>
      <c r="C5926" s="1" t="s">
        <v>130</v>
      </c>
      <c r="D5926" s="1" t="s">
        <v>131</v>
      </c>
      <c r="E5926" s="1">
        <v>129.5</v>
      </c>
      <c r="F5926" s="1" t="s">
        <v>89</v>
      </c>
      <c r="G5926" s="1">
        <v>0</v>
      </c>
      <c r="H5926" s="1">
        <v>300</v>
      </c>
      <c r="I5926" s="1">
        <v>5.186795</v>
      </c>
    </row>
    <row r="5927" spans="1:9" x14ac:dyDescent="0.25">
      <c r="A5927" s="1">
        <v>2430850037</v>
      </c>
      <c r="B5927" s="1" t="s">
        <v>3702</v>
      </c>
      <c r="C5927" s="1" t="s">
        <v>625</v>
      </c>
      <c r="D5927" s="1" t="s">
        <v>626</v>
      </c>
      <c r="E5927" s="1">
        <v>300</v>
      </c>
      <c r="F5927" s="1" t="s">
        <v>89</v>
      </c>
      <c r="G5927" s="1">
        <v>300</v>
      </c>
      <c r="H5927" s="1">
        <v>0</v>
      </c>
      <c r="I5927" s="1">
        <v>5.1454000000000004</v>
      </c>
    </row>
    <row r="5928" spans="1:9" x14ac:dyDescent="0.25">
      <c r="A5928" s="1">
        <v>2430850040</v>
      </c>
      <c r="B5928" s="1" t="s">
        <v>3703</v>
      </c>
      <c r="C5928" s="1" t="s">
        <v>130</v>
      </c>
      <c r="D5928" s="1" t="s">
        <v>131</v>
      </c>
      <c r="E5928" s="1">
        <v>44.655000000000001</v>
      </c>
      <c r="F5928" s="1" t="s">
        <v>89</v>
      </c>
      <c r="G5928" s="1">
        <v>0</v>
      </c>
      <c r="H5928" s="1">
        <v>0</v>
      </c>
      <c r="I5928" s="1">
        <v>14.855670999999999</v>
      </c>
    </row>
    <row r="5929" spans="1:9" x14ac:dyDescent="0.25">
      <c r="A5929" s="1">
        <v>2430850042</v>
      </c>
      <c r="B5929" s="1" t="s">
        <v>3704</v>
      </c>
      <c r="C5929" s="1" t="s">
        <v>1480</v>
      </c>
      <c r="D5929" s="1" t="s">
        <v>1481</v>
      </c>
      <c r="E5929" s="1">
        <v>9.6</v>
      </c>
      <c r="F5929" s="1" t="s">
        <v>89</v>
      </c>
      <c r="G5929" s="1">
        <v>0</v>
      </c>
      <c r="H5929" s="1">
        <v>4.8</v>
      </c>
      <c r="I5929" s="1">
        <v>9.547917</v>
      </c>
    </row>
    <row r="5930" spans="1:9" x14ac:dyDescent="0.25">
      <c r="A5930" s="1">
        <v>2430860001</v>
      </c>
      <c r="B5930" s="1" t="s">
        <v>3705</v>
      </c>
      <c r="C5930" s="1" t="s">
        <v>2333</v>
      </c>
      <c r="D5930" s="1" t="s">
        <v>2334</v>
      </c>
      <c r="E5930" s="1">
        <v>0.68520000000000003</v>
      </c>
      <c r="F5930" s="1" t="s">
        <v>89</v>
      </c>
      <c r="G5930" s="1">
        <v>0</v>
      </c>
      <c r="H5930" s="1">
        <v>0</v>
      </c>
      <c r="I5930" s="1">
        <v>16.885580999999998</v>
      </c>
    </row>
    <row r="5931" spans="1:9" x14ac:dyDescent="0.25">
      <c r="A5931" s="1">
        <v>2430870001</v>
      </c>
      <c r="B5931" s="1" t="s">
        <v>3706</v>
      </c>
      <c r="C5931" s="1" t="s">
        <v>1480</v>
      </c>
      <c r="D5931" s="1" t="s">
        <v>1481</v>
      </c>
      <c r="E5931" s="1">
        <v>36</v>
      </c>
      <c r="F5931" s="1" t="s">
        <v>89</v>
      </c>
      <c r="G5931" s="1">
        <v>0</v>
      </c>
      <c r="H5931" s="1">
        <v>36</v>
      </c>
      <c r="I5931" s="1">
        <v>1.9675</v>
      </c>
    </row>
    <row r="5932" spans="1:9" x14ac:dyDescent="0.25">
      <c r="A5932" s="1">
        <v>2430870004</v>
      </c>
      <c r="B5932" s="1" t="s">
        <v>3707</v>
      </c>
      <c r="C5932" s="1" t="s">
        <v>130</v>
      </c>
      <c r="D5932" s="1" t="s">
        <v>131</v>
      </c>
      <c r="E5932" s="3">
        <v>75</v>
      </c>
      <c r="F5932" s="1" t="s">
        <v>89</v>
      </c>
      <c r="G5932" s="1">
        <v>0</v>
      </c>
      <c r="H5932" s="3">
        <v>0</v>
      </c>
      <c r="I5932" s="1">
        <v>11.1012</v>
      </c>
    </row>
    <row r="5933" spans="1:9" x14ac:dyDescent="0.25">
      <c r="A5933" s="1">
        <v>2430870004</v>
      </c>
      <c r="B5933" s="1" t="s">
        <v>3707</v>
      </c>
      <c r="C5933" s="1" t="s">
        <v>2174</v>
      </c>
      <c r="D5933" s="1" t="s">
        <v>2175</v>
      </c>
      <c r="E5933" s="1">
        <v>24.54</v>
      </c>
      <c r="F5933" s="1" t="s">
        <v>89</v>
      </c>
      <c r="G5933" s="1">
        <v>0</v>
      </c>
      <c r="H5933" s="1">
        <v>0</v>
      </c>
      <c r="I5933" s="1">
        <v>11.101058999999999</v>
      </c>
    </row>
    <row r="5934" spans="1:9" x14ac:dyDescent="0.25">
      <c r="A5934" s="1">
        <v>2430870004</v>
      </c>
      <c r="B5934" s="1" t="s">
        <v>3707</v>
      </c>
      <c r="C5934" s="1" t="s">
        <v>1480</v>
      </c>
      <c r="D5934" s="1" t="s">
        <v>1481</v>
      </c>
      <c r="E5934" s="1">
        <v>0.25</v>
      </c>
      <c r="F5934" s="1" t="s">
        <v>89</v>
      </c>
      <c r="G5934" s="1">
        <v>0</v>
      </c>
      <c r="H5934" s="1">
        <v>0.5</v>
      </c>
      <c r="I5934" s="1">
        <v>5.92</v>
      </c>
    </row>
    <row r="5935" spans="1:9" x14ac:dyDescent="0.25">
      <c r="A5935" s="1">
        <v>2430880003</v>
      </c>
      <c r="B5935" s="1" t="s">
        <v>3708</v>
      </c>
      <c r="C5935" s="1" t="s">
        <v>130</v>
      </c>
      <c r="D5935" s="1" t="s">
        <v>131</v>
      </c>
      <c r="E5935" s="1">
        <v>108.4</v>
      </c>
      <c r="F5935" s="1" t="s">
        <v>89</v>
      </c>
      <c r="G5935" s="1">
        <v>0</v>
      </c>
      <c r="H5935" s="1">
        <v>0</v>
      </c>
      <c r="I5935" s="1">
        <v>7.2504609999999996</v>
      </c>
    </row>
    <row r="5936" spans="1:9" x14ac:dyDescent="0.25">
      <c r="A5936" s="1">
        <v>2430880005</v>
      </c>
      <c r="B5936" s="1" t="s">
        <v>3709</v>
      </c>
      <c r="C5936" s="1" t="s">
        <v>130</v>
      </c>
      <c r="D5936" s="1" t="s">
        <v>131</v>
      </c>
      <c r="E5936" s="1">
        <v>4.8</v>
      </c>
      <c r="F5936" s="1" t="s">
        <v>89</v>
      </c>
      <c r="G5936" s="1">
        <v>0</v>
      </c>
      <c r="H5936" s="1">
        <v>0</v>
      </c>
      <c r="I5936" s="1">
        <v>2.9249999999999998</v>
      </c>
    </row>
    <row r="5937" spans="1:9" x14ac:dyDescent="0.25">
      <c r="A5937" s="1">
        <v>2430880010</v>
      </c>
      <c r="B5937" s="1" t="s">
        <v>3710</v>
      </c>
      <c r="C5937" s="1" t="s">
        <v>1480</v>
      </c>
      <c r="D5937" s="1" t="s">
        <v>1481</v>
      </c>
      <c r="E5937" s="1">
        <v>2.25</v>
      </c>
      <c r="F5937" s="1" t="s">
        <v>89</v>
      </c>
      <c r="G5937" s="1">
        <v>0</v>
      </c>
      <c r="H5937" s="1">
        <v>1.3</v>
      </c>
      <c r="I5937" s="1">
        <v>7.3111110000000004</v>
      </c>
    </row>
    <row r="5938" spans="1:9" x14ac:dyDescent="0.25">
      <c r="A5938" s="1">
        <v>2430880019</v>
      </c>
      <c r="B5938" s="1" t="s">
        <v>3711</v>
      </c>
      <c r="C5938" s="1" t="s">
        <v>1480</v>
      </c>
      <c r="D5938" s="1" t="s">
        <v>1481</v>
      </c>
      <c r="E5938" s="1">
        <v>0.25</v>
      </c>
      <c r="F5938" s="1" t="s">
        <v>89</v>
      </c>
      <c r="G5938" s="1">
        <v>0</v>
      </c>
      <c r="H5938" s="1">
        <v>0.5</v>
      </c>
      <c r="I5938" s="1">
        <v>30.88</v>
      </c>
    </row>
    <row r="5939" spans="1:9" x14ac:dyDescent="0.25">
      <c r="A5939" s="1">
        <v>2430880022</v>
      </c>
      <c r="B5939" s="1" t="s">
        <v>115</v>
      </c>
      <c r="C5939" s="1" t="s">
        <v>130</v>
      </c>
      <c r="D5939" s="1" t="s">
        <v>131</v>
      </c>
      <c r="E5939" s="1">
        <v>152.46600000000001</v>
      </c>
      <c r="F5939" s="1" t="s">
        <v>89</v>
      </c>
      <c r="G5939" s="1">
        <v>84.32</v>
      </c>
      <c r="H5939" s="1">
        <v>0</v>
      </c>
      <c r="I5939" s="1">
        <v>5.3984490000000003</v>
      </c>
    </row>
    <row r="5940" spans="1:9" x14ac:dyDescent="0.25">
      <c r="A5940" s="1">
        <v>2430880022</v>
      </c>
      <c r="B5940" s="1" t="s">
        <v>115</v>
      </c>
      <c r="C5940" s="1" t="s">
        <v>142</v>
      </c>
      <c r="D5940" s="1" t="s">
        <v>143</v>
      </c>
      <c r="E5940" s="1">
        <v>0</v>
      </c>
      <c r="F5940" s="1" t="s">
        <v>89</v>
      </c>
      <c r="G5940" s="1">
        <v>0</v>
      </c>
      <c r="H5940" s="1">
        <v>84.32</v>
      </c>
      <c r="I5940" s="1">
        <v>5.3983999999999996</v>
      </c>
    </row>
    <row r="5941" spans="1:9" x14ac:dyDescent="0.25">
      <c r="A5941" s="1">
        <v>2430880022</v>
      </c>
      <c r="B5941" s="1" t="s">
        <v>115</v>
      </c>
      <c r="C5941" s="1" t="s">
        <v>2174</v>
      </c>
      <c r="D5941" s="1" t="s">
        <v>2175</v>
      </c>
      <c r="E5941" s="3">
        <v>161.35300000000001</v>
      </c>
      <c r="F5941" s="1" t="s">
        <v>89</v>
      </c>
      <c r="G5941" s="1">
        <v>0</v>
      </c>
      <c r="H5941" s="1">
        <v>0</v>
      </c>
      <c r="I5941" s="1">
        <v>5.3991559999999996</v>
      </c>
    </row>
    <row r="5942" spans="1:9" x14ac:dyDescent="0.25">
      <c r="A5942" s="1">
        <v>2430880024</v>
      </c>
      <c r="B5942" s="1" t="s">
        <v>3712</v>
      </c>
      <c r="C5942" s="1" t="s">
        <v>1480</v>
      </c>
      <c r="D5942" s="1" t="s">
        <v>1481</v>
      </c>
      <c r="E5942" s="1">
        <v>18</v>
      </c>
      <c r="F5942" s="1" t="s">
        <v>89</v>
      </c>
      <c r="G5942" s="1">
        <v>0</v>
      </c>
      <c r="H5942" s="1">
        <v>9</v>
      </c>
      <c r="I5942" s="1">
        <v>6.7188889999999999</v>
      </c>
    </row>
    <row r="5943" spans="1:9" x14ac:dyDescent="0.25">
      <c r="A5943" s="1">
        <v>2430880026</v>
      </c>
      <c r="B5943" s="1" t="s">
        <v>3713</v>
      </c>
      <c r="C5943" s="1" t="s">
        <v>130</v>
      </c>
      <c r="D5943" s="1" t="s">
        <v>131</v>
      </c>
      <c r="E5943" s="1">
        <v>8.5</v>
      </c>
      <c r="F5943" s="1" t="s">
        <v>89</v>
      </c>
      <c r="G5943" s="1">
        <v>0</v>
      </c>
      <c r="H5943" s="1">
        <v>0</v>
      </c>
      <c r="I5943" s="1">
        <v>6.3188240000000002</v>
      </c>
    </row>
    <row r="5944" spans="1:9" x14ac:dyDescent="0.25">
      <c r="A5944" s="1">
        <v>2430890005</v>
      </c>
      <c r="B5944" s="1" t="s">
        <v>3714</v>
      </c>
      <c r="C5944" s="1" t="s">
        <v>130</v>
      </c>
      <c r="D5944" s="1" t="s">
        <v>131</v>
      </c>
      <c r="E5944" s="3">
        <v>3401.8969999999999</v>
      </c>
      <c r="F5944" s="1" t="s">
        <v>89</v>
      </c>
      <c r="G5944" s="1">
        <v>0</v>
      </c>
      <c r="H5944" s="3">
        <v>28000</v>
      </c>
      <c r="I5944" s="1">
        <v>5.6903870000000003</v>
      </c>
    </row>
    <row r="5945" spans="1:9" x14ac:dyDescent="0.25">
      <c r="A5945" s="1">
        <v>2430890005</v>
      </c>
      <c r="B5945" s="1" t="s">
        <v>3714</v>
      </c>
      <c r="C5945" s="1" t="s">
        <v>2174</v>
      </c>
      <c r="D5945" s="1" t="s">
        <v>2175</v>
      </c>
      <c r="E5945" s="1">
        <v>50</v>
      </c>
      <c r="F5945" s="1" t="s">
        <v>89</v>
      </c>
      <c r="G5945" s="1">
        <v>0</v>
      </c>
      <c r="H5945" s="1">
        <v>0</v>
      </c>
      <c r="I5945" s="1">
        <v>5.6616</v>
      </c>
    </row>
    <row r="5946" spans="1:9" x14ac:dyDescent="0.25">
      <c r="A5946" s="1">
        <v>2430890005</v>
      </c>
      <c r="B5946" s="1" t="s">
        <v>3714</v>
      </c>
      <c r="C5946" s="1" t="s">
        <v>2248</v>
      </c>
      <c r="D5946" s="1" t="s">
        <v>2249</v>
      </c>
      <c r="E5946" s="3">
        <v>0</v>
      </c>
      <c r="F5946" s="1" t="s">
        <v>89</v>
      </c>
      <c r="G5946" s="1">
        <v>0</v>
      </c>
      <c r="H5946" s="1">
        <v>8</v>
      </c>
      <c r="I5946" s="1">
        <v>5.6880850000000001</v>
      </c>
    </row>
    <row r="5947" spans="1:9" x14ac:dyDescent="0.25">
      <c r="A5947" s="1">
        <v>2430890006</v>
      </c>
      <c r="B5947" s="1" t="s">
        <v>3715</v>
      </c>
      <c r="C5947" s="1" t="s">
        <v>130</v>
      </c>
      <c r="D5947" s="1" t="s">
        <v>131</v>
      </c>
      <c r="E5947" s="1">
        <v>7.5</v>
      </c>
      <c r="F5947" s="1" t="s">
        <v>89</v>
      </c>
      <c r="G5947" s="1">
        <v>0</v>
      </c>
      <c r="H5947" s="1">
        <v>0</v>
      </c>
      <c r="I5947" s="1">
        <v>44.386667000000003</v>
      </c>
    </row>
    <row r="5948" spans="1:9" x14ac:dyDescent="0.25">
      <c r="A5948" s="1">
        <v>2430900001</v>
      </c>
      <c r="B5948" s="1" t="s">
        <v>3716</v>
      </c>
      <c r="C5948" s="1" t="s">
        <v>1480</v>
      </c>
      <c r="D5948" s="1" t="s">
        <v>1481</v>
      </c>
      <c r="E5948" s="1">
        <v>12</v>
      </c>
      <c r="F5948" s="1" t="s">
        <v>89</v>
      </c>
      <c r="G5948" s="1">
        <v>0</v>
      </c>
      <c r="H5948" s="1">
        <v>6</v>
      </c>
      <c r="I5948" s="1">
        <v>0.88083299999999998</v>
      </c>
    </row>
    <row r="5949" spans="1:9" x14ac:dyDescent="0.25">
      <c r="A5949" s="1">
        <v>2430900008</v>
      </c>
      <c r="B5949" s="1" t="s">
        <v>3717</v>
      </c>
      <c r="C5949" s="1" t="s">
        <v>1480</v>
      </c>
      <c r="D5949" s="1" t="s">
        <v>1481</v>
      </c>
      <c r="E5949" s="1">
        <v>4.5</v>
      </c>
      <c r="F5949" s="1" t="s">
        <v>89</v>
      </c>
      <c r="G5949" s="1">
        <v>0</v>
      </c>
      <c r="H5949" s="1">
        <v>0</v>
      </c>
      <c r="I5949" s="1">
        <v>30.344443999999999</v>
      </c>
    </row>
    <row r="5950" spans="1:9" x14ac:dyDescent="0.25">
      <c r="A5950" s="1">
        <v>2430910001</v>
      </c>
      <c r="B5950" s="1" t="s">
        <v>3718</v>
      </c>
      <c r="C5950" s="1" t="s">
        <v>1480</v>
      </c>
      <c r="D5950" s="1" t="s">
        <v>1481</v>
      </c>
      <c r="E5950" s="1">
        <v>72</v>
      </c>
      <c r="F5950" s="1" t="s">
        <v>89</v>
      </c>
      <c r="G5950" s="1">
        <v>0</v>
      </c>
      <c r="H5950" s="1">
        <v>0</v>
      </c>
      <c r="I5950" s="1">
        <v>4.5774999999999997</v>
      </c>
    </row>
    <row r="5951" spans="1:9" x14ac:dyDescent="0.25">
      <c r="A5951" s="1">
        <v>2430920002</v>
      </c>
      <c r="B5951" s="1" t="s">
        <v>3719</v>
      </c>
      <c r="C5951" s="1" t="s">
        <v>130</v>
      </c>
      <c r="D5951" s="1" t="s">
        <v>131</v>
      </c>
      <c r="E5951" s="1">
        <v>446</v>
      </c>
      <c r="F5951" s="1" t="s">
        <v>89</v>
      </c>
      <c r="G5951" s="1">
        <v>0</v>
      </c>
      <c r="H5951" s="1">
        <v>0</v>
      </c>
      <c r="I5951" s="1">
        <v>6.1013900000000003</v>
      </c>
    </row>
    <row r="5952" spans="1:9" x14ac:dyDescent="0.25">
      <c r="A5952" s="1">
        <v>2430920002</v>
      </c>
      <c r="B5952" s="1" t="s">
        <v>3719</v>
      </c>
      <c r="C5952" s="1" t="s">
        <v>1480</v>
      </c>
      <c r="D5952" s="1" t="s">
        <v>1481</v>
      </c>
      <c r="E5952" s="1">
        <v>67.5</v>
      </c>
      <c r="F5952" s="1" t="s">
        <v>89</v>
      </c>
      <c r="G5952" s="1">
        <v>0</v>
      </c>
      <c r="H5952" s="1">
        <v>0</v>
      </c>
      <c r="I5952" s="1">
        <v>4.2037040000000001</v>
      </c>
    </row>
    <row r="5953" spans="1:9" x14ac:dyDescent="0.25">
      <c r="A5953" s="1">
        <v>2430930001</v>
      </c>
      <c r="B5953" s="1" t="s">
        <v>114</v>
      </c>
      <c r="C5953" s="1" t="s">
        <v>130</v>
      </c>
      <c r="D5953" s="1" t="s">
        <v>131</v>
      </c>
      <c r="E5953" s="1">
        <v>276.72000000000003</v>
      </c>
      <c r="F5953" s="1" t="s">
        <v>89</v>
      </c>
      <c r="G5953" s="1">
        <v>0</v>
      </c>
      <c r="H5953" s="1">
        <v>0</v>
      </c>
      <c r="I5953" s="1">
        <v>4.7685019999999998</v>
      </c>
    </row>
    <row r="5954" spans="1:9" x14ac:dyDescent="0.25">
      <c r="A5954" s="1">
        <v>2430930001</v>
      </c>
      <c r="B5954" s="1" t="s">
        <v>114</v>
      </c>
      <c r="C5954" s="1" t="s">
        <v>2174</v>
      </c>
      <c r="D5954" s="1" t="s">
        <v>2175</v>
      </c>
      <c r="E5954" s="1">
        <v>8.92</v>
      </c>
      <c r="F5954" s="1" t="s">
        <v>89</v>
      </c>
      <c r="G5954" s="1">
        <v>0</v>
      </c>
      <c r="H5954" s="1">
        <v>0</v>
      </c>
      <c r="I5954" s="1">
        <v>4.7679369999999999</v>
      </c>
    </row>
    <row r="5955" spans="1:9" x14ac:dyDescent="0.25">
      <c r="A5955" s="1">
        <v>2430930002</v>
      </c>
      <c r="B5955" s="1" t="s">
        <v>3720</v>
      </c>
      <c r="C5955" s="1" t="s">
        <v>130</v>
      </c>
      <c r="D5955" s="1" t="s">
        <v>131</v>
      </c>
      <c r="E5955" s="1">
        <v>99.6</v>
      </c>
      <c r="F5955" s="1" t="s">
        <v>89</v>
      </c>
      <c r="G5955" s="1">
        <v>0</v>
      </c>
      <c r="H5955" s="1">
        <v>0</v>
      </c>
      <c r="I5955" s="1">
        <v>4.7694780000000003</v>
      </c>
    </row>
    <row r="5956" spans="1:9" x14ac:dyDescent="0.25">
      <c r="A5956" s="1">
        <v>2430930002</v>
      </c>
      <c r="B5956" s="1" t="s">
        <v>3720</v>
      </c>
      <c r="C5956" s="1" t="s">
        <v>523</v>
      </c>
      <c r="D5956" s="1" t="s">
        <v>524</v>
      </c>
      <c r="E5956" s="1">
        <v>50.2</v>
      </c>
      <c r="F5956" s="1" t="s">
        <v>89</v>
      </c>
      <c r="G5956" s="1">
        <v>0</v>
      </c>
      <c r="H5956" s="1">
        <v>0</v>
      </c>
      <c r="I5956" s="1">
        <v>4.9103589999999997</v>
      </c>
    </row>
    <row r="5957" spans="1:9" x14ac:dyDescent="0.25">
      <c r="A5957" s="1">
        <v>2430930004</v>
      </c>
      <c r="B5957" s="1" t="s">
        <v>3721</v>
      </c>
      <c r="C5957" s="1" t="s">
        <v>1480</v>
      </c>
      <c r="D5957" s="1" t="s">
        <v>1481</v>
      </c>
      <c r="E5957" s="1">
        <v>78</v>
      </c>
      <c r="F5957" s="1" t="s">
        <v>89</v>
      </c>
      <c r="G5957" s="1">
        <v>2</v>
      </c>
      <c r="H5957" s="1">
        <v>0</v>
      </c>
      <c r="I5957" s="1">
        <v>2.3901279999999998</v>
      </c>
    </row>
    <row r="5958" spans="1:9" x14ac:dyDescent="0.25">
      <c r="A5958" s="1">
        <v>2430930005</v>
      </c>
      <c r="B5958" s="1" t="s">
        <v>3722</v>
      </c>
      <c r="C5958" s="1" t="s">
        <v>130</v>
      </c>
      <c r="D5958" s="1" t="s">
        <v>131</v>
      </c>
      <c r="E5958" s="1">
        <v>14</v>
      </c>
      <c r="F5958" s="1" t="s">
        <v>89</v>
      </c>
      <c r="G5958" s="1">
        <v>0</v>
      </c>
      <c r="H5958" s="1">
        <v>0</v>
      </c>
      <c r="I5958" s="1">
        <v>4.9850000000000003</v>
      </c>
    </row>
    <row r="5959" spans="1:9" x14ac:dyDescent="0.25">
      <c r="A5959" s="1">
        <v>2430950001</v>
      </c>
      <c r="B5959" s="1" t="s">
        <v>3723</v>
      </c>
      <c r="C5959" s="1" t="s">
        <v>130</v>
      </c>
      <c r="D5959" s="1" t="s">
        <v>131</v>
      </c>
      <c r="E5959" s="1">
        <v>77.400000000000006</v>
      </c>
      <c r="F5959" s="1" t="s">
        <v>89</v>
      </c>
      <c r="G5959" s="3">
        <v>0</v>
      </c>
      <c r="H5959" s="1">
        <v>0</v>
      </c>
      <c r="I5959" s="1">
        <v>8.6098189999999999</v>
      </c>
    </row>
    <row r="5960" spans="1:9" x14ac:dyDescent="0.25">
      <c r="A5960" s="1">
        <v>2430950002</v>
      </c>
      <c r="B5960" s="1" t="s">
        <v>3724</v>
      </c>
      <c r="C5960" s="1" t="s">
        <v>130</v>
      </c>
      <c r="D5960" s="1" t="s">
        <v>131</v>
      </c>
      <c r="E5960" s="1">
        <v>49.063000000000002</v>
      </c>
      <c r="F5960" s="1" t="s">
        <v>89</v>
      </c>
      <c r="G5960" s="1">
        <v>0</v>
      </c>
      <c r="H5960" s="1">
        <v>0</v>
      </c>
      <c r="I5960" s="1">
        <v>17.015674000000001</v>
      </c>
    </row>
    <row r="5961" spans="1:9" x14ac:dyDescent="0.25">
      <c r="A5961" s="1">
        <v>2430950007</v>
      </c>
      <c r="B5961" s="1" t="s">
        <v>3725</v>
      </c>
      <c r="C5961" s="1" t="s">
        <v>130</v>
      </c>
      <c r="D5961" s="1" t="s">
        <v>131</v>
      </c>
      <c r="E5961" s="3">
        <v>1260</v>
      </c>
      <c r="F5961" s="1" t="s">
        <v>89</v>
      </c>
      <c r="G5961" s="1">
        <v>0</v>
      </c>
      <c r="H5961" s="1">
        <v>0</v>
      </c>
      <c r="I5961" s="1">
        <v>2.6943969999999999</v>
      </c>
    </row>
    <row r="5962" spans="1:9" x14ac:dyDescent="0.25">
      <c r="A5962" s="1">
        <v>2430950007</v>
      </c>
      <c r="B5962" s="1" t="s">
        <v>3725</v>
      </c>
      <c r="C5962" s="1" t="s">
        <v>1480</v>
      </c>
      <c r="D5962" s="1" t="s">
        <v>1481</v>
      </c>
      <c r="E5962" s="1">
        <v>72</v>
      </c>
      <c r="F5962" s="1" t="s">
        <v>89</v>
      </c>
      <c r="G5962" s="1">
        <v>0</v>
      </c>
      <c r="H5962" s="1">
        <v>0</v>
      </c>
      <c r="I5962" s="1">
        <v>2.6904170000000001</v>
      </c>
    </row>
    <row r="5963" spans="1:9" x14ac:dyDescent="0.25">
      <c r="A5963" s="1">
        <v>2430960001</v>
      </c>
      <c r="B5963" s="1" t="s">
        <v>3726</v>
      </c>
      <c r="C5963" s="1" t="s">
        <v>130</v>
      </c>
      <c r="D5963" s="1" t="s">
        <v>131</v>
      </c>
      <c r="E5963" s="1">
        <v>27.1</v>
      </c>
      <c r="F5963" s="1" t="s">
        <v>89</v>
      </c>
      <c r="G5963" s="1">
        <v>0</v>
      </c>
      <c r="H5963" s="1">
        <v>0</v>
      </c>
      <c r="I5963" s="1">
        <v>7.1464939999999997</v>
      </c>
    </row>
    <row r="5964" spans="1:9" x14ac:dyDescent="0.25">
      <c r="A5964" s="1">
        <v>2430960002</v>
      </c>
      <c r="B5964" s="1" t="s">
        <v>3727</v>
      </c>
      <c r="C5964" s="1" t="s">
        <v>130</v>
      </c>
      <c r="D5964" s="1" t="s">
        <v>131</v>
      </c>
      <c r="E5964" s="1">
        <v>38.299999999999997</v>
      </c>
      <c r="F5964" s="1" t="s">
        <v>89</v>
      </c>
      <c r="G5964" s="1">
        <v>0</v>
      </c>
      <c r="H5964" s="1">
        <v>0</v>
      </c>
      <c r="I5964" s="1">
        <v>7.4830290000000002</v>
      </c>
    </row>
    <row r="5965" spans="1:9" x14ac:dyDescent="0.25">
      <c r="A5965" s="1">
        <v>2430960003</v>
      </c>
      <c r="B5965" s="1" t="s">
        <v>3728</v>
      </c>
      <c r="C5965" s="1" t="s">
        <v>1480</v>
      </c>
      <c r="D5965" s="1" t="s">
        <v>1481</v>
      </c>
      <c r="E5965" s="1">
        <v>7.5</v>
      </c>
      <c r="F5965" s="1" t="s">
        <v>89</v>
      </c>
      <c r="G5965" s="1">
        <v>0</v>
      </c>
      <c r="H5965" s="1">
        <v>0</v>
      </c>
      <c r="I5965" s="1">
        <v>5.7560000000000002</v>
      </c>
    </row>
    <row r="5966" spans="1:9" x14ac:dyDescent="0.25">
      <c r="A5966" s="1">
        <v>2430960005</v>
      </c>
      <c r="B5966" s="1" t="s">
        <v>3729</v>
      </c>
      <c r="C5966" s="1" t="s">
        <v>130</v>
      </c>
      <c r="D5966" s="1" t="s">
        <v>131</v>
      </c>
      <c r="E5966" s="1">
        <v>142.30000000000001</v>
      </c>
      <c r="F5966" s="1" t="s">
        <v>89</v>
      </c>
      <c r="G5966" s="1">
        <v>0</v>
      </c>
      <c r="H5966" s="1">
        <v>0</v>
      </c>
      <c r="I5966" s="1">
        <v>5.288475</v>
      </c>
    </row>
    <row r="5967" spans="1:9" x14ac:dyDescent="0.25">
      <c r="A5967" s="1">
        <v>2430980002</v>
      </c>
      <c r="B5967" s="1" t="s">
        <v>3730</v>
      </c>
      <c r="C5967" s="1" t="s">
        <v>130</v>
      </c>
      <c r="D5967" s="1" t="s">
        <v>131</v>
      </c>
      <c r="E5967" s="1">
        <v>6</v>
      </c>
      <c r="F5967" s="1" t="s">
        <v>89</v>
      </c>
      <c r="G5967" s="1">
        <v>0</v>
      </c>
      <c r="H5967" s="1">
        <v>0</v>
      </c>
      <c r="I5967" s="1">
        <v>9.7550000000000008</v>
      </c>
    </row>
    <row r="5968" spans="1:9" x14ac:dyDescent="0.25">
      <c r="A5968" s="1">
        <v>2500010075</v>
      </c>
      <c r="B5968" s="1" t="s">
        <v>3731</v>
      </c>
      <c r="C5968" s="1" t="s">
        <v>126</v>
      </c>
      <c r="D5968" s="1" t="s">
        <v>127</v>
      </c>
      <c r="E5968" s="3">
        <v>314</v>
      </c>
      <c r="F5968" s="1" t="s">
        <v>36</v>
      </c>
      <c r="G5968" s="1">
        <v>0</v>
      </c>
      <c r="H5968" s="1">
        <v>0</v>
      </c>
      <c r="I5968" s="1">
        <v>0.43598700000000001</v>
      </c>
    </row>
    <row r="5969" spans="1:9" x14ac:dyDescent="0.25">
      <c r="A5969" s="1">
        <v>2500010089</v>
      </c>
      <c r="B5969" s="1" t="s">
        <v>3732</v>
      </c>
      <c r="C5969" s="1" t="s">
        <v>130</v>
      </c>
      <c r="D5969" s="1" t="s">
        <v>131</v>
      </c>
      <c r="E5969" s="3">
        <v>8340</v>
      </c>
      <c r="F5969" s="1" t="s">
        <v>36</v>
      </c>
      <c r="G5969" s="1">
        <v>0</v>
      </c>
      <c r="H5969" s="1">
        <v>0</v>
      </c>
      <c r="I5969" s="1">
        <v>0.364477</v>
      </c>
    </row>
    <row r="5970" spans="1:9" x14ac:dyDescent="0.25">
      <c r="A5970" s="1">
        <v>2500010090</v>
      </c>
      <c r="B5970" s="1" t="s">
        <v>3733</v>
      </c>
      <c r="C5970" s="1" t="s">
        <v>130</v>
      </c>
      <c r="D5970" s="1" t="s">
        <v>131</v>
      </c>
      <c r="E5970" s="3">
        <v>5270</v>
      </c>
      <c r="F5970" s="1" t="s">
        <v>36</v>
      </c>
      <c r="G5970" s="1">
        <v>0</v>
      </c>
      <c r="H5970" s="1">
        <v>0</v>
      </c>
      <c r="I5970" s="1">
        <v>0.36499399999999999</v>
      </c>
    </row>
    <row r="5971" spans="1:9" x14ac:dyDescent="0.25">
      <c r="A5971" s="1">
        <v>2500010130</v>
      </c>
      <c r="B5971" s="1" t="s">
        <v>3734</v>
      </c>
      <c r="C5971" s="1" t="s">
        <v>126</v>
      </c>
      <c r="D5971" s="1" t="s">
        <v>127</v>
      </c>
      <c r="E5971" s="3">
        <v>2100</v>
      </c>
      <c r="F5971" s="1" t="s">
        <v>36</v>
      </c>
      <c r="G5971" s="1">
        <v>0</v>
      </c>
      <c r="H5971" s="1">
        <v>0</v>
      </c>
      <c r="I5971" s="1">
        <v>0.15440999999999999</v>
      </c>
    </row>
    <row r="5972" spans="1:9" x14ac:dyDescent="0.25">
      <c r="A5972" s="1">
        <v>2500010131</v>
      </c>
      <c r="B5972" s="1" t="s">
        <v>3735</v>
      </c>
      <c r="C5972" s="1" t="s">
        <v>167</v>
      </c>
      <c r="D5972" s="1" t="s">
        <v>168</v>
      </c>
      <c r="E5972" s="1">
        <v>700</v>
      </c>
      <c r="F5972" s="1" t="s">
        <v>36</v>
      </c>
      <c r="G5972" s="1">
        <v>0</v>
      </c>
      <c r="H5972" s="1">
        <v>0</v>
      </c>
      <c r="I5972" s="1">
        <v>1.145</v>
      </c>
    </row>
    <row r="5973" spans="1:9" x14ac:dyDescent="0.25">
      <c r="A5973" s="1">
        <v>2500010132</v>
      </c>
      <c r="B5973" s="1" t="s">
        <v>3736</v>
      </c>
      <c r="C5973" s="1" t="s">
        <v>167</v>
      </c>
      <c r="D5973" s="1" t="s">
        <v>168</v>
      </c>
      <c r="E5973" s="1">
        <v>800</v>
      </c>
      <c r="F5973" s="1" t="s">
        <v>36</v>
      </c>
      <c r="G5973" s="1">
        <v>0</v>
      </c>
      <c r="H5973" s="1">
        <v>0</v>
      </c>
      <c r="I5973" s="1">
        <v>1.145</v>
      </c>
    </row>
    <row r="5974" spans="1:9" x14ac:dyDescent="0.25">
      <c r="A5974" s="1">
        <v>2500010133</v>
      </c>
      <c r="B5974" s="1" t="s">
        <v>3737</v>
      </c>
      <c r="C5974" s="1" t="s">
        <v>167</v>
      </c>
      <c r="D5974" s="1" t="s">
        <v>168</v>
      </c>
      <c r="E5974" s="1">
        <v>900</v>
      </c>
      <c r="F5974" s="1" t="s">
        <v>36</v>
      </c>
      <c r="G5974" s="1">
        <v>0</v>
      </c>
      <c r="H5974" s="1">
        <v>0</v>
      </c>
      <c r="I5974" s="1">
        <v>1.4950000000000001</v>
      </c>
    </row>
    <row r="5975" spans="1:9" x14ac:dyDescent="0.25">
      <c r="A5975" s="1">
        <v>2500010134</v>
      </c>
      <c r="B5975" s="1" t="s">
        <v>3738</v>
      </c>
      <c r="C5975" s="1" t="s">
        <v>167</v>
      </c>
      <c r="D5975" s="1" t="s">
        <v>168</v>
      </c>
      <c r="E5975" s="1">
        <v>900</v>
      </c>
      <c r="F5975" s="1" t="s">
        <v>36</v>
      </c>
      <c r="G5975" s="1">
        <v>0</v>
      </c>
      <c r="H5975" s="1">
        <v>0</v>
      </c>
      <c r="I5975" s="1">
        <v>1.4950000000000001</v>
      </c>
    </row>
    <row r="5976" spans="1:9" x14ac:dyDescent="0.25">
      <c r="A5976" s="1">
        <v>2500010152</v>
      </c>
      <c r="B5976" s="1" t="s">
        <v>2787</v>
      </c>
      <c r="C5976" s="1" t="s">
        <v>130</v>
      </c>
      <c r="D5976" s="1" t="s">
        <v>131</v>
      </c>
      <c r="E5976" s="3">
        <v>708</v>
      </c>
      <c r="F5976" s="1" t="s">
        <v>36</v>
      </c>
      <c r="G5976" s="1">
        <v>0</v>
      </c>
      <c r="H5976" s="1">
        <v>0</v>
      </c>
      <c r="I5976" s="1">
        <v>0.30850300000000003</v>
      </c>
    </row>
    <row r="5977" spans="1:9" x14ac:dyDescent="0.25">
      <c r="A5977" s="1">
        <v>2500010153</v>
      </c>
      <c r="B5977" s="1" t="s">
        <v>3739</v>
      </c>
      <c r="C5977" s="1" t="s">
        <v>126</v>
      </c>
      <c r="D5977" s="1" t="s">
        <v>127</v>
      </c>
      <c r="E5977" s="1">
        <v>100</v>
      </c>
      <c r="F5977" s="1" t="s">
        <v>36</v>
      </c>
      <c r="G5977" s="1">
        <v>0</v>
      </c>
      <c r="H5977" s="1">
        <v>0</v>
      </c>
      <c r="I5977" s="1">
        <v>1.88</v>
      </c>
    </row>
    <row r="5978" spans="1:9" x14ac:dyDescent="0.25">
      <c r="A5978" s="1">
        <v>2500010154</v>
      </c>
      <c r="B5978" s="1" t="s">
        <v>3740</v>
      </c>
      <c r="C5978" s="1" t="s">
        <v>130</v>
      </c>
      <c r="D5978" s="1" t="s">
        <v>131</v>
      </c>
      <c r="E5978" s="3">
        <v>174</v>
      </c>
      <c r="F5978" s="1" t="s">
        <v>36</v>
      </c>
      <c r="G5978" s="1">
        <v>0</v>
      </c>
      <c r="H5978" s="1">
        <v>0</v>
      </c>
      <c r="I5978" s="1">
        <v>1.840632</v>
      </c>
    </row>
    <row r="5979" spans="1:9" x14ac:dyDescent="0.25">
      <c r="A5979" s="1">
        <v>2500010155</v>
      </c>
      <c r="B5979" s="1" t="s">
        <v>3741</v>
      </c>
      <c r="C5979" s="1" t="s">
        <v>130</v>
      </c>
      <c r="D5979" s="1" t="s">
        <v>131</v>
      </c>
      <c r="E5979" s="3">
        <v>175</v>
      </c>
      <c r="F5979" s="1" t="s">
        <v>36</v>
      </c>
      <c r="G5979" s="3">
        <v>0</v>
      </c>
      <c r="H5979" s="3">
        <v>0</v>
      </c>
      <c r="I5979" s="1">
        <v>0.715086</v>
      </c>
    </row>
    <row r="5980" spans="1:9" x14ac:dyDescent="0.25">
      <c r="A5980" s="1">
        <v>2500010156</v>
      </c>
      <c r="B5980" s="1" t="s">
        <v>2758</v>
      </c>
      <c r="C5980" s="1" t="s">
        <v>126</v>
      </c>
      <c r="D5980" s="1" t="s">
        <v>127</v>
      </c>
      <c r="E5980" s="3">
        <v>4200</v>
      </c>
      <c r="F5980" s="1" t="s">
        <v>36</v>
      </c>
      <c r="G5980" s="1">
        <v>0</v>
      </c>
      <c r="H5980" s="1">
        <v>0</v>
      </c>
      <c r="I5980" s="1">
        <v>1.04</v>
      </c>
    </row>
    <row r="5981" spans="1:9" x14ac:dyDescent="0.25">
      <c r="A5981" s="1">
        <v>2500010157</v>
      </c>
      <c r="B5981" s="1" t="s">
        <v>3742</v>
      </c>
      <c r="C5981" s="1" t="s">
        <v>126</v>
      </c>
      <c r="D5981" s="1" t="s">
        <v>127</v>
      </c>
      <c r="E5981" s="1">
        <v>678</v>
      </c>
      <c r="F5981" s="1" t="s">
        <v>36</v>
      </c>
      <c r="G5981" s="1">
        <v>0</v>
      </c>
      <c r="H5981" s="1">
        <v>0</v>
      </c>
      <c r="I5981" s="1">
        <v>1.7102059999999999</v>
      </c>
    </row>
    <row r="5982" spans="1:9" x14ac:dyDescent="0.25">
      <c r="A5982" s="1">
        <v>2500010158</v>
      </c>
      <c r="B5982" s="1" t="s">
        <v>3743</v>
      </c>
      <c r="C5982" s="1" t="s">
        <v>126</v>
      </c>
      <c r="D5982" s="1" t="s">
        <v>127</v>
      </c>
      <c r="E5982" s="3">
        <v>615</v>
      </c>
      <c r="F5982" s="1" t="s">
        <v>36</v>
      </c>
      <c r="G5982" s="1">
        <v>0</v>
      </c>
      <c r="H5982" s="3">
        <v>0</v>
      </c>
      <c r="I5982" s="1">
        <v>1.707967</v>
      </c>
    </row>
    <row r="5983" spans="1:9" x14ac:dyDescent="0.25">
      <c r="A5983" s="1">
        <v>2500010159</v>
      </c>
      <c r="B5983" s="1" t="s">
        <v>3744</v>
      </c>
      <c r="C5983" s="1" t="s">
        <v>126</v>
      </c>
      <c r="D5983" s="1" t="s">
        <v>127</v>
      </c>
      <c r="E5983" s="1">
        <v>96</v>
      </c>
      <c r="F5983" s="1" t="s">
        <v>36</v>
      </c>
      <c r="G5983" s="1">
        <v>0</v>
      </c>
      <c r="H5983" s="3">
        <v>0</v>
      </c>
      <c r="I5983" s="1">
        <v>1.7</v>
      </c>
    </row>
    <row r="5984" spans="1:9" x14ac:dyDescent="0.25">
      <c r="A5984" s="1">
        <v>2500010160</v>
      </c>
      <c r="B5984" s="1" t="s">
        <v>3745</v>
      </c>
      <c r="C5984" s="1" t="s">
        <v>126</v>
      </c>
      <c r="D5984" s="1" t="s">
        <v>127</v>
      </c>
      <c r="E5984" s="1">
        <v>100</v>
      </c>
      <c r="F5984" s="1" t="s">
        <v>36</v>
      </c>
      <c r="G5984" s="1">
        <v>0</v>
      </c>
      <c r="H5984" s="1">
        <v>0</v>
      </c>
      <c r="I5984" s="1">
        <v>1.7</v>
      </c>
    </row>
    <row r="5985" spans="1:9" x14ac:dyDescent="0.25">
      <c r="A5985" s="1">
        <v>2500010161</v>
      </c>
      <c r="B5985" s="1" t="s">
        <v>3746</v>
      </c>
      <c r="C5985" s="1" t="s">
        <v>130</v>
      </c>
      <c r="D5985" s="1" t="s">
        <v>131</v>
      </c>
      <c r="E5985" s="3">
        <v>7500</v>
      </c>
      <c r="F5985" s="1" t="s">
        <v>36</v>
      </c>
      <c r="G5985" s="1">
        <v>0</v>
      </c>
      <c r="H5985" s="1">
        <v>0</v>
      </c>
      <c r="I5985" s="1">
        <v>1.2274999999999999E-2</v>
      </c>
    </row>
    <row r="5986" spans="1:9" x14ac:dyDescent="0.25">
      <c r="A5986" s="1">
        <v>2500010161</v>
      </c>
      <c r="B5986" s="1" t="s">
        <v>3746</v>
      </c>
      <c r="C5986" s="1" t="s">
        <v>142</v>
      </c>
      <c r="D5986" s="1" t="s">
        <v>143</v>
      </c>
      <c r="E5986" s="3">
        <v>61500</v>
      </c>
      <c r="F5986" s="1" t="s">
        <v>36</v>
      </c>
      <c r="G5986" s="1">
        <v>0</v>
      </c>
      <c r="H5986" s="1">
        <v>0</v>
      </c>
      <c r="I5986" s="1">
        <v>1.2271000000000001E-2</v>
      </c>
    </row>
    <row r="5987" spans="1:9" x14ac:dyDescent="0.25">
      <c r="A5987" s="1">
        <v>2500010163</v>
      </c>
      <c r="B5987" s="1" t="s">
        <v>3747</v>
      </c>
      <c r="C5987" s="1" t="s">
        <v>130</v>
      </c>
      <c r="D5987" s="1" t="s">
        <v>131</v>
      </c>
      <c r="E5987" s="3">
        <v>2620</v>
      </c>
      <c r="F5987" s="1" t="s">
        <v>36</v>
      </c>
      <c r="G5987" s="1">
        <v>0</v>
      </c>
      <c r="H5987" s="1">
        <v>0</v>
      </c>
      <c r="I5987" s="1">
        <v>3.1843999999999997E-2</v>
      </c>
    </row>
    <row r="5988" spans="1:9" x14ac:dyDescent="0.25">
      <c r="A5988" s="1">
        <v>2500010167</v>
      </c>
      <c r="B5988" s="1" t="s">
        <v>3748</v>
      </c>
      <c r="C5988" s="1" t="s">
        <v>130</v>
      </c>
      <c r="D5988" s="1" t="s">
        <v>131</v>
      </c>
      <c r="E5988" s="1">
        <v>395</v>
      </c>
      <c r="F5988" s="1" t="s">
        <v>36</v>
      </c>
      <c r="G5988" s="1">
        <v>0</v>
      </c>
      <c r="H5988" s="1">
        <v>0</v>
      </c>
      <c r="I5988" s="1">
        <v>5.8000000000000003E-2</v>
      </c>
    </row>
    <row r="5989" spans="1:9" x14ac:dyDescent="0.25">
      <c r="A5989" s="1">
        <v>2500030001</v>
      </c>
      <c r="B5989" s="1" t="s">
        <v>3749</v>
      </c>
      <c r="C5989" s="1" t="s">
        <v>130</v>
      </c>
      <c r="D5989" s="1" t="s">
        <v>131</v>
      </c>
      <c r="E5989" s="1">
        <v>24</v>
      </c>
      <c r="F5989" s="1" t="s">
        <v>36</v>
      </c>
      <c r="G5989" s="1">
        <v>0</v>
      </c>
      <c r="H5989" s="1">
        <v>0</v>
      </c>
      <c r="I5989" s="1">
        <v>2.472083</v>
      </c>
    </row>
    <row r="5990" spans="1:9" x14ac:dyDescent="0.25">
      <c r="A5990" s="1">
        <v>2500030004</v>
      </c>
      <c r="B5990" s="1" t="s">
        <v>3750</v>
      </c>
      <c r="C5990" s="1" t="s">
        <v>130</v>
      </c>
      <c r="D5990" s="1" t="s">
        <v>131</v>
      </c>
      <c r="E5990" s="1">
        <v>319</v>
      </c>
      <c r="F5990" s="1" t="s">
        <v>36</v>
      </c>
      <c r="G5990" s="1">
        <v>0</v>
      </c>
      <c r="H5990" s="1">
        <v>0</v>
      </c>
      <c r="I5990" s="1">
        <v>1.5137929999999999</v>
      </c>
    </row>
    <row r="5991" spans="1:9" x14ac:dyDescent="0.25">
      <c r="A5991" s="1">
        <v>2500030011</v>
      </c>
      <c r="B5991" s="1" t="s">
        <v>3751</v>
      </c>
      <c r="C5991" s="1" t="s">
        <v>523</v>
      </c>
      <c r="D5991" s="1" t="s">
        <v>524</v>
      </c>
      <c r="E5991" s="1">
        <v>7</v>
      </c>
      <c r="F5991" s="1" t="s">
        <v>36</v>
      </c>
      <c r="G5991" s="1">
        <v>0</v>
      </c>
      <c r="H5991" s="1">
        <v>0</v>
      </c>
      <c r="I5991" s="1">
        <v>1.561429</v>
      </c>
    </row>
    <row r="5992" spans="1:9" x14ac:dyDescent="0.25">
      <c r="A5992" s="1">
        <v>2500030019</v>
      </c>
      <c r="B5992" s="1" t="s">
        <v>3752</v>
      </c>
      <c r="C5992" s="1" t="s">
        <v>130</v>
      </c>
      <c r="D5992" s="1" t="s">
        <v>131</v>
      </c>
      <c r="E5992" s="3">
        <v>5054</v>
      </c>
      <c r="F5992" s="1" t="s">
        <v>36</v>
      </c>
      <c r="G5992" s="3">
        <v>2505</v>
      </c>
      <c r="H5992" s="1">
        <v>0</v>
      </c>
      <c r="I5992" s="1">
        <v>1.05</v>
      </c>
    </row>
    <row r="5993" spans="1:9" x14ac:dyDescent="0.25">
      <c r="A5993" s="1">
        <v>2500030019</v>
      </c>
      <c r="B5993" s="1" t="s">
        <v>3752</v>
      </c>
      <c r="C5993" s="1" t="s">
        <v>142</v>
      </c>
      <c r="D5993" s="1" t="s">
        <v>143</v>
      </c>
      <c r="E5993" s="1">
        <v>537.71600000000001</v>
      </c>
      <c r="F5993" s="1" t="s">
        <v>36</v>
      </c>
      <c r="G5993" s="1">
        <v>0</v>
      </c>
      <c r="H5993" s="3">
        <v>2505</v>
      </c>
      <c r="I5993" s="1">
        <v>1.0499970000000001</v>
      </c>
    </row>
    <row r="5994" spans="1:9" x14ac:dyDescent="0.25">
      <c r="A5994" s="1">
        <v>2500030030</v>
      </c>
      <c r="B5994" s="1" t="s">
        <v>3753</v>
      </c>
      <c r="C5994" s="1" t="s">
        <v>130</v>
      </c>
      <c r="D5994" s="1" t="s">
        <v>131</v>
      </c>
      <c r="E5994" s="3">
        <v>593</v>
      </c>
      <c r="F5994" s="1" t="s">
        <v>36</v>
      </c>
      <c r="G5994" s="1">
        <v>0</v>
      </c>
      <c r="H5994" s="1">
        <v>0</v>
      </c>
      <c r="I5994" s="1">
        <v>0.65569999999999995</v>
      </c>
    </row>
    <row r="5995" spans="1:9" x14ac:dyDescent="0.25">
      <c r="A5995" s="1">
        <v>2500030035</v>
      </c>
      <c r="B5995" s="1" t="s">
        <v>3754</v>
      </c>
      <c r="C5995" s="1" t="s">
        <v>130</v>
      </c>
      <c r="D5995" s="1" t="s">
        <v>131</v>
      </c>
      <c r="E5995" s="3">
        <v>84</v>
      </c>
      <c r="F5995" s="1" t="s">
        <v>36</v>
      </c>
      <c r="G5995" s="3">
        <v>0</v>
      </c>
      <c r="H5995" s="1">
        <v>0</v>
      </c>
      <c r="I5995" s="1">
        <v>1.2808330000000001</v>
      </c>
    </row>
    <row r="5996" spans="1:9" x14ac:dyDescent="0.25">
      <c r="A5996" s="1">
        <v>2500030038</v>
      </c>
      <c r="B5996" s="1" t="s">
        <v>3755</v>
      </c>
      <c r="C5996" s="1" t="s">
        <v>130</v>
      </c>
      <c r="D5996" s="1" t="s">
        <v>131</v>
      </c>
      <c r="E5996" s="3">
        <v>1021</v>
      </c>
      <c r="F5996" s="1" t="s">
        <v>36</v>
      </c>
      <c r="G5996" s="1">
        <v>0</v>
      </c>
      <c r="H5996" s="3">
        <v>0</v>
      </c>
      <c r="I5996" s="1">
        <v>2.5298039999999999</v>
      </c>
    </row>
    <row r="5997" spans="1:9" x14ac:dyDescent="0.25">
      <c r="A5997" s="1">
        <v>2500030046</v>
      </c>
      <c r="B5997" s="1" t="s">
        <v>3756</v>
      </c>
      <c r="C5997" s="1" t="s">
        <v>130</v>
      </c>
      <c r="D5997" s="1" t="s">
        <v>131</v>
      </c>
      <c r="E5997" s="1">
        <v>200</v>
      </c>
      <c r="F5997" s="1" t="s">
        <v>36</v>
      </c>
      <c r="G5997" s="1">
        <v>0</v>
      </c>
      <c r="H5997" s="1">
        <v>0</v>
      </c>
      <c r="I5997" s="1">
        <v>2.7408000000000001</v>
      </c>
    </row>
    <row r="5998" spans="1:9" x14ac:dyDescent="0.25">
      <c r="A5998" s="1">
        <v>2500030047</v>
      </c>
      <c r="B5998" s="1" t="s">
        <v>3757</v>
      </c>
      <c r="C5998" s="1" t="s">
        <v>130</v>
      </c>
      <c r="D5998" s="1" t="s">
        <v>131</v>
      </c>
      <c r="E5998" s="3">
        <v>2401</v>
      </c>
      <c r="F5998" s="1" t="s">
        <v>36</v>
      </c>
      <c r="G5998" s="1">
        <v>500</v>
      </c>
      <c r="H5998" s="1">
        <v>5</v>
      </c>
      <c r="I5998" s="1">
        <v>2.799588</v>
      </c>
    </row>
    <row r="5999" spans="1:9" x14ac:dyDescent="0.25">
      <c r="A5999" s="1">
        <v>2500030047</v>
      </c>
      <c r="B5999" s="1" t="s">
        <v>3757</v>
      </c>
      <c r="C5999" s="1" t="s">
        <v>142</v>
      </c>
      <c r="D5999" s="1" t="s">
        <v>143</v>
      </c>
      <c r="E5999" s="1">
        <v>5</v>
      </c>
      <c r="F5999" s="1" t="s">
        <v>36</v>
      </c>
      <c r="G5999" s="1">
        <v>5</v>
      </c>
      <c r="H5999" s="1">
        <v>500</v>
      </c>
      <c r="I5999" s="1">
        <v>2.8</v>
      </c>
    </row>
    <row r="6000" spans="1:9" x14ac:dyDescent="0.25">
      <c r="A6000" s="1">
        <v>2500030047</v>
      </c>
      <c r="B6000" s="1" t="s">
        <v>3757</v>
      </c>
      <c r="C6000" s="1" t="s">
        <v>144</v>
      </c>
      <c r="D6000" s="1" t="s">
        <v>145</v>
      </c>
      <c r="E6000" s="1">
        <v>43.372999999999998</v>
      </c>
      <c r="F6000" s="1" t="s">
        <v>36</v>
      </c>
      <c r="G6000" s="1">
        <v>0</v>
      </c>
      <c r="H6000" s="1">
        <v>0</v>
      </c>
      <c r="I6000" s="1">
        <v>2.7994370000000002</v>
      </c>
    </row>
    <row r="6001" spans="1:9" x14ac:dyDescent="0.25">
      <c r="A6001" s="1">
        <v>2500030048</v>
      </c>
      <c r="B6001" s="1" t="s">
        <v>3758</v>
      </c>
      <c r="C6001" s="1" t="s">
        <v>523</v>
      </c>
      <c r="D6001" s="1" t="s">
        <v>524</v>
      </c>
      <c r="E6001" s="1">
        <v>159</v>
      </c>
      <c r="F6001" s="1" t="s">
        <v>36</v>
      </c>
      <c r="G6001" s="1">
        <v>0</v>
      </c>
      <c r="H6001" s="1">
        <v>20</v>
      </c>
      <c r="I6001" s="1">
        <v>3.1667299999999998</v>
      </c>
    </row>
    <row r="6002" spans="1:9" x14ac:dyDescent="0.25">
      <c r="A6002" s="1">
        <v>2500030053</v>
      </c>
      <c r="B6002" s="1" t="s">
        <v>3759</v>
      </c>
      <c r="C6002" s="1" t="s">
        <v>130</v>
      </c>
      <c r="D6002" s="1" t="s">
        <v>131</v>
      </c>
      <c r="E6002" s="1">
        <v>446</v>
      </c>
      <c r="F6002" s="1" t="s">
        <v>36</v>
      </c>
      <c r="G6002" s="1">
        <v>0</v>
      </c>
      <c r="H6002" s="1">
        <v>0</v>
      </c>
      <c r="I6002" s="1">
        <v>3.0339459999999998</v>
      </c>
    </row>
    <row r="6003" spans="1:9" x14ac:dyDescent="0.25">
      <c r="A6003" s="1">
        <v>2500030058</v>
      </c>
      <c r="B6003" s="1" t="s">
        <v>3760</v>
      </c>
      <c r="C6003" s="1" t="s">
        <v>130</v>
      </c>
      <c r="D6003" s="1" t="s">
        <v>131</v>
      </c>
      <c r="E6003" s="1">
        <v>170</v>
      </c>
      <c r="F6003" s="1" t="s">
        <v>36</v>
      </c>
      <c r="G6003" s="1">
        <v>0</v>
      </c>
      <c r="H6003" s="1">
        <v>0</v>
      </c>
      <c r="I6003" s="1">
        <v>2.0001760000000002</v>
      </c>
    </row>
    <row r="6004" spans="1:9" x14ac:dyDescent="0.25">
      <c r="A6004" s="1">
        <v>2500030097</v>
      </c>
      <c r="B6004" s="1" t="s">
        <v>3761</v>
      </c>
      <c r="C6004" s="1" t="s">
        <v>130</v>
      </c>
      <c r="D6004" s="1" t="s">
        <v>131</v>
      </c>
      <c r="E6004" s="1">
        <v>98</v>
      </c>
      <c r="F6004" s="1" t="s">
        <v>36</v>
      </c>
      <c r="G6004" s="1">
        <v>0</v>
      </c>
      <c r="H6004" s="1">
        <v>0</v>
      </c>
      <c r="I6004" s="1">
        <v>1.673673</v>
      </c>
    </row>
    <row r="6005" spans="1:9" x14ac:dyDescent="0.25">
      <c r="A6005" s="1">
        <v>2500030097</v>
      </c>
      <c r="B6005" s="1" t="s">
        <v>3761</v>
      </c>
      <c r="C6005" s="1" t="s">
        <v>142</v>
      </c>
      <c r="D6005" s="1" t="s">
        <v>143</v>
      </c>
      <c r="E6005" s="1">
        <v>3.0000000000000001E-3</v>
      </c>
      <c r="F6005" s="1" t="s">
        <v>36</v>
      </c>
      <c r="G6005" s="1">
        <v>0</v>
      </c>
      <c r="H6005" s="1">
        <v>0</v>
      </c>
      <c r="I6005" s="1">
        <v>3.3333330000000001</v>
      </c>
    </row>
    <row r="6006" spans="1:9" x14ac:dyDescent="0.25">
      <c r="A6006" s="1">
        <v>2500030104</v>
      </c>
      <c r="B6006" s="1" t="s">
        <v>3762</v>
      </c>
      <c r="C6006" s="1" t="s">
        <v>130</v>
      </c>
      <c r="D6006" s="1" t="s">
        <v>131</v>
      </c>
      <c r="E6006" s="1">
        <v>204</v>
      </c>
      <c r="F6006" s="1" t="s">
        <v>36</v>
      </c>
      <c r="G6006" s="1">
        <v>0</v>
      </c>
      <c r="H6006" s="1">
        <v>0</v>
      </c>
      <c r="I6006" s="1">
        <v>1.7100979999999999</v>
      </c>
    </row>
    <row r="6007" spans="1:9" x14ac:dyDescent="0.25">
      <c r="A6007" s="1">
        <v>2500030118</v>
      </c>
      <c r="B6007" s="1" t="s">
        <v>3763</v>
      </c>
      <c r="C6007" s="1" t="s">
        <v>126</v>
      </c>
      <c r="D6007" s="1" t="s">
        <v>127</v>
      </c>
      <c r="E6007" s="1">
        <v>432</v>
      </c>
      <c r="F6007" s="1" t="s">
        <v>36</v>
      </c>
      <c r="G6007" s="1">
        <v>0</v>
      </c>
      <c r="H6007" s="1">
        <v>0</v>
      </c>
      <c r="I6007" s="1">
        <v>1.0539350000000001</v>
      </c>
    </row>
    <row r="6008" spans="1:9" x14ac:dyDescent="0.25">
      <c r="A6008" s="1">
        <v>2500030152</v>
      </c>
      <c r="B6008" s="1" t="s">
        <v>3764</v>
      </c>
      <c r="C6008" s="1" t="s">
        <v>130</v>
      </c>
      <c r="D6008" s="1" t="s">
        <v>131</v>
      </c>
      <c r="E6008" s="1">
        <v>10</v>
      </c>
      <c r="F6008" s="1" t="s">
        <v>36</v>
      </c>
      <c r="G6008" s="1">
        <v>0</v>
      </c>
      <c r="H6008" s="1">
        <v>0</v>
      </c>
      <c r="I6008" s="1">
        <v>1.5049999999999999</v>
      </c>
    </row>
    <row r="6009" spans="1:9" x14ac:dyDescent="0.25">
      <c r="A6009" s="1">
        <v>2500030152</v>
      </c>
      <c r="B6009" s="1" t="s">
        <v>3764</v>
      </c>
      <c r="C6009" s="1" t="s">
        <v>142</v>
      </c>
      <c r="D6009" s="1" t="s">
        <v>143</v>
      </c>
      <c r="E6009" s="1">
        <v>8.0000000000000002E-3</v>
      </c>
      <c r="F6009" s="1" t="s">
        <v>36</v>
      </c>
      <c r="G6009" s="1">
        <v>0</v>
      </c>
      <c r="H6009" s="1">
        <v>0</v>
      </c>
      <c r="I6009" s="1">
        <v>1.25</v>
      </c>
    </row>
    <row r="6010" spans="1:9" x14ac:dyDescent="0.25">
      <c r="A6010" s="1">
        <v>2500030157</v>
      </c>
      <c r="B6010" s="1" t="s">
        <v>3765</v>
      </c>
      <c r="C6010" s="1" t="s">
        <v>130</v>
      </c>
      <c r="D6010" s="1" t="s">
        <v>131</v>
      </c>
      <c r="E6010" s="1">
        <v>300</v>
      </c>
      <c r="F6010" s="1" t="s">
        <v>36</v>
      </c>
      <c r="G6010" s="1">
        <v>0</v>
      </c>
      <c r="H6010" s="1">
        <v>0</v>
      </c>
      <c r="I6010" s="1">
        <v>2.2667329999999999</v>
      </c>
    </row>
    <row r="6011" spans="1:9" x14ac:dyDescent="0.25">
      <c r="A6011" s="1">
        <v>2500030178</v>
      </c>
      <c r="B6011" s="1" t="s">
        <v>3766</v>
      </c>
      <c r="C6011" s="1" t="s">
        <v>130</v>
      </c>
      <c r="D6011" s="1" t="s">
        <v>131</v>
      </c>
      <c r="E6011" s="3">
        <v>1227</v>
      </c>
      <c r="F6011" s="1" t="s">
        <v>36</v>
      </c>
      <c r="G6011" s="1">
        <v>0</v>
      </c>
      <c r="H6011" s="1">
        <v>0</v>
      </c>
      <c r="I6011" s="1">
        <v>1.8541650000000001</v>
      </c>
    </row>
    <row r="6012" spans="1:9" x14ac:dyDescent="0.25">
      <c r="A6012" s="1">
        <v>2500030178</v>
      </c>
      <c r="B6012" s="1" t="s">
        <v>3766</v>
      </c>
      <c r="C6012" s="1" t="s">
        <v>142</v>
      </c>
      <c r="D6012" s="1" t="s">
        <v>143</v>
      </c>
      <c r="E6012" s="1">
        <v>0.996</v>
      </c>
      <c r="F6012" s="1" t="s">
        <v>36</v>
      </c>
      <c r="G6012" s="1">
        <v>0</v>
      </c>
      <c r="H6012" s="1">
        <v>0</v>
      </c>
      <c r="I6012" s="1">
        <v>1.8574299999999999</v>
      </c>
    </row>
    <row r="6013" spans="1:9" x14ac:dyDescent="0.25">
      <c r="A6013" s="1">
        <v>2500030181</v>
      </c>
      <c r="B6013" s="1" t="s">
        <v>3767</v>
      </c>
      <c r="C6013" s="1" t="s">
        <v>130</v>
      </c>
      <c r="D6013" s="1" t="s">
        <v>131</v>
      </c>
      <c r="E6013" s="1">
        <v>190</v>
      </c>
      <c r="F6013" s="1" t="s">
        <v>36</v>
      </c>
      <c r="G6013" s="1">
        <v>0</v>
      </c>
      <c r="H6013" s="1">
        <v>0</v>
      </c>
      <c r="I6013" s="1">
        <v>1.5908420000000001</v>
      </c>
    </row>
    <row r="6014" spans="1:9" x14ac:dyDescent="0.25">
      <c r="A6014" s="1">
        <v>2500030188</v>
      </c>
      <c r="B6014" s="1" t="s">
        <v>3768</v>
      </c>
      <c r="C6014" s="1" t="s">
        <v>130</v>
      </c>
      <c r="D6014" s="1" t="s">
        <v>131</v>
      </c>
      <c r="E6014" s="1">
        <v>300</v>
      </c>
      <c r="F6014" s="1" t="s">
        <v>36</v>
      </c>
      <c r="G6014" s="1">
        <v>0</v>
      </c>
      <c r="H6014" s="1">
        <v>0</v>
      </c>
      <c r="I6014" s="1">
        <v>1.1699329999999999</v>
      </c>
    </row>
    <row r="6015" spans="1:9" x14ac:dyDescent="0.25">
      <c r="A6015" s="1">
        <v>2500030207</v>
      </c>
      <c r="B6015" s="1" t="s">
        <v>3769</v>
      </c>
      <c r="C6015" s="1" t="s">
        <v>2248</v>
      </c>
      <c r="D6015" s="1" t="s">
        <v>2249</v>
      </c>
      <c r="E6015" s="1">
        <v>0</v>
      </c>
      <c r="F6015" s="1" t="s">
        <v>36</v>
      </c>
      <c r="G6015" s="1">
        <v>0</v>
      </c>
      <c r="H6015" s="1">
        <v>453</v>
      </c>
      <c r="I6015" s="1">
        <v>1.49501</v>
      </c>
    </row>
    <row r="6016" spans="1:9" x14ac:dyDescent="0.25">
      <c r="A6016" s="1">
        <v>2500030214</v>
      </c>
      <c r="B6016" s="1" t="s">
        <v>3770</v>
      </c>
      <c r="C6016" s="1" t="s">
        <v>130</v>
      </c>
      <c r="D6016" s="1" t="s">
        <v>131</v>
      </c>
      <c r="E6016" s="1">
        <v>790</v>
      </c>
      <c r="F6016" s="1" t="s">
        <v>36</v>
      </c>
      <c r="G6016" s="1">
        <v>0</v>
      </c>
      <c r="H6016" s="1">
        <v>0</v>
      </c>
      <c r="I6016" s="1">
        <v>4.8365819999999999</v>
      </c>
    </row>
    <row r="6017" spans="1:9" x14ac:dyDescent="0.25">
      <c r="A6017" s="1">
        <v>2500030215</v>
      </c>
      <c r="B6017" s="1" t="s">
        <v>3771</v>
      </c>
      <c r="C6017" s="1" t="s">
        <v>130</v>
      </c>
      <c r="D6017" s="1" t="s">
        <v>131</v>
      </c>
      <c r="E6017" s="1">
        <v>436</v>
      </c>
      <c r="F6017" s="1" t="s">
        <v>36</v>
      </c>
      <c r="G6017" s="1">
        <v>0</v>
      </c>
      <c r="H6017" s="1">
        <v>0</v>
      </c>
      <c r="I6017" s="1">
        <v>3.4718580000000001</v>
      </c>
    </row>
    <row r="6018" spans="1:9" x14ac:dyDescent="0.25">
      <c r="A6018" s="1">
        <v>2500030216</v>
      </c>
      <c r="B6018" s="1" t="s">
        <v>3772</v>
      </c>
      <c r="C6018" s="1" t="s">
        <v>130</v>
      </c>
      <c r="D6018" s="1" t="s">
        <v>131</v>
      </c>
      <c r="E6018" s="3">
        <v>6210</v>
      </c>
      <c r="F6018" s="1" t="s">
        <v>36</v>
      </c>
      <c r="G6018" s="1">
        <v>268</v>
      </c>
      <c r="H6018" s="1">
        <v>0</v>
      </c>
      <c r="I6018" s="1">
        <v>3.15</v>
      </c>
    </row>
    <row r="6019" spans="1:9" x14ac:dyDescent="0.25">
      <c r="A6019" s="1">
        <v>2500030216</v>
      </c>
      <c r="B6019" s="1" t="s">
        <v>3772</v>
      </c>
      <c r="C6019" s="1" t="s">
        <v>142</v>
      </c>
      <c r="D6019" s="1" t="s">
        <v>143</v>
      </c>
      <c r="E6019" s="1">
        <v>0</v>
      </c>
      <c r="F6019" s="1" t="s">
        <v>36</v>
      </c>
      <c r="G6019" s="1">
        <v>0</v>
      </c>
      <c r="H6019" s="1">
        <v>268</v>
      </c>
      <c r="I6019" s="1">
        <v>3.15</v>
      </c>
    </row>
    <row r="6020" spans="1:9" x14ac:dyDescent="0.25">
      <c r="A6020" s="1">
        <v>2500030217</v>
      </c>
      <c r="B6020" s="1" t="s">
        <v>3773</v>
      </c>
      <c r="C6020" s="1" t="s">
        <v>130</v>
      </c>
      <c r="D6020" s="1" t="s">
        <v>131</v>
      </c>
      <c r="E6020" s="1">
        <v>89</v>
      </c>
      <c r="F6020" s="1" t="s">
        <v>36</v>
      </c>
      <c r="G6020" s="1">
        <v>0</v>
      </c>
      <c r="H6020" s="1">
        <v>0</v>
      </c>
      <c r="I6020" s="1">
        <v>3.1348310000000001</v>
      </c>
    </row>
    <row r="6021" spans="1:9" x14ac:dyDescent="0.25">
      <c r="A6021" s="1">
        <v>2500030220</v>
      </c>
      <c r="B6021" s="1" t="s">
        <v>3774</v>
      </c>
      <c r="C6021" s="1" t="s">
        <v>130</v>
      </c>
      <c r="D6021" s="1" t="s">
        <v>131</v>
      </c>
      <c r="E6021" s="1">
        <v>133</v>
      </c>
      <c r="F6021" s="1" t="s">
        <v>36</v>
      </c>
      <c r="G6021" s="1">
        <v>0</v>
      </c>
      <c r="H6021" s="1">
        <v>0</v>
      </c>
      <c r="I6021" s="1">
        <v>1.6199250000000001</v>
      </c>
    </row>
    <row r="6022" spans="1:9" x14ac:dyDescent="0.25">
      <c r="A6022" s="1">
        <v>2500030223</v>
      </c>
      <c r="B6022" s="1" t="s">
        <v>3775</v>
      </c>
      <c r="C6022" s="1" t="s">
        <v>130</v>
      </c>
      <c r="D6022" s="1" t="s">
        <v>131</v>
      </c>
      <c r="E6022" s="3">
        <v>1990</v>
      </c>
      <c r="F6022" s="1" t="s">
        <v>36</v>
      </c>
      <c r="G6022" s="1">
        <v>0</v>
      </c>
      <c r="H6022" s="1">
        <v>0</v>
      </c>
      <c r="I6022" s="1">
        <v>1.9941409999999999</v>
      </c>
    </row>
    <row r="6023" spans="1:9" x14ac:dyDescent="0.25">
      <c r="A6023" s="1">
        <v>2500030223</v>
      </c>
      <c r="B6023" s="1" t="s">
        <v>3775</v>
      </c>
      <c r="C6023" s="1" t="s">
        <v>142</v>
      </c>
      <c r="D6023" s="1" t="s">
        <v>143</v>
      </c>
      <c r="E6023" s="1">
        <v>210.13800000000001</v>
      </c>
      <c r="F6023" s="1" t="s">
        <v>36</v>
      </c>
      <c r="G6023" s="1">
        <v>0</v>
      </c>
      <c r="H6023" s="1">
        <v>0</v>
      </c>
      <c r="I6023" s="1">
        <v>1.9941660000000001</v>
      </c>
    </row>
    <row r="6024" spans="1:9" x14ac:dyDescent="0.25">
      <c r="A6024" s="1">
        <v>2500030225</v>
      </c>
      <c r="B6024" s="1" t="s">
        <v>3776</v>
      </c>
      <c r="C6024" s="1" t="s">
        <v>130</v>
      </c>
      <c r="D6024" s="1" t="s">
        <v>131</v>
      </c>
      <c r="E6024" s="1">
        <v>466</v>
      </c>
      <c r="F6024" s="1" t="s">
        <v>36</v>
      </c>
      <c r="G6024" s="1">
        <v>0</v>
      </c>
      <c r="H6024" s="1">
        <v>0</v>
      </c>
      <c r="I6024" s="1">
        <v>1.6375109999999999</v>
      </c>
    </row>
    <row r="6025" spans="1:9" x14ac:dyDescent="0.25">
      <c r="A6025" s="1">
        <v>2500030226</v>
      </c>
      <c r="B6025" s="1" t="s">
        <v>3777</v>
      </c>
      <c r="C6025" s="1" t="s">
        <v>199</v>
      </c>
      <c r="D6025" s="1" t="s">
        <v>200</v>
      </c>
      <c r="E6025" s="1">
        <v>50</v>
      </c>
      <c r="F6025" s="1" t="s">
        <v>36</v>
      </c>
      <c r="G6025" s="1">
        <v>0</v>
      </c>
      <c r="H6025" s="1">
        <v>80</v>
      </c>
      <c r="I6025" s="1">
        <v>2.0972</v>
      </c>
    </row>
    <row r="6026" spans="1:9" x14ac:dyDescent="0.25">
      <c r="A6026" s="1">
        <v>2500030226</v>
      </c>
      <c r="B6026" s="1" t="s">
        <v>3777</v>
      </c>
      <c r="C6026" s="1" t="s">
        <v>130</v>
      </c>
      <c r="D6026" s="1" t="s">
        <v>131</v>
      </c>
      <c r="E6026" s="3">
        <v>2344</v>
      </c>
      <c r="F6026" s="1" t="s">
        <v>36</v>
      </c>
      <c r="G6026" s="1">
        <v>80</v>
      </c>
      <c r="H6026" s="1">
        <v>6</v>
      </c>
      <c r="I6026" s="1">
        <v>2.0972230000000001</v>
      </c>
    </row>
    <row r="6027" spans="1:9" x14ac:dyDescent="0.25">
      <c r="A6027" s="1">
        <v>2500030226</v>
      </c>
      <c r="B6027" s="1" t="s">
        <v>3777</v>
      </c>
      <c r="C6027" s="1" t="s">
        <v>142</v>
      </c>
      <c r="D6027" s="1" t="s">
        <v>143</v>
      </c>
      <c r="E6027" s="1">
        <v>6</v>
      </c>
      <c r="F6027" s="1" t="s">
        <v>36</v>
      </c>
      <c r="G6027" s="1">
        <v>6</v>
      </c>
      <c r="H6027" s="1">
        <v>0</v>
      </c>
      <c r="I6027" s="1">
        <v>2.0966670000000001</v>
      </c>
    </row>
    <row r="6028" spans="1:9" x14ac:dyDescent="0.25">
      <c r="A6028" s="1">
        <v>2500030226</v>
      </c>
      <c r="B6028" s="1" t="s">
        <v>3777</v>
      </c>
      <c r="C6028" s="1" t="s">
        <v>144</v>
      </c>
      <c r="D6028" s="1" t="s">
        <v>145</v>
      </c>
      <c r="E6028" s="1">
        <v>187</v>
      </c>
      <c r="F6028" s="1" t="s">
        <v>36</v>
      </c>
      <c r="G6028" s="1">
        <v>0</v>
      </c>
      <c r="H6028" s="1">
        <v>0</v>
      </c>
      <c r="I6028" s="1">
        <v>2.0972189999999999</v>
      </c>
    </row>
    <row r="6029" spans="1:9" x14ac:dyDescent="0.25">
      <c r="A6029" s="1">
        <v>2500030227</v>
      </c>
      <c r="B6029" s="1" t="s">
        <v>3778</v>
      </c>
      <c r="C6029" s="1" t="s">
        <v>130</v>
      </c>
      <c r="D6029" s="1" t="s">
        <v>131</v>
      </c>
      <c r="E6029" s="1">
        <v>668</v>
      </c>
      <c r="F6029" s="1" t="s">
        <v>36</v>
      </c>
      <c r="G6029" s="1">
        <v>0</v>
      </c>
      <c r="H6029" s="1">
        <v>0</v>
      </c>
      <c r="I6029" s="1">
        <v>2.19259</v>
      </c>
    </row>
    <row r="6030" spans="1:9" x14ac:dyDescent="0.25">
      <c r="A6030" s="1">
        <v>2500030230</v>
      </c>
      <c r="B6030" s="1" t="s">
        <v>3779</v>
      </c>
      <c r="C6030" s="1" t="s">
        <v>130</v>
      </c>
      <c r="D6030" s="1" t="s">
        <v>131</v>
      </c>
      <c r="E6030" s="1">
        <v>997</v>
      </c>
      <c r="F6030" s="1" t="s">
        <v>36</v>
      </c>
      <c r="G6030" s="1">
        <v>0</v>
      </c>
      <c r="H6030" s="1">
        <v>0</v>
      </c>
      <c r="I6030" s="1">
        <v>2.6128689999999999</v>
      </c>
    </row>
    <row r="6031" spans="1:9" x14ac:dyDescent="0.25">
      <c r="A6031" s="1">
        <v>2500030231</v>
      </c>
      <c r="B6031" s="1" t="s">
        <v>3780</v>
      </c>
      <c r="C6031" s="1" t="s">
        <v>130</v>
      </c>
      <c r="D6031" s="1" t="s">
        <v>131</v>
      </c>
      <c r="E6031" s="3">
        <v>1082</v>
      </c>
      <c r="F6031" s="1" t="s">
        <v>36</v>
      </c>
      <c r="G6031" s="1">
        <v>0</v>
      </c>
      <c r="H6031" s="1">
        <v>0</v>
      </c>
      <c r="I6031" s="1">
        <v>3.720148</v>
      </c>
    </row>
    <row r="6032" spans="1:9" x14ac:dyDescent="0.25">
      <c r="A6032" s="1">
        <v>2500030234</v>
      </c>
      <c r="B6032" s="1" t="s">
        <v>3781</v>
      </c>
      <c r="C6032" s="1" t="s">
        <v>130</v>
      </c>
      <c r="D6032" s="1" t="s">
        <v>131</v>
      </c>
      <c r="E6032" s="3">
        <v>1091</v>
      </c>
      <c r="F6032" s="1" t="s">
        <v>36</v>
      </c>
      <c r="G6032" s="1">
        <v>0</v>
      </c>
      <c r="H6032" s="1">
        <v>0</v>
      </c>
      <c r="I6032" s="1">
        <v>3.5846930000000001</v>
      </c>
    </row>
    <row r="6033" spans="1:9" x14ac:dyDescent="0.25">
      <c r="A6033" s="1">
        <v>2500030238</v>
      </c>
      <c r="B6033" s="1" t="s">
        <v>3782</v>
      </c>
      <c r="C6033" s="1" t="s">
        <v>130</v>
      </c>
      <c r="D6033" s="1" t="s">
        <v>131</v>
      </c>
      <c r="E6033" s="1">
        <v>604</v>
      </c>
      <c r="F6033" s="1" t="s">
        <v>36</v>
      </c>
      <c r="G6033" s="1">
        <v>0</v>
      </c>
      <c r="H6033" s="1">
        <v>0</v>
      </c>
      <c r="I6033" s="1">
        <v>1.4921519999999999</v>
      </c>
    </row>
    <row r="6034" spans="1:9" x14ac:dyDescent="0.25">
      <c r="A6034" s="1">
        <v>2500030255</v>
      </c>
      <c r="B6034" s="1" t="s">
        <v>3783</v>
      </c>
      <c r="C6034" s="1" t="s">
        <v>130</v>
      </c>
      <c r="D6034" s="1" t="s">
        <v>131</v>
      </c>
      <c r="E6034" s="1">
        <v>615</v>
      </c>
      <c r="F6034" s="1" t="s">
        <v>36</v>
      </c>
      <c r="G6034" s="1">
        <v>0</v>
      </c>
      <c r="H6034" s="1">
        <v>0</v>
      </c>
      <c r="I6034" s="1">
        <v>2.698699</v>
      </c>
    </row>
    <row r="6035" spans="1:9" x14ac:dyDescent="0.25">
      <c r="A6035" s="1">
        <v>2500030257</v>
      </c>
      <c r="B6035" s="1" t="s">
        <v>3784</v>
      </c>
      <c r="C6035" s="1" t="s">
        <v>130</v>
      </c>
      <c r="D6035" s="1" t="s">
        <v>131</v>
      </c>
      <c r="E6035" s="3">
        <v>1449</v>
      </c>
      <c r="F6035" s="1" t="s">
        <v>36</v>
      </c>
      <c r="G6035" s="1">
        <v>0</v>
      </c>
      <c r="H6035" s="1">
        <v>0</v>
      </c>
      <c r="I6035" s="1">
        <v>1.9247829999999999</v>
      </c>
    </row>
    <row r="6036" spans="1:9" x14ac:dyDescent="0.25">
      <c r="A6036" s="1">
        <v>2500030258</v>
      </c>
      <c r="B6036" s="1" t="s">
        <v>3785</v>
      </c>
      <c r="C6036" s="1" t="s">
        <v>130</v>
      </c>
      <c r="D6036" s="1" t="s">
        <v>131</v>
      </c>
      <c r="E6036" s="3">
        <v>1055</v>
      </c>
      <c r="F6036" s="1" t="s">
        <v>36</v>
      </c>
      <c r="G6036" s="1">
        <v>0</v>
      </c>
      <c r="H6036" s="1">
        <v>0</v>
      </c>
      <c r="I6036" s="1">
        <v>2.0778289999999999</v>
      </c>
    </row>
    <row r="6037" spans="1:9" x14ac:dyDescent="0.25">
      <c r="A6037" s="1">
        <v>2500030267</v>
      </c>
      <c r="B6037" s="1" t="s">
        <v>3786</v>
      </c>
      <c r="C6037" s="1" t="s">
        <v>130</v>
      </c>
      <c r="D6037" s="1" t="s">
        <v>131</v>
      </c>
      <c r="E6037" s="1">
        <v>93</v>
      </c>
      <c r="F6037" s="1" t="s">
        <v>36</v>
      </c>
      <c r="G6037" s="1">
        <v>0</v>
      </c>
      <c r="H6037" s="1">
        <v>0</v>
      </c>
      <c r="I6037" s="1">
        <v>4.9512900000000002</v>
      </c>
    </row>
    <row r="6038" spans="1:9" x14ac:dyDescent="0.25">
      <c r="A6038" s="1">
        <v>2500030272</v>
      </c>
      <c r="B6038" s="1" t="s">
        <v>3787</v>
      </c>
      <c r="C6038" s="1" t="s">
        <v>130</v>
      </c>
      <c r="D6038" s="1" t="s">
        <v>131</v>
      </c>
      <c r="E6038" s="1">
        <v>272</v>
      </c>
      <c r="F6038" s="1" t="s">
        <v>36</v>
      </c>
      <c r="G6038" s="1">
        <v>0</v>
      </c>
      <c r="H6038" s="1">
        <v>0</v>
      </c>
      <c r="I6038" s="1">
        <v>3.0583819999999999</v>
      </c>
    </row>
    <row r="6039" spans="1:9" x14ac:dyDescent="0.25">
      <c r="A6039" s="1">
        <v>2500030273</v>
      </c>
      <c r="B6039" s="1" t="s">
        <v>3788</v>
      </c>
      <c r="C6039" s="1" t="s">
        <v>130</v>
      </c>
      <c r="D6039" s="1" t="s">
        <v>131</v>
      </c>
      <c r="E6039" s="1">
        <v>108</v>
      </c>
      <c r="F6039" s="1" t="s">
        <v>36</v>
      </c>
      <c r="G6039" s="1">
        <v>0</v>
      </c>
      <c r="H6039" s="1">
        <v>0</v>
      </c>
      <c r="I6039" s="1">
        <v>2.2303700000000002</v>
      </c>
    </row>
    <row r="6040" spans="1:9" x14ac:dyDescent="0.25">
      <c r="A6040" s="1">
        <v>2500030277</v>
      </c>
      <c r="B6040" s="1" t="s">
        <v>3789</v>
      </c>
      <c r="C6040" s="1" t="s">
        <v>130</v>
      </c>
      <c r="D6040" s="1" t="s">
        <v>131</v>
      </c>
      <c r="E6040" s="1">
        <v>122</v>
      </c>
      <c r="F6040" s="1" t="s">
        <v>36</v>
      </c>
      <c r="G6040" s="1">
        <v>0</v>
      </c>
      <c r="H6040" s="1">
        <v>0</v>
      </c>
      <c r="I6040" s="1">
        <v>1.752623</v>
      </c>
    </row>
    <row r="6041" spans="1:9" x14ac:dyDescent="0.25">
      <c r="A6041" s="1">
        <v>2500030278</v>
      </c>
      <c r="B6041" s="1" t="s">
        <v>3790</v>
      </c>
      <c r="C6041" s="1" t="s">
        <v>130</v>
      </c>
      <c r="D6041" s="1" t="s">
        <v>131</v>
      </c>
      <c r="E6041" s="1">
        <v>248</v>
      </c>
      <c r="F6041" s="1" t="s">
        <v>36</v>
      </c>
      <c r="G6041" s="1">
        <v>0</v>
      </c>
      <c r="H6041" s="1">
        <v>0</v>
      </c>
      <c r="I6041" s="1">
        <v>1.584516</v>
      </c>
    </row>
    <row r="6042" spans="1:9" x14ac:dyDescent="0.25">
      <c r="A6042" s="1">
        <v>2500030284</v>
      </c>
      <c r="B6042" s="1" t="s">
        <v>3791</v>
      </c>
      <c r="C6042" s="1" t="s">
        <v>130</v>
      </c>
      <c r="D6042" s="1" t="s">
        <v>131</v>
      </c>
      <c r="E6042" s="3">
        <v>1209.9949999999999</v>
      </c>
      <c r="F6042" s="1" t="s">
        <v>36</v>
      </c>
      <c r="G6042" s="1">
        <v>0</v>
      </c>
      <c r="H6042" s="1">
        <v>0</v>
      </c>
      <c r="I6042" s="1">
        <v>1.409816</v>
      </c>
    </row>
    <row r="6043" spans="1:9" x14ac:dyDescent="0.25">
      <c r="A6043" s="1">
        <v>2500030284</v>
      </c>
      <c r="B6043" s="1" t="s">
        <v>3791</v>
      </c>
      <c r="C6043" s="1" t="s">
        <v>142</v>
      </c>
      <c r="D6043" s="1" t="s">
        <v>143</v>
      </c>
      <c r="E6043" s="1">
        <v>514.85379999999998</v>
      </c>
      <c r="F6043" s="1" t="s">
        <v>36</v>
      </c>
      <c r="G6043" s="1">
        <v>0</v>
      </c>
      <c r="H6043" s="1">
        <v>0</v>
      </c>
      <c r="I6043" s="1">
        <v>1.409818</v>
      </c>
    </row>
    <row r="6044" spans="1:9" x14ac:dyDescent="0.25">
      <c r="A6044" s="1">
        <v>2500030286</v>
      </c>
      <c r="B6044" s="1" t="s">
        <v>3792</v>
      </c>
      <c r="C6044" s="1" t="s">
        <v>130</v>
      </c>
      <c r="D6044" s="1" t="s">
        <v>131</v>
      </c>
      <c r="E6044" s="1">
        <v>400</v>
      </c>
      <c r="F6044" s="1" t="s">
        <v>36</v>
      </c>
      <c r="G6044" s="1">
        <v>0</v>
      </c>
      <c r="H6044" s="1">
        <v>0</v>
      </c>
      <c r="I6044" s="1">
        <v>1.79</v>
      </c>
    </row>
    <row r="6045" spans="1:9" x14ac:dyDescent="0.25">
      <c r="A6045" s="1">
        <v>2500030291</v>
      </c>
      <c r="B6045" s="1" t="s">
        <v>3793</v>
      </c>
      <c r="C6045" s="1" t="s">
        <v>130</v>
      </c>
      <c r="D6045" s="1" t="s">
        <v>131</v>
      </c>
      <c r="E6045" s="1">
        <v>334</v>
      </c>
      <c r="F6045" s="1" t="s">
        <v>36</v>
      </c>
      <c r="G6045" s="1">
        <v>0</v>
      </c>
      <c r="H6045" s="1">
        <v>0</v>
      </c>
      <c r="I6045" s="1">
        <v>4.18</v>
      </c>
    </row>
    <row r="6046" spans="1:9" x14ac:dyDescent="0.25">
      <c r="A6046" s="1">
        <v>2500030292</v>
      </c>
      <c r="B6046" s="1" t="s">
        <v>3794</v>
      </c>
      <c r="C6046" s="1" t="s">
        <v>130</v>
      </c>
      <c r="D6046" s="1" t="s">
        <v>131</v>
      </c>
      <c r="E6046" s="3">
        <v>1192</v>
      </c>
      <c r="F6046" s="1" t="s">
        <v>36</v>
      </c>
      <c r="G6046" s="1">
        <v>0</v>
      </c>
      <c r="H6046" s="1">
        <v>0</v>
      </c>
      <c r="I6046" s="1">
        <v>1.434153</v>
      </c>
    </row>
    <row r="6047" spans="1:9" x14ac:dyDescent="0.25">
      <c r="A6047" s="1">
        <v>2500030293</v>
      </c>
      <c r="B6047" s="1" t="s">
        <v>3795</v>
      </c>
      <c r="C6047" s="1" t="s">
        <v>130</v>
      </c>
      <c r="D6047" s="1" t="s">
        <v>131</v>
      </c>
      <c r="E6047" s="1">
        <v>593</v>
      </c>
      <c r="F6047" s="1" t="s">
        <v>36</v>
      </c>
      <c r="G6047" s="1">
        <v>0</v>
      </c>
      <c r="H6047" s="1">
        <v>0</v>
      </c>
      <c r="I6047" s="1">
        <v>1.91597</v>
      </c>
    </row>
    <row r="6048" spans="1:9" x14ac:dyDescent="0.25">
      <c r="A6048" s="1">
        <v>2500030295</v>
      </c>
      <c r="B6048" s="1" t="s">
        <v>3796</v>
      </c>
      <c r="C6048" s="1" t="s">
        <v>130</v>
      </c>
      <c r="D6048" s="1" t="s">
        <v>131</v>
      </c>
      <c r="E6048" s="3">
        <v>3633</v>
      </c>
      <c r="F6048" s="1" t="s">
        <v>36</v>
      </c>
      <c r="G6048" s="1">
        <v>0</v>
      </c>
      <c r="H6048" s="1">
        <v>0</v>
      </c>
      <c r="I6048" s="1">
        <v>2.325043</v>
      </c>
    </row>
    <row r="6049" spans="1:9" x14ac:dyDescent="0.25">
      <c r="A6049" s="1">
        <v>2500030295</v>
      </c>
      <c r="B6049" s="1" t="s">
        <v>3796</v>
      </c>
      <c r="C6049" s="1" t="s">
        <v>1698</v>
      </c>
      <c r="D6049" s="1" t="s">
        <v>1699</v>
      </c>
      <c r="E6049" s="1">
        <v>4</v>
      </c>
      <c r="F6049" s="1" t="s">
        <v>36</v>
      </c>
      <c r="G6049" s="1">
        <v>0</v>
      </c>
      <c r="H6049" s="1">
        <v>0</v>
      </c>
      <c r="I6049" s="1">
        <v>2.3250000000000002</v>
      </c>
    </row>
    <row r="6050" spans="1:9" x14ac:dyDescent="0.25">
      <c r="A6050" s="1">
        <v>2500030301</v>
      </c>
      <c r="B6050" s="1" t="s">
        <v>3797</v>
      </c>
      <c r="C6050" s="1" t="s">
        <v>1698</v>
      </c>
      <c r="D6050" s="1" t="s">
        <v>1699</v>
      </c>
      <c r="E6050" s="1">
        <v>562</v>
      </c>
      <c r="F6050" s="1" t="s">
        <v>36</v>
      </c>
      <c r="G6050" s="1">
        <v>0</v>
      </c>
      <c r="H6050" s="1">
        <v>0</v>
      </c>
      <c r="I6050" s="1">
        <v>2.2000000000000002</v>
      </c>
    </row>
    <row r="6051" spans="1:9" x14ac:dyDescent="0.25">
      <c r="A6051" s="1">
        <v>2500030302</v>
      </c>
      <c r="B6051" s="1" t="s">
        <v>3798</v>
      </c>
      <c r="C6051" s="1" t="s">
        <v>130</v>
      </c>
      <c r="D6051" s="1" t="s">
        <v>131</v>
      </c>
      <c r="E6051" s="1">
        <v>78</v>
      </c>
      <c r="F6051" s="1" t="s">
        <v>36</v>
      </c>
      <c r="G6051" s="1">
        <v>0</v>
      </c>
      <c r="H6051" s="1">
        <v>0</v>
      </c>
      <c r="I6051" s="1">
        <v>2.6</v>
      </c>
    </row>
    <row r="6052" spans="1:9" x14ac:dyDescent="0.25">
      <c r="A6052" s="1">
        <v>2500030305</v>
      </c>
      <c r="B6052" s="1" t="s">
        <v>3799</v>
      </c>
      <c r="C6052" s="1" t="s">
        <v>130</v>
      </c>
      <c r="D6052" s="1" t="s">
        <v>131</v>
      </c>
      <c r="E6052" s="3">
        <v>3199</v>
      </c>
      <c r="F6052" s="1" t="s">
        <v>36</v>
      </c>
      <c r="G6052" s="1">
        <v>0</v>
      </c>
      <c r="H6052" s="1">
        <v>0</v>
      </c>
      <c r="I6052" s="1">
        <v>1.8</v>
      </c>
    </row>
    <row r="6053" spans="1:9" x14ac:dyDescent="0.25">
      <c r="A6053" s="1">
        <v>2500030306</v>
      </c>
      <c r="B6053" s="1" t="s">
        <v>3800</v>
      </c>
      <c r="C6053" s="1" t="s">
        <v>130</v>
      </c>
      <c r="D6053" s="1" t="s">
        <v>131</v>
      </c>
      <c r="E6053" s="1">
        <v>503.99599999999998</v>
      </c>
      <c r="F6053" s="1" t="s">
        <v>36</v>
      </c>
      <c r="G6053" s="1">
        <v>0</v>
      </c>
      <c r="H6053" s="1">
        <v>0</v>
      </c>
      <c r="I6053" s="1">
        <v>1.8499950000000001</v>
      </c>
    </row>
    <row r="6054" spans="1:9" x14ac:dyDescent="0.25">
      <c r="A6054" s="1">
        <v>2500030307</v>
      </c>
      <c r="B6054" s="1" t="s">
        <v>3801</v>
      </c>
      <c r="C6054" s="1" t="s">
        <v>130</v>
      </c>
      <c r="D6054" s="1" t="s">
        <v>131</v>
      </c>
      <c r="E6054" s="3">
        <v>26437</v>
      </c>
      <c r="F6054" s="1" t="s">
        <v>36</v>
      </c>
      <c r="G6054" s="1">
        <v>0</v>
      </c>
      <c r="H6054" s="1">
        <v>0</v>
      </c>
      <c r="I6054" s="1">
        <v>1.230882</v>
      </c>
    </row>
    <row r="6055" spans="1:9" x14ac:dyDescent="0.25">
      <c r="A6055" s="1">
        <v>2500030307</v>
      </c>
      <c r="B6055" s="1" t="s">
        <v>3801</v>
      </c>
      <c r="C6055" s="1" t="s">
        <v>1698</v>
      </c>
      <c r="D6055" s="1" t="s">
        <v>1699</v>
      </c>
      <c r="E6055" s="3">
        <v>2114</v>
      </c>
      <c r="F6055" s="1" t="s">
        <v>36</v>
      </c>
      <c r="G6055" s="1">
        <v>0</v>
      </c>
      <c r="H6055" s="1">
        <v>0</v>
      </c>
      <c r="I6055" s="1">
        <v>1.23088</v>
      </c>
    </row>
    <row r="6056" spans="1:9" x14ac:dyDescent="0.25">
      <c r="A6056" s="1">
        <v>2500030308</v>
      </c>
      <c r="B6056" s="1" t="s">
        <v>3802</v>
      </c>
      <c r="C6056" s="1" t="s">
        <v>130</v>
      </c>
      <c r="D6056" s="1" t="s">
        <v>131</v>
      </c>
      <c r="E6056" s="3">
        <v>22105</v>
      </c>
      <c r="F6056" s="1" t="s">
        <v>36</v>
      </c>
      <c r="G6056" s="1">
        <v>0</v>
      </c>
      <c r="H6056" s="1">
        <v>0</v>
      </c>
      <c r="I6056" s="1">
        <v>0.81359599999999999</v>
      </c>
    </row>
    <row r="6057" spans="1:9" x14ac:dyDescent="0.25">
      <c r="A6057" s="1">
        <v>2500030308</v>
      </c>
      <c r="B6057" s="1" t="s">
        <v>3802</v>
      </c>
      <c r="C6057" s="1" t="s">
        <v>1698</v>
      </c>
      <c r="D6057" s="1" t="s">
        <v>1699</v>
      </c>
      <c r="E6057" s="3">
        <v>1595</v>
      </c>
      <c r="F6057" s="1" t="s">
        <v>36</v>
      </c>
      <c r="G6057" s="1">
        <v>0</v>
      </c>
      <c r="H6057" s="1">
        <v>0</v>
      </c>
      <c r="I6057" s="1">
        <v>0.81359899999999996</v>
      </c>
    </row>
    <row r="6058" spans="1:9" x14ac:dyDescent="0.25">
      <c r="A6058" s="1">
        <v>2500030309</v>
      </c>
      <c r="B6058" s="1" t="s">
        <v>3803</v>
      </c>
      <c r="C6058" s="1" t="s">
        <v>130</v>
      </c>
      <c r="D6058" s="1" t="s">
        <v>131</v>
      </c>
      <c r="E6058" s="3">
        <v>4535</v>
      </c>
      <c r="F6058" s="1" t="s">
        <v>36</v>
      </c>
      <c r="G6058" s="1">
        <v>0</v>
      </c>
      <c r="H6058" s="1">
        <v>0</v>
      </c>
      <c r="I6058" s="1">
        <v>0.87170000000000003</v>
      </c>
    </row>
    <row r="6059" spans="1:9" x14ac:dyDescent="0.25">
      <c r="A6059" s="1">
        <v>2500030309</v>
      </c>
      <c r="B6059" s="1" t="s">
        <v>3803</v>
      </c>
      <c r="C6059" s="1" t="s">
        <v>1698</v>
      </c>
      <c r="D6059" s="1" t="s">
        <v>1699</v>
      </c>
      <c r="E6059" s="1">
        <v>376</v>
      </c>
      <c r="F6059" s="1" t="s">
        <v>36</v>
      </c>
      <c r="G6059" s="1">
        <v>0</v>
      </c>
      <c r="H6059" s="1">
        <v>0</v>
      </c>
      <c r="I6059" s="1">
        <v>0.87170199999999998</v>
      </c>
    </row>
    <row r="6060" spans="1:9" x14ac:dyDescent="0.25">
      <c r="A6060" s="1">
        <v>2500030310</v>
      </c>
      <c r="B6060" s="1" t="s">
        <v>3804</v>
      </c>
      <c r="C6060" s="1" t="s">
        <v>130</v>
      </c>
      <c r="D6060" s="1" t="s">
        <v>131</v>
      </c>
      <c r="E6060" s="3">
        <v>8585</v>
      </c>
      <c r="F6060" s="1" t="s">
        <v>36</v>
      </c>
      <c r="G6060" s="1">
        <v>0</v>
      </c>
      <c r="H6060" s="1">
        <v>0</v>
      </c>
      <c r="I6060" s="1">
        <v>0.86017500000000002</v>
      </c>
    </row>
    <row r="6061" spans="1:9" x14ac:dyDescent="0.25">
      <c r="A6061" s="1">
        <v>2500030310</v>
      </c>
      <c r="B6061" s="1" t="s">
        <v>3804</v>
      </c>
      <c r="C6061" s="1" t="s">
        <v>1698</v>
      </c>
      <c r="D6061" s="1" t="s">
        <v>1699</v>
      </c>
      <c r="E6061" s="1">
        <v>200</v>
      </c>
      <c r="F6061" s="1" t="s">
        <v>36</v>
      </c>
      <c r="G6061" s="1">
        <v>0</v>
      </c>
      <c r="H6061" s="1">
        <v>0</v>
      </c>
      <c r="I6061" s="1">
        <v>0.86019999999999996</v>
      </c>
    </row>
    <row r="6062" spans="1:9" x14ac:dyDescent="0.25">
      <c r="A6062" s="1">
        <v>2500030312</v>
      </c>
      <c r="B6062" s="1" t="s">
        <v>3805</v>
      </c>
      <c r="C6062" s="1" t="s">
        <v>130</v>
      </c>
      <c r="D6062" s="1" t="s">
        <v>131</v>
      </c>
      <c r="E6062" s="3">
        <v>3824</v>
      </c>
      <c r="F6062" s="1" t="s">
        <v>36</v>
      </c>
      <c r="G6062" s="1">
        <v>0</v>
      </c>
      <c r="H6062" s="1">
        <v>0</v>
      </c>
      <c r="I6062" s="1">
        <v>1.0763</v>
      </c>
    </row>
    <row r="6063" spans="1:9" x14ac:dyDescent="0.25">
      <c r="A6063" s="1">
        <v>2500030313</v>
      </c>
      <c r="B6063" s="1" t="s">
        <v>3806</v>
      </c>
      <c r="C6063" s="1" t="s">
        <v>130</v>
      </c>
      <c r="D6063" s="1" t="s">
        <v>131</v>
      </c>
      <c r="E6063" s="3">
        <v>3018</v>
      </c>
      <c r="F6063" s="1" t="s">
        <v>36</v>
      </c>
      <c r="G6063" s="1">
        <v>0</v>
      </c>
      <c r="H6063" s="1">
        <v>0</v>
      </c>
      <c r="I6063" s="1">
        <v>1.0754010000000001</v>
      </c>
    </row>
    <row r="6064" spans="1:9" x14ac:dyDescent="0.25">
      <c r="A6064" s="1">
        <v>2500030315</v>
      </c>
      <c r="B6064" s="1" t="s">
        <v>3807</v>
      </c>
      <c r="C6064" s="1" t="s">
        <v>1698</v>
      </c>
      <c r="D6064" s="1" t="s">
        <v>1699</v>
      </c>
      <c r="E6064" s="1">
        <v>933</v>
      </c>
      <c r="F6064" s="1" t="s">
        <v>36</v>
      </c>
      <c r="G6064" s="1">
        <v>0</v>
      </c>
      <c r="H6064" s="1">
        <v>0</v>
      </c>
      <c r="I6064" s="1">
        <v>1.29</v>
      </c>
    </row>
    <row r="6065" spans="1:9" x14ac:dyDescent="0.25">
      <c r="A6065" s="1">
        <v>2500030317</v>
      </c>
      <c r="B6065" s="1" t="s">
        <v>3808</v>
      </c>
      <c r="C6065" s="1" t="s">
        <v>130</v>
      </c>
      <c r="D6065" s="1" t="s">
        <v>131</v>
      </c>
      <c r="E6065" s="1">
        <v>808</v>
      </c>
      <c r="F6065" s="1" t="s">
        <v>36</v>
      </c>
      <c r="G6065" s="1">
        <v>5</v>
      </c>
      <c r="H6065" s="1">
        <v>0</v>
      </c>
      <c r="I6065" s="1">
        <v>2.1</v>
      </c>
    </row>
    <row r="6066" spans="1:9" x14ac:dyDescent="0.25">
      <c r="A6066" s="1">
        <v>2500030317</v>
      </c>
      <c r="B6066" s="1" t="s">
        <v>3808</v>
      </c>
      <c r="C6066" s="1" t="s">
        <v>142</v>
      </c>
      <c r="D6066" s="1" t="s">
        <v>143</v>
      </c>
      <c r="E6066" s="1">
        <v>0</v>
      </c>
      <c r="F6066" s="1" t="s">
        <v>36</v>
      </c>
      <c r="G6066" s="1">
        <v>0</v>
      </c>
      <c r="H6066" s="1">
        <v>5</v>
      </c>
      <c r="I6066" s="1">
        <v>0</v>
      </c>
    </row>
    <row r="6067" spans="1:9" x14ac:dyDescent="0.25">
      <c r="A6067" s="1">
        <v>2500030318</v>
      </c>
      <c r="B6067" s="1" t="s">
        <v>3809</v>
      </c>
      <c r="C6067" s="1" t="s">
        <v>130</v>
      </c>
      <c r="D6067" s="1" t="s">
        <v>131</v>
      </c>
      <c r="E6067" s="3">
        <v>1104</v>
      </c>
      <c r="F6067" s="1" t="s">
        <v>36</v>
      </c>
      <c r="G6067" s="1">
        <v>0</v>
      </c>
      <c r="H6067" s="1">
        <v>0</v>
      </c>
      <c r="I6067" s="1">
        <v>1.6</v>
      </c>
    </row>
    <row r="6068" spans="1:9" x14ac:dyDescent="0.25">
      <c r="A6068" s="1">
        <v>2500030318</v>
      </c>
      <c r="B6068" s="1" t="s">
        <v>3809</v>
      </c>
      <c r="C6068" s="1" t="s">
        <v>142</v>
      </c>
      <c r="D6068" s="1" t="s">
        <v>143</v>
      </c>
      <c r="E6068" s="1">
        <v>0.998</v>
      </c>
      <c r="F6068" s="1" t="s">
        <v>36</v>
      </c>
      <c r="G6068" s="1">
        <v>0</v>
      </c>
      <c r="H6068" s="1">
        <v>0</v>
      </c>
      <c r="I6068" s="1">
        <v>1.6032059999999999</v>
      </c>
    </row>
    <row r="6069" spans="1:9" x14ac:dyDescent="0.25">
      <c r="A6069" s="1">
        <v>2500030331</v>
      </c>
      <c r="B6069" s="1" t="s">
        <v>3810</v>
      </c>
      <c r="C6069" s="1" t="s">
        <v>130</v>
      </c>
      <c r="D6069" s="1" t="s">
        <v>131</v>
      </c>
      <c r="E6069" s="3">
        <v>2087</v>
      </c>
      <c r="F6069" s="1" t="s">
        <v>36</v>
      </c>
      <c r="G6069" s="1">
        <v>0</v>
      </c>
      <c r="H6069" s="1">
        <v>1</v>
      </c>
      <c r="I6069" s="1">
        <v>2.9</v>
      </c>
    </row>
    <row r="6070" spans="1:9" x14ac:dyDescent="0.25">
      <c r="A6070" s="1">
        <v>2500030331</v>
      </c>
      <c r="B6070" s="1" t="s">
        <v>3810</v>
      </c>
      <c r="C6070" s="1" t="s">
        <v>142</v>
      </c>
      <c r="D6070" s="1" t="s">
        <v>143</v>
      </c>
      <c r="E6070" s="1">
        <v>0</v>
      </c>
      <c r="F6070" s="1" t="s">
        <v>36</v>
      </c>
      <c r="G6070" s="1">
        <v>1</v>
      </c>
      <c r="H6070" s="1">
        <v>0</v>
      </c>
      <c r="I6070" s="1">
        <v>2.9</v>
      </c>
    </row>
    <row r="6071" spans="1:9" x14ac:dyDescent="0.25">
      <c r="A6071" s="1">
        <v>2500030332</v>
      </c>
      <c r="B6071" s="1" t="s">
        <v>3811</v>
      </c>
      <c r="C6071" s="1" t="s">
        <v>130</v>
      </c>
      <c r="D6071" s="1" t="s">
        <v>131</v>
      </c>
      <c r="E6071" s="1">
        <v>0</v>
      </c>
      <c r="F6071" s="1" t="s">
        <v>36</v>
      </c>
      <c r="G6071" s="1">
        <v>170</v>
      </c>
      <c r="H6071" s="1">
        <v>0</v>
      </c>
      <c r="I6071" s="1">
        <v>2.5813739999999998</v>
      </c>
    </row>
    <row r="6072" spans="1:9" x14ac:dyDescent="0.25">
      <c r="A6072" s="1">
        <v>2500030332</v>
      </c>
      <c r="B6072" s="1" t="s">
        <v>3811</v>
      </c>
      <c r="C6072" s="1" t="s">
        <v>1698</v>
      </c>
      <c r="D6072" s="1" t="s">
        <v>1699</v>
      </c>
      <c r="E6072" s="1">
        <v>533.05999999999995</v>
      </c>
      <c r="F6072" s="1" t="s">
        <v>36</v>
      </c>
      <c r="G6072" s="1">
        <v>0</v>
      </c>
      <c r="H6072" s="1">
        <v>170</v>
      </c>
      <c r="I6072" s="1">
        <v>2.5813600000000001</v>
      </c>
    </row>
    <row r="6073" spans="1:9" x14ac:dyDescent="0.25">
      <c r="A6073" s="1">
        <v>2500030333</v>
      </c>
      <c r="B6073" s="1" t="s">
        <v>3812</v>
      </c>
      <c r="C6073" s="1" t="s">
        <v>130</v>
      </c>
      <c r="D6073" s="1" t="s">
        <v>131</v>
      </c>
      <c r="E6073" s="1">
        <v>350</v>
      </c>
      <c r="F6073" s="1" t="s">
        <v>36</v>
      </c>
      <c r="G6073" s="1">
        <v>200</v>
      </c>
      <c r="H6073" s="1">
        <v>0</v>
      </c>
      <c r="I6073" s="1">
        <v>1.463571</v>
      </c>
    </row>
    <row r="6074" spans="1:9" x14ac:dyDescent="0.25">
      <c r="A6074" s="1">
        <v>2500030333</v>
      </c>
      <c r="B6074" s="1" t="s">
        <v>3812</v>
      </c>
      <c r="C6074" s="1" t="s">
        <v>1698</v>
      </c>
      <c r="D6074" s="1" t="s">
        <v>1699</v>
      </c>
      <c r="E6074" s="1">
        <v>546.05999999999995</v>
      </c>
      <c r="F6074" s="1" t="s">
        <v>36</v>
      </c>
      <c r="G6074" s="1">
        <v>0</v>
      </c>
      <c r="H6074" s="1">
        <v>200</v>
      </c>
      <c r="I6074" s="1">
        <v>1.4635750000000001</v>
      </c>
    </row>
    <row r="6075" spans="1:9" x14ac:dyDescent="0.25">
      <c r="A6075" s="1">
        <v>2500030334</v>
      </c>
      <c r="B6075" s="1" t="s">
        <v>3813</v>
      </c>
      <c r="C6075" s="1" t="s">
        <v>130</v>
      </c>
      <c r="D6075" s="1" t="s">
        <v>131</v>
      </c>
      <c r="E6075" s="3">
        <v>1710</v>
      </c>
      <c r="F6075" s="1" t="s">
        <v>36</v>
      </c>
      <c r="G6075" s="1">
        <v>0</v>
      </c>
      <c r="H6075" s="1">
        <v>0</v>
      </c>
      <c r="I6075" s="1">
        <v>1.77</v>
      </c>
    </row>
    <row r="6076" spans="1:9" x14ac:dyDescent="0.25">
      <c r="A6076" s="1">
        <v>2500030335</v>
      </c>
      <c r="B6076" s="1" t="s">
        <v>3814</v>
      </c>
      <c r="C6076" s="1" t="s">
        <v>130</v>
      </c>
      <c r="D6076" s="1" t="s">
        <v>131</v>
      </c>
      <c r="E6076" s="3">
        <v>28138.880000000001</v>
      </c>
      <c r="F6076" s="1" t="s">
        <v>36</v>
      </c>
      <c r="G6076" s="3">
        <v>1440</v>
      </c>
      <c r="H6076" s="1">
        <v>0</v>
      </c>
      <c r="I6076" s="1">
        <v>1.2365999999999999</v>
      </c>
    </row>
    <row r="6077" spans="1:9" x14ac:dyDescent="0.25">
      <c r="A6077" s="1">
        <v>2500030335</v>
      </c>
      <c r="B6077" s="1" t="s">
        <v>3814</v>
      </c>
      <c r="C6077" s="1" t="s">
        <v>1698</v>
      </c>
      <c r="D6077" s="1" t="s">
        <v>1699</v>
      </c>
      <c r="E6077" s="1">
        <v>16</v>
      </c>
      <c r="F6077" s="1" t="s">
        <v>36</v>
      </c>
      <c r="G6077" s="1">
        <v>0</v>
      </c>
      <c r="H6077" s="3">
        <v>1440</v>
      </c>
      <c r="I6077" s="1">
        <v>1.2368749999999999</v>
      </c>
    </row>
    <row r="6078" spans="1:9" x14ac:dyDescent="0.25">
      <c r="A6078" s="1">
        <v>2500030336</v>
      </c>
      <c r="B6078" s="1" t="s">
        <v>3815</v>
      </c>
      <c r="C6078" s="1" t="s">
        <v>130</v>
      </c>
      <c r="D6078" s="1" t="s">
        <v>131</v>
      </c>
      <c r="E6078" s="3">
        <v>18503</v>
      </c>
      <c r="F6078" s="1" t="s">
        <v>36</v>
      </c>
      <c r="G6078" s="1">
        <v>0</v>
      </c>
      <c r="H6078" s="1">
        <v>0</v>
      </c>
      <c r="I6078" s="1">
        <v>0.860101</v>
      </c>
    </row>
    <row r="6079" spans="1:9" x14ac:dyDescent="0.25">
      <c r="A6079" s="1">
        <v>2500030337</v>
      </c>
      <c r="B6079" s="1" t="s">
        <v>3816</v>
      </c>
      <c r="C6079" s="1" t="s">
        <v>130</v>
      </c>
      <c r="D6079" s="1" t="s">
        <v>131</v>
      </c>
      <c r="E6079" s="3">
        <v>15825</v>
      </c>
      <c r="F6079" s="1" t="s">
        <v>36</v>
      </c>
      <c r="G6079" s="3">
        <v>1440</v>
      </c>
      <c r="H6079" s="1">
        <v>0</v>
      </c>
      <c r="I6079" s="1">
        <v>0.87270099999999995</v>
      </c>
    </row>
    <row r="6080" spans="1:9" x14ac:dyDescent="0.25">
      <c r="A6080" s="1">
        <v>2500030337</v>
      </c>
      <c r="B6080" s="1" t="s">
        <v>3816</v>
      </c>
      <c r="C6080" s="1" t="s">
        <v>1698</v>
      </c>
      <c r="D6080" s="1" t="s">
        <v>1699</v>
      </c>
      <c r="E6080" s="1">
        <v>94</v>
      </c>
      <c r="F6080" s="1" t="s">
        <v>36</v>
      </c>
      <c r="G6080" s="1">
        <v>0</v>
      </c>
      <c r="H6080" s="3">
        <v>1440</v>
      </c>
      <c r="I6080" s="1">
        <v>0.87265999999999999</v>
      </c>
    </row>
    <row r="6081" spans="1:9" x14ac:dyDescent="0.25">
      <c r="A6081" s="1">
        <v>2500030339</v>
      </c>
      <c r="B6081" s="1" t="s">
        <v>3817</v>
      </c>
      <c r="C6081" s="1" t="s">
        <v>130</v>
      </c>
      <c r="D6081" s="1" t="s">
        <v>131</v>
      </c>
      <c r="E6081" s="3">
        <v>36330</v>
      </c>
      <c r="F6081" s="1" t="s">
        <v>36</v>
      </c>
      <c r="G6081" s="1">
        <v>0</v>
      </c>
      <c r="H6081" s="1">
        <v>0</v>
      </c>
      <c r="I6081" s="1">
        <v>1.1725000000000001</v>
      </c>
    </row>
    <row r="6082" spans="1:9" x14ac:dyDescent="0.25">
      <c r="A6082" s="1">
        <v>2500030339</v>
      </c>
      <c r="B6082" s="1" t="s">
        <v>3817</v>
      </c>
      <c r="C6082" s="1" t="s">
        <v>1698</v>
      </c>
      <c r="D6082" s="1" t="s">
        <v>1699</v>
      </c>
      <c r="E6082" s="1">
        <v>703</v>
      </c>
      <c r="F6082" s="1" t="s">
        <v>36</v>
      </c>
      <c r="G6082" s="1">
        <v>0</v>
      </c>
      <c r="H6082" s="1">
        <v>0</v>
      </c>
      <c r="I6082" s="1">
        <v>1.172504</v>
      </c>
    </row>
    <row r="6083" spans="1:9" x14ac:dyDescent="0.25">
      <c r="A6083" s="1">
        <v>2500030340</v>
      </c>
      <c r="B6083" s="1" t="s">
        <v>3818</v>
      </c>
      <c r="C6083" s="1" t="s">
        <v>130</v>
      </c>
      <c r="D6083" s="1" t="s">
        <v>131</v>
      </c>
      <c r="E6083" s="3">
        <v>31350</v>
      </c>
      <c r="F6083" s="1" t="s">
        <v>36</v>
      </c>
      <c r="G6083" s="1">
        <v>0</v>
      </c>
      <c r="H6083" s="1">
        <v>0</v>
      </c>
      <c r="I6083" s="1">
        <v>0.79327199999999998</v>
      </c>
    </row>
    <row r="6084" spans="1:9" x14ac:dyDescent="0.25">
      <c r="A6084" s="1">
        <v>2500030340</v>
      </c>
      <c r="B6084" s="1" t="s">
        <v>3818</v>
      </c>
      <c r="C6084" s="1" t="s">
        <v>1698</v>
      </c>
      <c r="D6084" s="1" t="s">
        <v>1699</v>
      </c>
      <c r="E6084" s="3">
        <v>1779</v>
      </c>
      <c r="F6084" s="1" t="s">
        <v>36</v>
      </c>
      <c r="G6084" s="1">
        <v>0</v>
      </c>
      <c r="H6084" s="1">
        <v>0</v>
      </c>
      <c r="I6084" s="1">
        <v>0.79327199999999998</v>
      </c>
    </row>
    <row r="6085" spans="1:9" x14ac:dyDescent="0.25">
      <c r="A6085" s="1">
        <v>2500030343</v>
      </c>
      <c r="B6085" s="1" t="s">
        <v>3819</v>
      </c>
      <c r="C6085" s="1" t="s">
        <v>130</v>
      </c>
      <c r="D6085" s="1" t="s">
        <v>131</v>
      </c>
      <c r="E6085" s="1">
        <v>270</v>
      </c>
      <c r="F6085" s="1" t="s">
        <v>36</v>
      </c>
      <c r="G6085" s="1">
        <v>0</v>
      </c>
      <c r="H6085" s="1">
        <v>0</v>
      </c>
      <c r="I6085" s="1">
        <v>1.45</v>
      </c>
    </row>
    <row r="6086" spans="1:9" x14ac:dyDescent="0.25">
      <c r="A6086" s="1">
        <v>2500030344</v>
      </c>
      <c r="B6086" s="1" t="s">
        <v>34</v>
      </c>
      <c r="C6086" s="1" t="s">
        <v>142</v>
      </c>
      <c r="D6086" s="1" t="s">
        <v>143</v>
      </c>
      <c r="E6086" s="1">
        <v>21</v>
      </c>
      <c r="F6086" s="1" t="s">
        <v>36</v>
      </c>
      <c r="G6086" s="1">
        <v>0</v>
      </c>
      <c r="H6086" s="1">
        <v>0</v>
      </c>
      <c r="I6086" s="1">
        <v>2.15</v>
      </c>
    </row>
    <row r="6087" spans="1:9" x14ac:dyDescent="0.25">
      <c r="A6087" s="1">
        <v>2500030345</v>
      </c>
      <c r="B6087" s="1" t="s">
        <v>3820</v>
      </c>
      <c r="C6087" s="1" t="s">
        <v>130</v>
      </c>
      <c r="D6087" s="1" t="s">
        <v>131</v>
      </c>
      <c r="E6087" s="1">
        <v>25</v>
      </c>
      <c r="F6087" s="1" t="s">
        <v>36</v>
      </c>
      <c r="G6087" s="1">
        <v>0</v>
      </c>
      <c r="H6087" s="1">
        <v>0</v>
      </c>
      <c r="I6087" s="1">
        <v>2.15</v>
      </c>
    </row>
    <row r="6088" spans="1:9" x14ac:dyDescent="0.25">
      <c r="A6088" s="1">
        <v>2500030346</v>
      </c>
      <c r="B6088" s="1" t="s">
        <v>3821</v>
      </c>
      <c r="C6088" s="1" t="s">
        <v>130</v>
      </c>
      <c r="D6088" s="1" t="s">
        <v>131</v>
      </c>
      <c r="E6088" s="1">
        <v>181</v>
      </c>
      <c r="F6088" s="1" t="s">
        <v>36</v>
      </c>
      <c r="G6088" s="1">
        <v>0</v>
      </c>
      <c r="H6088" s="1">
        <v>0</v>
      </c>
      <c r="I6088" s="1">
        <v>2.4</v>
      </c>
    </row>
    <row r="6089" spans="1:9" x14ac:dyDescent="0.25">
      <c r="A6089" s="1">
        <v>2500030346</v>
      </c>
      <c r="B6089" s="1" t="s">
        <v>3821</v>
      </c>
      <c r="C6089" s="1" t="s">
        <v>142</v>
      </c>
      <c r="D6089" s="1" t="s">
        <v>143</v>
      </c>
      <c r="E6089" s="1">
        <v>4.3E-3</v>
      </c>
      <c r="F6089" s="1" t="s">
        <v>36</v>
      </c>
      <c r="G6089" s="1">
        <v>0</v>
      </c>
      <c r="H6089" s="1">
        <v>0</v>
      </c>
      <c r="I6089" s="1">
        <v>2.3255810000000001</v>
      </c>
    </row>
    <row r="6090" spans="1:9" x14ac:dyDescent="0.25">
      <c r="A6090" s="1">
        <v>2500030347</v>
      </c>
      <c r="B6090" s="1" t="s">
        <v>3822</v>
      </c>
      <c r="C6090" s="1" t="s">
        <v>130</v>
      </c>
      <c r="D6090" s="1" t="s">
        <v>131</v>
      </c>
      <c r="E6090" s="1">
        <v>4</v>
      </c>
      <c r="F6090" s="1" t="s">
        <v>36</v>
      </c>
      <c r="G6090" s="1">
        <v>0</v>
      </c>
      <c r="H6090" s="1">
        <v>0</v>
      </c>
      <c r="I6090" s="1">
        <v>1.9</v>
      </c>
    </row>
    <row r="6091" spans="1:9" x14ac:dyDescent="0.25">
      <c r="A6091" s="1">
        <v>2500030347</v>
      </c>
      <c r="B6091" s="1" t="s">
        <v>3822</v>
      </c>
      <c r="C6091" s="1" t="s">
        <v>1698</v>
      </c>
      <c r="D6091" s="1" t="s">
        <v>1699</v>
      </c>
      <c r="E6091" s="1">
        <v>29</v>
      </c>
      <c r="F6091" s="1" t="s">
        <v>36</v>
      </c>
      <c r="G6091" s="1">
        <v>0</v>
      </c>
      <c r="H6091" s="1">
        <v>0</v>
      </c>
      <c r="I6091" s="1">
        <v>1.9</v>
      </c>
    </row>
    <row r="6092" spans="1:9" x14ac:dyDescent="0.25">
      <c r="A6092" s="1">
        <v>2500030348</v>
      </c>
      <c r="B6092" s="1" t="s">
        <v>3823</v>
      </c>
      <c r="C6092" s="1" t="s">
        <v>130</v>
      </c>
      <c r="D6092" s="1" t="s">
        <v>131</v>
      </c>
      <c r="E6092" s="3">
        <v>5134</v>
      </c>
      <c r="F6092" s="1" t="s">
        <v>36</v>
      </c>
      <c r="G6092" s="1">
        <v>0</v>
      </c>
      <c r="H6092" s="1">
        <v>0</v>
      </c>
      <c r="I6092" s="1">
        <v>2.0499999999999998</v>
      </c>
    </row>
    <row r="6093" spans="1:9" x14ac:dyDescent="0.25">
      <c r="A6093" s="1">
        <v>2500030348</v>
      </c>
      <c r="B6093" s="1" t="s">
        <v>3823</v>
      </c>
      <c r="C6093" s="1" t="s">
        <v>1698</v>
      </c>
      <c r="D6093" s="1" t="s">
        <v>1699</v>
      </c>
      <c r="E6093" s="1">
        <v>8</v>
      </c>
      <c r="F6093" s="1" t="s">
        <v>36</v>
      </c>
      <c r="G6093" s="1">
        <v>0</v>
      </c>
      <c r="H6093" s="1">
        <v>0</v>
      </c>
      <c r="I6093" s="1">
        <v>2.0499999999999998</v>
      </c>
    </row>
    <row r="6094" spans="1:9" x14ac:dyDescent="0.25">
      <c r="A6094" s="1">
        <v>2500030349</v>
      </c>
      <c r="B6094" s="1" t="s">
        <v>3824</v>
      </c>
      <c r="C6094" s="1" t="s">
        <v>130</v>
      </c>
      <c r="D6094" s="1" t="s">
        <v>131</v>
      </c>
      <c r="E6094" s="3">
        <v>5134</v>
      </c>
      <c r="F6094" s="1" t="s">
        <v>36</v>
      </c>
      <c r="G6094" s="1">
        <v>0</v>
      </c>
      <c r="H6094" s="1">
        <v>0</v>
      </c>
      <c r="I6094" s="1">
        <v>1</v>
      </c>
    </row>
    <row r="6095" spans="1:9" x14ac:dyDescent="0.25">
      <c r="A6095" s="1">
        <v>2500030349</v>
      </c>
      <c r="B6095" s="1" t="s">
        <v>3824</v>
      </c>
      <c r="C6095" s="1" t="s">
        <v>1698</v>
      </c>
      <c r="D6095" s="1" t="s">
        <v>1699</v>
      </c>
      <c r="E6095" s="1">
        <v>8</v>
      </c>
      <c r="F6095" s="1" t="s">
        <v>36</v>
      </c>
      <c r="G6095" s="1">
        <v>0</v>
      </c>
      <c r="H6095" s="1">
        <v>0</v>
      </c>
      <c r="I6095" s="1">
        <v>1</v>
      </c>
    </row>
    <row r="6096" spans="1:9" x14ac:dyDescent="0.25">
      <c r="A6096" s="1">
        <v>2500060009</v>
      </c>
      <c r="B6096" s="1" t="s">
        <v>3042</v>
      </c>
      <c r="C6096" s="1" t="s">
        <v>130</v>
      </c>
      <c r="D6096" s="1" t="s">
        <v>131</v>
      </c>
      <c r="E6096" s="3">
        <v>23263</v>
      </c>
      <c r="F6096" s="1" t="s">
        <v>36</v>
      </c>
      <c r="G6096" s="1">
        <v>0</v>
      </c>
      <c r="H6096" s="1">
        <v>0</v>
      </c>
      <c r="I6096" s="3">
        <v>0.89700000000000002</v>
      </c>
    </row>
    <row r="6097" spans="1:9" x14ac:dyDescent="0.25">
      <c r="A6097" s="1">
        <v>2500060013</v>
      </c>
      <c r="B6097" s="1" t="s">
        <v>3825</v>
      </c>
      <c r="C6097" s="1" t="s">
        <v>130</v>
      </c>
      <c r="D6097" s="1" t="s">
        <v>131</v>
      </c>
      <c r="E6097" s="1">
        <v>100</v>
      </c>
      <c r="F6097" s="1" t="s">
        <v>36</v>
      </c>
      <c r="G6097" s="1">
        <v>0</v>
      </c>
      <c r="H6097" s="1">
        <v>0</v>
      </c>
      <c r="I6097" s="1">
        <v>47</v>
      </c>
    </row>
    <row r="6098" spans="1:9" x14ac:dyDescent="0.25">
      <c r="A6098" s="1">
        <v>2500070068</v>
      </c>
      <c r="B6098" s="1" t="s">
        <v>3826</v>
      </c>
      <c r="C6098" s="1" t="s">
        <v>130</v>
      </c>
      <c r="D6098" s="1" t="s">
        <v>131</v>
      </c>
      <c r="E6098" s="3">
        <v>5300</v>
      </c>
      <c r="F6098" s="1" t="s">
        <v>36</v>
      </c>
      <c r="G6098" s="1">
        <v>0</v>
      </c>
      <c r="H6098" s="1">
        <v>0</v>
      </c>
      <c r="I6098" s="1">
        <v>2.0125000000000001E-2</v>
      </c>
    </row>
    <row r="6099" spans="1:9" x14ac:dyDescent="0.25">
      <c r="A6099" s="1">
        <v>2500070137</v>
      </c>
      <c r="B6099" s="1" t="s">
        <v>3827</v>
      </c>
      <c r="C6099" s="1" t="s">
        <v>130</v>
      </c>
      <c r="D6099" s="1" t="s">
        <v>131</v>
      </c>
      <c r="E6099" s="3">
        <v>1000</v>
      </c>
      <c r="F6099" s="1" t="s">
        <v>36</v>
      </c>
      <c r="G6099" s="1">
        <v>0</v>
      </c>
      <c r="H6099" s="1">
        <v>0</v>
      </c>
      <c r="I6099" s="1">
        <v>3.1519999999999999E-2</v>
      </c>
    </row>
    <row r="6100" spans="1:9" x14ac:dyDescent="0.25">
      <c r="A6100" s="1">
        <v>2500070207</v>
      </c>
      <c r="B6100" s="1" t="s">
        <v>3828</v>
      </c>
      <c r="C6100" s="1" t="s">
        <v>130</v>
      </c>
      <c r="D6100" s="1" t="s">
        <v>131</v>
      </c>
      <c r="E6100" s="3">
        <v>2000</v>
      </c>
      <c r="F6100" s="1" t="s">
        <v>36</v>
      </c>
      <c r="G6100" s="1">
        <v>0</v>
      </c>
      <c r="H6100" s="1">
        <v>0</v>
      </c>
      <c r="I6100" s="1">
        <v>2.7E-2</v>
      </c>
    </row>
    <row r="6101" spans="1:9" x14ac:dyDescent="0.25">
      <c r="A6101" s="1">
        <v>2500070208</v>
      </c>
      <c r="B6101" s="1" t="s">
        <v>3829</v>
      </c>
      <c r="C6101" s="1" t="s">
        <v>130</v>
      </c>
      <c r="D6101" s="1" t="s">
        <v>131</v>
      </c>
      <c r="E6101" s="3">
        <v>3964</v>
      </c>
      <c r="F6101" s="1" t="s">
        <v>36</v>
      </c>
      <c r="G6101" s="1">
        <v>0</v>
      </c>
      <c r="H6101" s="1">
        <v>0</v>
      </c>
      <c r="I6101" s="1">
        <v>2.2207000000000001E-2</v>
      </c>
    </row>
    <row r="6102" spans="1:9" x14ac:dyDescent="0.25">
      <c r="A6102" s="1">
        <v>2500070209</v>
      </c>
      <c r="B6102" s="1" t="s">
        <v>3830</v>
      </c>
      <c r="C6102" s="1" t="s">
        <v>130</v>
      </c>
      <c r="D6102" s="1" t="s">
        <v>131</v>
      </c>
      <c r="E6102" s="3">
        <v>6148</v>
      </c>
      <c r="F6102" s="1" t="s">
        <v>36</v>
      </c>
      <c r="G6102" s="1">
        <v>0</v>
      </c>
      <c r="H6102" s="1">
        <v>0</v>
      </c>
      <c r="I6102" s="1">
        <v>3.2305E-2</v>
      </c>
    </row>
    <row r="6103" spans="1:9" x14ac:dyDescent="0.25">
      <c r="A6103" s="1">
        <v>2500070210</v>
      </c>
      <c r="B6103" s="1" t="s">
        <v>3831</v>
      </c>
      <c r="C6103" s="1" t="s">
        <v>130</v>
      </c>
      <c r="D6103" s="1" t="s">
        <v>131</v>
      </c>
      <c r="E6103" s="3">
        <v>8996</v>
      </c>
      <c r="F6103" s="1" t="s">
        <v>36</v>
      </c>
      <c r="G6103" s="1">
        <v>0</v>
      </c>
      <c r="H6103" s="1">
        <v>0</v>
      </c>
      <c r="I6103" s="1">
        <v>2.9732999999999999E-2</v>
      </c>
    </row>
    <row r="6104" spans="1:9" x14ac:dyDescent="0.25">
      <c r="A6104" s="1">
        <v>2500070210</v>
      </c>
      <c r="B6104" s="1" t="s">
        <v>3831</v>
      </c>
      <c r="C6104" s="1" t="s">
        <v>126</v>
      </c>
      <c r="D6104" s="1" t="s">
        <v>127</v>
      </c>
      <c r="E6104" s="3">
        <v>4100</v>
      </c>
      <c r="F6104" s="1" t="s">
        <v>36</v>
      </c>
      <c r="G6104" s="1">
        <v>0</v>
      </c>
      <c r="H6104" s="1">
        <v>0</v>
      </c>
      <c r="I6104" s="1">
        <v>3.0363000000000001E-2</v>
      </c>
    </row>
    <row r="6105" spans="1:9" x14ac:dyDescent="0.25">
      <c r="A6105" s="1">
        <v>2500070211</v>
      </c>
      <c r="B6105" s="1" t="s">
        <v>3832</v>
      </c>
      <c r="C6105" s="1" t="s">
        <v>130</v>
      </c>
      <c r="D6105" s="1" t="s">
        <v>131</v>
      </c>
      <c r="E6105" s="3">
        <v>3660</v>
      </c>
      <c r="F6105" s="1" t="s">
        <v>36</v>
      </c>
      <c r="G6105" s="1">
        <v>0</v>
      </c>
      <c r="H6105" s="1">
        <v>0</v>
      </c>
      <c r="I6105" s="1">
        <v>3.9607000000000003E-2</v>
      </c>
    </row>
    <row r="6106" spans="1:9" x14ac:dyDescent="0.25">
      <c r="A6106" s="1">
        <v>2500070211</v>
      </c>
      <c r="B6106" s="1" t="s">
        <v>3832</v>
      </c>
      <c r="C6106" s="1" t="s">
        <v>126</v>
      </c>
      <c r="D6106" s="1" t="s">
        <v>127</v>
      </c>
      <c r="E6106" s="1">
        <v>500</v>
      </c>
      <c r="F6106" s="1" t="s">
        <v>36</v>
      </c>
      <c r="G6106" s="1">
        <v>0</v>
      </c>
      <c r="H6106" s="1">
        <v>0</v>
      </c>
      <c r="I6106" s="1">
        <v>4.0079999999999998E-2</v>
      </c>
    </row>
    <row r="6107" spans="1:9" x14ac:dyDescent="0.25">
      <c r="A6107" s="1">
        <v>2500070212</v>
      </c>
      <c r="B6107" s="1" t="s">
        <v>3833</v>
      </c>
      <c r="C6107" s="1" t="s">
        <v>130</v>
      </c>
      <c r="D6107" s="1" t="s">
        <v>131</v>
      </c>
      <c r="E6107" s="3">
        <v>5000</v>
      </c>
      <c r="F6107" s="1" t="s">
        <v>36</v>
      </c>
      <c r="G6107" s="1">
        <v>0</v>
      </c>
      <c r="H6107" s="1">
        <v>0</v>
      </c>
      <c r="I6107" s="1">
        <v>6.0479999999999999E-2</v>
      </c>
    </row>
    <row r="6108" spans="1:9" x14ac:dyDescent="0.25">
      <c r="A6108" s="1">
        <v>2500070213</v>
      </c>
      <c r="B6108" s="1" t="s">
        <v>3834</v>
      </c>
      <c r="C6108" s="1" t="s">
        <v>130</v>
      </c>
      <c r="D6108" s="1" t="s">
        <v>131</v>
      </c>
      <c r="E6108" s="3">
        <v>10140</v>
      </c>
      <c r="F6108" s="1" t="s">
        <v>36</v>
      </c>
      <c r="G6108" s="1">
        <v>0</v>
      </c>
      <c r="H6108" s="1">
        <v>0</v>
      </c>
      <c r="I6108" s="1">
        <v>2.7571999999999999E-2</v>
      </c>
    </row>
    <row r="6109" spans="1:9" x14ac:dyDescent="0.25">
      <c r="A6109" s="1">
        <v>2500070214</v>
      </c>
      <c r="B6109" s="1" t="s">
        <v>3835</v>
      </c>
      <c r="C6109" s="1" t="s">
        <v>130</v>
      </c>
      <c r="D6109" s="1" t="s">
        <v>131</v>
      </c>
      <c r="E6109" s="3">
        <v>1000</v>
      </c>
      <c r="F6109" s="1" t="s">
        <v>36</v>
      </c>
      <c r="G6109" s="1">
        <v>0</v>
      </c>
      <c r="H6109" s="3">
        <v>1240</v>
      </c>
      <c r="I6109" s="1">
        <v>5.4769999999999999E-2</v>
      </c>
    </row>
    <row r="6110" spans="1:9" x14ac:dyDescent="0.25">
      <c r="A6110" s="1">
        <v>2500070214</v>
      </c>
      <c r="B6110" s="1" t="s">
        <v>3835</v>
      </c>
      <c r="C6110" s="1" t="s">
        <v>142</v>
      </c>
      <c r="D6110" s="1" t="s">
        <v>143</v>
      </c>
      <c r="E6110" s="3">
        <v>2648</v>
      </c>
      <c r="F6110" s="1" t="s">
        <v>36</v>
      </c>
      <c r="G6110" s="3">
        <v>1240</v>
      </c>
      <c r="H6110" s="1">
        <v>0</v>
      </c>
      <c r="I6110" s="1">
        <v>5.4776999999999999E-2</v>
      </c>
    </row>
    <row r="6111" spans="1:9" x14ac:dyDescent="0.25">
      <c r="A6111" s="1">
        <v>2500070215</v>
      </c>
      <c r="B6111" s="1" t="s">
        <v>3836</v>
      </c>
      <c r="C6111" s="1" t="s">
        <v>130</v>
      </c>
      <c r="D6111" s="1" t="s">
        <v>131</v>
      </c>
      <c r="E6111" s="3">
        <v>5932</v>
      </c>
      <c r="F6111" s="1" t="s">
        <v>36</v>
      </c>
      <c r="G6111" s="1">
        <v>0</v>
      </c>
      <c r="H6111" s="1">
        <v>0</v>
      </c>
      <c r="I6111" s="1">
        <v>5.7467999999999998E-2</v>
      </c>
    </row>
    <row r="6112" spans="1:9" x14ac:dyDescent="0.25">
      <c r="A6112" s="1">
        <v>2500070215</v>
      </c>
      <c r="B6112" s="1" t="s">
        <v>3836</v>
      </c>
      <c r="C6112" s="1" t="s">
        <v>126</v>
      </c>
      <c r="D6112" s="1" t="s">
        <v>127</v>
      </c>
      <c r="E6112" s="1">
        <v>600</v>
      </c>
      <c r="F6112" s="1" t="s">
        <v>36</v>
      </c>
      <c r="G6112" s="1">
        <v>0</v>
      </c>
      <c r="H6112" s="1">
        <v>0</v>
      </c>
      <c r="I6112" s="1">
        <v>4.1300000000000003E-2</v>
      </c>
    </row>
    <row r="6113" spans="1:9" x14ac:dyDescent="0.25">
      <c r="A6113" s="1">
        <v>2500070216</v>
      </c>
      <c r="B6113" s="1" t="s">
        <v>3837</v>
      </c>
      <c r="C6113" s="1" t="s">
        <v>130</v>
      </c>
      <c r="D6113" s="1" t="s">
        <v>131</v>
      </c>
      <c r="E6113" s="3">
        <v>11245</v>
      </c>
      <c r="F6113" s="1" t="s">
        <v>36</v>
      </c>
      <c r="G6113" s="1">
        <v>0</v>
      </c>
      <c r="H6113" s="1">
        <v>0</v>
      </c>
      <c r="I6113" s="1">
        <v>5.5246000000000003E-2</v>
      </c>
    </row>
    <row r="6114" spans="1:9" x14ac:dyDescent="0.25">
      <c r="A6114" s="1">
        <v>2500070216</v>
      </c>
      <c r="B6114" s="1" t="s">
        <v>3837</v>
      </c>
      <c r="C6114" s="1" t="s">
        <v>126</v>
      </c>
      <c r="D6114" s="1" t="s">
        <v>127</v>
      </c>
      <c r="E6114" s="3">
        <v>1100</v>
      </c>
      <c r="F6114" s="1" t="s">
        <v>36</v>
      </c>
      <c r="G6114" s="1">
        <v>0</v>
      </c>
      <c r="H6114" s="1">
        <v>0</v>
      </c>
      <c r="I6114" s="1">
        <v>5.5245000000000002E-2</v>
      </c>
    </row>
    <row r="6115" spans="1:9" x14ac:dyDescent="0.25">
      <c r="A6115" s="1">
        <v>2500070217</v>
      </c>
      <c r="B6115" s="1" t="s">
        <v>3838</v>
      </c>
      <c r="C6115" s="1" t="s">
        <v>130</v>
      </c>
      <c r="D6115" s="1" t="s">
        <v>131</v>
      </c>
      <c r="E6115" s="3">
        <v>5000</v>
      </c>
      <c r="F6115" s="1" t="s">
        <v>36</v>
      </c>
      <c r="G6115" s="1">
        <v>0</v>
      </c>
      <c r="H6115" s="1">
        <v>0</v>
      </c>
      <c r="I6115" s="1">
        <v>5.7998000000000001E-2</v>
      </c>
    </row>
    <row r="6116" spans="1:9" x14ac:dyDescent="0.25">
      <c r="A6116" s="1">
        <v>2500070218</v>
      </c>
      <c r="B6116" s="1" t="s">
        <v>3839</v>
      </c>
      <c r="C6116" s="1" t="s">
        <v>130</v>
      </c>
      <c r="D6116" s="1" t="s">
        <v>131</v>
      </c>
      <c r="E6116" s="3">
        <v>8835</v>
      </c>
      <c r="F6116" s="1" t="s">
        <v>36</v>
      </c>
      <c r="G6116" s="1">
        <v>0</v>
      </c>
      <c r="H6116" s="1">
        <v>0</v>
      </c>
      <c r="I6116" s="1">
        <v>5.0526000000000001E-2</v>
      </c>
    </row>
    <row r="6117" spans="1:9" x14ac:dyDescent="0.25">
      <c r="A6117" s="1">
        <v>2500070219</v>
      </c>
      <c r="B6117" s="1" t="s">
        <v>3840</v>
      </c>
      <c r="C6117" s="1" t="s">
        <v>130</v>
      </c>
      <c r="D6117" s="1" t="s">
        <v>131</v>
      </c>
      <c r="E6117" s="3">
        <v>6972</v>
      </c>
      <c r="F6117" s="1" t="s">
        <v>36</v>
      </c>
      <c r="G6117" s="1">
        <v>0</v>
      </c>
      <c r="H6117" s="1">
        <v>0</v>
      </c>
      <c r="I6117" s="1">
        <v>5.7654999999999998E-2</v>
      </c>
    </row>
    <row r="6118" spans="1:9" x14ac:dyDescent="0.25">
      <c r="A6118" s="1">
        <v>2500070219</v>
      </c>
      <c r="B6118" s="1" t="s">
        <v>3840</v>
      </c>
      <c r="C6118" s="1" t="s">
        <v>126</v>
      </c>
      <c r="D6118" s="1" t="s">
        <v>127</v>
      </c>
      <c r="E6118" s="3">
        <v>8330</v>
      </c>
      <c r="F6118" s="1" t="s">
        <v>36</v>
      </c>
      <c r="G6118" s="1">
        <v>0</v>
      </c>
      <c r="H6118" s="1">
        <v>0</v>
      </c>
      <c r="I6118" s="1">
        <v>5.7654999999999998E-2</v>
      </c>
    </row>
    <row r="6119" spans="1:9" x14ac:dyDescent="0.25">
      <c r="A6119" s="1">
        <v>2500070220</v>
      </c>
      <c r="B6119" s="1" t="s">
        <v>3841</v>
      </c>
      <c r="C6119" s="1" t="s">
        <v>130</v>
      </c>
      <c r="D6119" s="1" t="s">
        <v>131</v>
      </c>
      <c r="E6119" s="3">
        <v>7430</v>
      </c>
      <c r="F6119" s="1" t="s">
        <v>36</v>
      </c>
      <c r="G6119" s="1">
        <v>0</v>
      </c>
      <c r="H6119" s="1">
        <v>0</v>
      </c>
      <c r="I6119" s="1">
        <v>4.6602999999999999E-2</v>
      </c>
    </row>
    <row r="6120" spans="1:9" x14ac:dyDescent="0.25">
      <c r="A6120" s="1">
        <v>2500070221</v>
      </c>
      <c r="B6120" s="1" t="s">
        <v>3842</v>
      </c>
      <c r="C6120" s="1" t="s">
        <v>130</v>
      </c>
      <c r="D6120" s="1" t="s">
        <v>131</v>
      </c>
      <c r="E6120" s="3">
        <v>3736</v>
      </c>
      <c r="F6120" s="1" t="s">
        <v>36</v>
      </c>
      <c r="G6120" s="1">
        <v>0</v>
      </c>
      <c r="H6120" s="1">
        <v>0</v>
      </c>
      <c r="I6120" s="1">
        <v>8.8808999999999999E-2</v>
      </c>
    </row>
    <row r="6121" spans="1:9" x14ac:dyDescent="0.25">
      <c r="A6121" s="1">
        <v>2500070221</v>
      </c>
      <c r="B6121" s="1" t="s">
        <v>3842</v>
      </c>
      <c r="C6121" s="1" t="s">
        <v>126</v>
      </c>
      <c r="D6121" s="1" t="s">
        <v>127</v>
      </c>
      <c r="E6121" s="3">
        <v>5420</v>
      </c>
      <c r="F6121" s="1" t="s">
        <v>36</v>
      </c>
      <c r="G6121" s="1">
        <v>0</v>
      </c>
      <c r="H6121" s="1">
        <v>0</v>
      </c>
      <c r="I6121" s="1">
        <v>8.8807999999999998E-2</v>
      </c>
    </row>
    <row r="6122" spans="1:9" x14ac:dyDescent="0.25">
      <c r="A6122" s="1">
        <v>2500070222</v>
      </c>
      <c r="B6122" s="1" t="s">
        <v>3843</v>
      </c>
      <c r="C6122" s="1" t="s">
        <v>130</v>
      </c>
      <c r="D6122" s="1" t="s">
        <v>131</v>
      </c>
      <c r="E6122" s="3">
        <v>3780</v>
      </c>
      <c r="F6122" s="1" t="s">
        <v>36</v>
      </c>
      <c r="G6122" s="1">
        <v>0</v>
      </c>
      <c r="H6122" s="1">
        <v>0</v>
      </c>
      <c r="I6122" s="1">
        <v>8.4557999999999994E-2</v>
      </c>
    </row>
    <row r="6123" spans="1:9" x14ac:dyDescent="0.25">
      <c r="A6123" s="1">
        <v>2500070222</v>
      </c>
      <c r="B6123" s="1" t="s">
        <v>3843</v>
      </c>
      <c r="C6123" s="1" t="s">
        <v>126</v>
      </c>
      <c r="D6123" s="1" t="s">
        <v>127</v>
      </c>
      <c r="E6123" s="1">
        <v>500</v>
      </c>
      <c r="F6123" s="1" t="s">
        <v>36</v>
      </c>
      <c r="G6123" s="1">
        <v>0</v>
      </c>
      <c r="H6123" s="1">
        <v>0</v>
      </c>
      <c r="I6123" s="1">
        <v>8.4559999999999996E-2</v>
      </c>
    </row>
    <row r="6124" spans="1:9" x14ac:dyDescent="0.25">
      <c r="A6124" s="1">
        <v>2500070223</v>
      </c>
      <c r="B6124" s="1" t="s">
        <v>3844</v>
      </c>
      <c r="C6124" s="1" t="s">
        <v>130</v>
      </c>
      <c r="D6124" s="1" t="s">
        <v>131</v>
      </c>
      <c r="E6124" s="3">
        <v>5660</v>
      </c>
      <c r="F6124" s="1" t="s">
        <v>36</v>
      </c>
      <c r="G6124" s="1">
        <v>0</v>
      </c>
      <c r="H6124" s="1">
        <v>0</v>
      </c>
      <c r="I6124" s="1">
        <v>6.8169999999999994E-2</v>
      </c>
    </row>
    <row r="6125" spans="1:9" x14ac:dyDescent="0.25">
      <c r="A6125" s="1">
        <v>2500070223</v>
      </c>
      <c r="B6125" s="1" t="s">
        <v>3844</v>
      </c>
      <c r="C6125" s="1" t="s">
        <v>126</v>
      </c>
      <c r="D6125" s="1" t="s">
        <v>127</v>
      </c>
      <c r="E6125" s="3">
        <v>2220</v>
      </c>
      <c r="F6125" s="1" t="s">
        <v>36</v>
      </c>
      <c r="G6125" s="1">
        <v>0</v>
      </c>
      <c r="H6125" s="1">
        <v>0</v>
      </c>
      <c r="I6125" s="1">
        <v>6.8170999999999995E-2</v>
      </c>
    </row>
    <row r="6126" spans="1:9" x14ac:dyDescent="0.25">
      <c r="A6126" s="1">
        <v>2500070224</v>
      </c>
      <c r="B6126" s="1" t="s">
        <v>3845</v>
      </c>
      <c r="C6126" s="1" t="s">
        <v>130</v>
      </c>
      <c r="D6126" s="1" t="s">
        <v>131</v>
      </c>
      <c r="E6126" s="3">
        <v>5020</v>
      </c>
      <c r="F6126" s="1" t="s">
        <v>36</v>
      </c>
      <c r="G6126" s="1">
        <v>0</v>
      </c>
      <c r="H6126" s="1">
        <v>0</v>
      </c>
      <c r="I6126" s="1">
        <v>8.8220999999999994E-2</v>
      </c>
    </row>
    <row r="6127" spans="1:9" x14ac:dyDescent="0.25">
      <c r="A6127" s="1">
        <v>2500070224</v>
      </c>
      <c r="B6127" s="1" t="s">
        <v>3845</v>
      </c>
      <c r="C6127" s="1" t="s">
        <v>126</v>
      </c>
      <c r="D6127" s="1" t="s">
        <v>127</v>
      </c>
      <c r="E6127" s="3">
        <v>2600</v>
      </c>
      <c r="F6127" s="1" t="s">
        <v>36</v>
      </c>
      <c r="G6127" s="1">
        <v>0</v>
      </c>
      <c r="H6127" s="1">
        <v>0</v>
      </c>
      <c r="I6127" s="1">
        <v>8.8219000000000006E-2</v>
      </c>
    </row>
    <row r="6128" spans="1:9" x14ac:dyDescent="0.25">
      <c r="A6128" s="1">
        <v>2500070225</v>
      </c>
      <c r="B6128" s="1" t="s">
        <v>3846</v>
      </c>
      <c r="C6128" s="1" t="s">
        <v>130</v>
      </c>
      <c r="D6128" s="1" t="s">
        <v>131</v>
      </c>
      <c r="E6128" s="1">
        <v>686</v>
      </c>
      <c r="F6128" s="1" t="s">
        <v>36</v>
      </c>
      <c r="G6128" s="1">
        <v>0</v>
      </c>
      <c r="H6128" s="1">
        <v>0</v>
      </c>
      <c r="I6128" s="1">
        <v>9.6851000000000007E-2</v>
      </c>
    </row>
    <row r="6129" spans="1:9" x14ac:dyDescent="0.25">
      <c r="A6129" s="1">
        <v>2500070225</v>
      </c>
      <c r="B6129" s="1" t="s">
        <v>3846</v>
      </c>
      <c r="C6129" s="1" t="s">
        <v>126</v>
      </c>
      <c r="D6129" s="1" t="s">
        <v>127</v>
      </c>
      <c r="E6129" s="3">
        <v>3950</v>
      </c>
      <c r="F6129" s="1" t="s">
        <v>36</v>
      </c>
      <c r="G6129" s="1">
        <v>0</v>
      </c>
      <c r="H6129" s="1">
        <v>0</v>
      </c>
      <c r="I6129" s="1">
        <v>9.6852999999999995E-2</v>
      </c>
    </row>
    <row r="6130" spans="1:9" x14ac:dyDescent="0.25">
      <c r="A6130" s="1">
        <v>2500070226</v>
      </c>
      <c r="B6130" s="1" t="s">
        <v>3847</v>
      </c>
      <c r="C6130" s="1" t="s">
        <v>130</v>
      </c>
      <c r="D6130" s="1" t="s">
        <v>131</v>
      </c>
      <c r="E6130" s="3">
        <v>151532</v>
      </c>
      <c r="F6130" s="1" t="s">
        <v>36</v>
      </c>
      <c r="G6130" s="3">
        <v>61000</v>
      </c>
      <c r="H6130" s="1">
        <v>0</v>
      </c>
      <c r="I6130" s="1">
        <v>1.6774000000000001E-2</v>
      </c>
    </row>
    <row r="6131" spans="1:9" x14ac:dyDescent="0.25">
      <c r="A6131" s="1">
        <v>2500070226</v>
      </c>
      <c r="B6131" s="1" t="s">
        <v>3847</v>
      </c>
      <c r="C6131" s="1" t="s">
        <v>142</v>
      </c>
      <c r="D6131" s="1" t="s">
        <v>143</v>
      </c>
      <c r="E6131" s="3">
        <v>11184</v>
      </c>
      <c r="F6131" s="1" t="s">
        <v>36</v>
      </c>
      <c r="G6131" s="1">
        <v>0</v>
      </c>
      <c r="H6131" s="3">
        <v>61000</v>
      </c>
      <c r="I6131" s="1">
        <v>1.6774000000000001E-2</v>
      </c>
    </row>
    <row r="6132" spans="1:9" x14ac:dyDescent="0.25">
      <c r="A6132" s="1">
        <v>2500070227</v>
      </c>
      <c r="B6132" s="1" t="s">
        <v>3848</v>
      </c>
      <c r="C6132" s="1" t="s">
        <v>130</v>
      </c>
      <c r="D6132" s="1" t="s">
        <v>131</v>
      </c>
      <c r="E6132" s="3">
        <v>27000</v>
      </c>
      <c r="F6132" s="1" t="s">
        <v>36</v>
      </c>
      <c r="G6132" s="1">
        <v>0</v>
      </c>
      <c r="H6132" s="1">
        <v>0</v>
      </c>
      <c r="I6132" s="1">
        <v>2.0829E-2</v>
      </c>
    </row>
    <row r="6133" spans="1:9" x14ac:dyDescent="0.25">
      <c r="A6133" s="1">
        <v>2500070256</v>
      </c>
      <c r="B6133" s="1" t="s">
        <v>2902</v>
      </c>
      <c r="C6133" s="1" t="s">
        <v>130</v>
      </c>
      <c r="D6133" s="1" t="s">
        <v>131</v>
      </c>
      <c r="E6133" s="1">
        <v>165</v>
      </c>
      <c r="F6133" s="1" t="s">
        <v>36</v>
      </c>
      <c r="G6133" s="1">
        <v>0</v>
      </c>
      <c r="H6133" s="1">
        <v>0</v>
      </c>
      <c r="I6133" s="1">
        <v>0.22503000000000001</v>
      </c>
    </row>
    <row r="6134" spans="1:9" x14ac:dyDescent="0.25">
      <c r="A6134" s="1">
        <v>2500070363</v>
      </c>
      <c r="B6134" s="1" t="s">
        <v>3849</v>
      </c>
      <c r="C6134" s="1" t="s">
        <v>130</v>
      </c>
      <c r="D6134" s="1" t="s">
        <v>131</v>
      </c>
      <c r="E6134" s="3">
        <v>19650</v>
      </c>
      <c r="F6134" s="1" t="s">
        <v>36</v>
      </c>
      <c r="G6134" s="1">
        <v>0</v>
      </c>
      <c r="H6134" s="1">
        <v>0</v>
      </c>
      <c r="I6134" s="1">
        <v>1.0808E-2</v>
      </c>
    </row>
    <row r="6135" spans="1:9" x14ac:dyDescent="0.25">
      <c r="A6135" s="1">
        <v>2500070363</v>
      </c>
      <c r="B6135" s="1" t="s">
        <v>3849</v>
      </c>
      <c r="C6135" s="1" t="s">
        <v>126</v>
      </c>
      <c r="D6135" s="1" t="s">
        <v>127</v>
      </c>
      <c r="E6135" s="3">
        <v>30530</v>
      </c>
      <c r="F6135" s="1" t="s">
        <v>36</v>
      </c>
      <c r="G6135" s="1">
        <v>0</v>
      </c>
      <c r="H6135" s="1">
        <v>0</v>
      </c>
      <c r="I6135" s="1">
        <v>1.2187E-2</v>
      </c>
    </row>
    <row r="6136" spans="1:9" x14ac:dyDescent="0.25">
      <c r="A6136" s="1">
        <v>2500070398</v>
      </c>
      <c r="B6136" s="1" t="s">
        <v>3850</v>
      </c>
      <c r="C6136" s="1" t="s">
        <v>167</v>
      </c>
      <c r="D6136" s="1" t="s">
        <v>168</v>
      </c>
      <c r="E6136" s="1">
        <v>900</v>
      </c>
      <c r="F6136" s="1" t="s">
        <v>36</v>
      </c>
      <c r="G6136" s="1">
        <v>0</v>
      </c>
      <c r="H6136" s="1">
        <v>0</v>
      </c>
      <c r="I6136" s="1">
        <v>0.52500000000000002</v>
      </c>
    </row>
    <row r="6137" spans="1:9" x14ac:dyDescent="0.25">
      <c r="A6137" s="1">
        <v>2500070399</v>
      </c>
      <c r="B6137" s="1" t="s">
        <v>3851</v>
      </c>
      <c r="C6137" s="1" t="s">
        <v>167</v>
      </c>
      <c r="D6137" s="1" t="s">
        <v>168</v>
      </c>
      <c r="E6137" s="1">
        <v>900</v>
      </c>
      <c r="F6137" s="1" t="s">
        <v>36</v>
      </c>
      <c r="G6137" s="1">
        <v>0</v>
      </c>
      <c r="H6137" s="1">
        <v>0</v>
      </c>
      <c r="I6137" s="1">
        <v>0.52500000000000002</v>
      </c>
    </row>
    <row r="6138" spans="1:9" x14ac:dyDescent="0.25">
      <c r="A6138" s="1">
        <v>2500070400</v>
      </c>
      <c r="B6138" s="1" t="s">
        <v>3852</v>
      </c>
      <c r="C6138" s="1" t="s">
        <v>167</v>
      </c>
      <c r="D6138" s="1" t="s">
        <v>168</v>
      </c>
      <c r="E6138" s="1">
        <v>900</v>
      </c>
      <c r="F6138" s="1" t="s">
        <v>36</v>
      </c>
      <c r="G6138" s="1">
        <v>0</v>
      </c>
      <c r="H6138" s="3">
        <v>0</v>
      </c>
      <c r="I6138" s="1">
        <v>0.52500000000000002</v>
      </c>
    </row>
    <row r="6139" spans="1:9" x14ac:dyDescent="0.25">
      <c r="A6139" s="1">
        <v>2500070401</v>
      </c>
      <c r="B6139" s="1" t="s">
        <v>3853</v>
      </c>
      <c r="C6139" s="1" t="s">
        <v>167</v>
      </c>
      <c r="D6139" s="1" t="s">
        <v>168</v>
      </c>
      <c r="E6139" s="1">
        <v>900</v>
      </c>
      <c r="F6139" s="1" t="s">
        <v>36</v>
      </c>
      <c r="G6139" s="1">
        <v>0</v>
      </c>
      <c r="H6139" s="1">
        <v>0</v>
      </c>
      <c r="I6139" s="1">
        <v>0.52500000000000002</v>
      </c>
    </row>
    <row r="6140" spans="1:9" x14ac:dyDescent="0.25">
      <c r="A6140" s="1">
        <v>2500070402</v>
      </c>
      <c r="B6140" s="1" t="s">
        <v>3854</v>
      </c>
      <c r="C6140" s="1" t="s">
        <v>167</v>
      </c>
      <c r="D6140" s="1" t="s">
        <v>168</v>
      </c>
      <c r="E6140" s="1">
        <v>899</v>
      </c>
      <c r="F6140" s="1" t="s">
        <v>36</v>
      </c>
      <c r="G6140" s="1">
        <v>0</v>
      </c>
      <c r="H6140" s="1">
        <v>0</v>
      </c>
      <c r="I6140" s="1">
        <v>0.89</v>
      </c>
    </row>
    <row r="6141" spans="1:9" x14ac:dyDescent="0.25">
      <c r="A6141" s="1">
        <v>2500070402</v>
      </c>
      <c r="B6141" s="1" t="s">
        <v>3854</v>
      </c>
      <c r="C6141" s="1" t="s">
        <v>137</v>
      </c>
      <c r="D6141" s="1" t="s">
        <v>138</v>
      </c>
      <c r="E6141" s="1">
        <v>100</v>
      </c>
      <c r="F6141" s="1" t="s">
        <v>36</v>
      </c>
      <c r="G6141" s="1">
        <v>0</v>
      </c>
      <c r="H6141" s="1">
        <v>0</v>
      </c>
      <c r="I6141" s="1">
        <v>0.89</v>
      </c>
    </row>
    <row r="6142" spans="1:9" x14ac:dyDescent="0.25">
      <c r="A6142" s="1">
        <v>2500070403</v>
      </c>
      <c r="B6142" s="1" t="s">
        <v>3855</v>
      </c>
      <c r="C6142" s="1" t="s">
        <v>167</v>
      </c>
      <c r="D6142" s="1" t="s">
        <v>168</v>
      </c>
      <c r="E6142" s="1">
        <v>899</v>
      </c>
      <c r="F6142" s="1" t="s">
        <v>36</v>
      </c>
      <c r="G6142" s="1">
        <v>0</v>
      </c>
      <c r="H6142" s="1">
        <v>0</v>
      </c>
      <c r="I6142" s="1">
        <v>0.89</v>
      </c>
    </row>
    <row r="6143" spans="1:9" x14ac:dyDescent="0.25">
      <c r="A6143" s="1">
        <v>2500070403</v>
      </c>
      <c r="B6143" s="1" t="s">
        <v>3855</v>
      </c>
      <c r="C6143" s="1" t="s">
        <v>137</v>
      </c>
      <c r="D6143" s="1" t="s">
        <v>138</v>
      </c>
      <c r="E6143" s="1">
        <v>100</v>
      </c>
      <c r="F6143" s="1" t="s">
        <v>36</v>
      </c>
      <c r="G6143" s="1">
        <v>0</v>
      </c>
      <c r="H6143" s="1">
        <v>0</v>
      </c>
      <c r="I6143" s="1">
        <v>0.89</v>
      </c>
    </row>
    <row r="6144" spans="1:9" x14ac:dyDescent="0.25">
      <c r="A6144" s="1">
        <v>2500070404</v>
      </c>
      <c r="B6144" s="1" t="s">
        <v>3856</v>
      </c>
      <c r="C6144" s="1" t="s">
        <v>167</v>
      </c>
      <c r="D6144" s="1" t="s">
        <v>168</v>
      </c>
      <c r="E6144" s="3">
        <v>3680</v>
      </c>
      <c r="F6144" s="1" t="s">
        <v>36</v>
      </c>
      <c r="G6144" s="1">
        <v>0</v>
      </c>
      <c r="H6144" s="1">
        <v>0</v>
      </c>
      <c r="I6144" s="1">
        <v>0.46500000000000002</v>
      </c>
    </row>
    <row r="6145" spans="1:9" x14ac:dyDescent="0.25">
      <c r="A6145" s="1">
        <v>2500070414</v>
      </c>
      <c r="B6145" s="1" t="s">
        <v>3857</v>
      </c>
      <c r="C6145" s="1" t="s">
        <v>130</v>
      </c>
      <c r="D6145" s="1" t="s">
        <v>131</v>
      </c>
      <c r="E6145" s="3">
        <v>142864</v>
      </c>
      <c r="F6145" s="1" t="s">
        <v>36</v>
      </c>
      <c r="G6145" s="1">
        <v>0</v>
      </c>
      <c r="H6145" s="1">
        <v>0</v>
      </c>
      <c r="I6145" s="1">
        <v>2.6703000000000001E-2</v>
      </c>
    </row>
    <row r="6146" spans="1:9" x14ac:dyDescent="0.25">
      <c r="A6146" s="1">
        <v>2500070426</v>
      </c>
      <c r="B6146" s="1" t="s">
        <v>3858</v>
      </c>
      <c r="C6146" s="1" t="s">
        <v>126</v>
      </c>
      <c r="D6146" s="1" t="s">
        <v>127</v>
      </c>
      <c r="E6146" s="3">
        <v>1152</v>
      </c>
      <c r="F6146" s="1" t="s">
        <v>36</v>
      </c>
      <c r="G6146" s="1">
        <v>0</v>
      </c>
      <c r="H6146" s="1">
        <v>0</v>
      </c>
      <c r="I6146" s="1">
        <v>0.43456600000000001</v>
      </c>
    </row>
    <row r="6147" spans="1:9" x14ac:dyDescent="0.25">
      <c r="A6147" s="1">
        <v>2500070430</v>
      </c>
      <c r="B6147" s="1" t="s">
        <v>3859</v>
      </c>
      <c r="C6147" s="1" t="s">
        <v>130</v>
      </c>
      <c r="D6147" s="1" t="s">
        <v>131</v>
      </c>
      <c r="E6147" s="3">
        <v>1030</v>
      </c>
      <c r="F6147" s="1" t="s">
        <v>36</v>
      </c>
      <c r="G6147" s="1">
        <v>0</v>
      </c>
      <c r="H6147" s="1">
        <v>0</v>
      </c>
      <c r="I6147" s="1">
        <v>6.2290999999999999E-2</v>
      </c>
    </row>
    <row r="6148" spans="1:9" x14ac:dyDescent="0.25">
      <c r="A6148" s="1">
        <v>2500070473</v>
      </c>
      <c r="B6148" s="1" t="s">
        <v>3860</v>
      </c>
      <c r="C6148" s="1" t="s">
        <v>130</v>
      </c>
      <c r="D6148" s="1" t="s">
        <v>131</v>
      </c>
      <c r="E6148" s="1">
        <v>38</v>
      </c>
      <c r="F6148" s="1" t="s">
        <v>36</v>
      </c>
      <c r="G6148" s="1">
        <v>0</v>
      </c>
      <c r="H6148" s="1">
        <v>0</v>
      </c>
      <c r="I6148" s="1">
        <v>3.8157999999999997E-2</v>
      </c>
    </row>
    <row r="6149" spans="1:9" x14ac:dyDescent="0.25">
      <c r="A6149" s="1">
        <v>2500070479</v>
      </c>
      <c r="B6149" s="1" t="s">
        <v>3861</v>
      </c>
      <c r="C6149" s="1" t="s">
        <v>130</v>
      </c>
      <c r="D6149" s="1" t="s">
        <v>131</v>
      </c>
      <c r="E6149" s="1">
        <v>150</v>
      </c>
      <c r="F6149" s="1" t="s">
        <v>36</v>
      </c>
      <c r="G6149" s="1">
        <v>0</v>
      </c>
      <c r="H6149" s="1">
        <v>0</v>
      </c>
      <c r="I6149" s="1">
        <v>2.3333E-2</v>
      </c>
    </row>
    <row r="6150" spans="1:9" x14ac:dyDescent="0.25">
      <c r="A6150" s="1">
        <v>2500070480</v>
      </c>
      <c r="B6150" s="1" t="s">
        <v>3862</v>
      </c>
      <c r="C6150" s="1" t="s">
        <v>130</v>
      </c>
      <c r="D6150" s="1" t="s">
        <v>131</v>
      </c>
      <c r="E6150" s="3">
        <v>3260</v>
      </c>
      <c r="F6150" s="1" t="s">
        <v>36</v>
      </c>
      <c r="G6150" s="1">
        <v>0</v>
      </c>
      <c r="H6150" s="1">
        <v>0</v>
      </c>
      <c r="I6150" s="1">
        <v>2.1672E-2</v>
      </c>
    </row>
    <row r="6151" spans="1:9" x14ac:dyDescent="0.25">
      <c r="A6151" s="1">
        <v>2500070482</v>
      </c>
      <c r="B6151" s="1" t="s">
        <v>3863</v>
      </c>
      <c r="C6151" s="1" t="s">
        <v>130</v>
      </c>
      <c r="D6151" s="1" t="s">
        <v>131</v>
      </c>
      <c r="E6151" s="1">
        <v>63</v>
      </c>
      <c r="F6151" s="1" t="s">
        <v>36</v>
      </c>
      <c r="G6151" s="1">
        <v>0</v>
      </c>
      <c r="H6151" s="1">
        <v>0</v>
      </c>
      <c r="I6151" s="1">
        <v>2.6190000000000001E-2</v>
      </c>
    </row>
    <row r="6152" spans="1:9" x14ac:dyDescent="0.25">
      <c r="A6152" s="1">
        <v>2500070483</v>
      </c>
      <c r="B6152" s="1" t="s">
        <v>3864</v>
      </c>
      <c r="C6152" s="1" t="s">
        <v>130</v>
      </c>
      <c r="D6152" s="1" t="s">
        <v>131</v>
      </c>
      <c r="E6152" s="3">
        <v>2620</v>
      </c>
      <c r="F6152" s="1" t="s">
        <v>36</v>
      </c>
      <c r="G6152" s="1">
        <v>0</v>
      </c>
      <c r="H6152" s="1">
        <v>0</v>
      </c>
      <c r="I6152" s="1">
        <v>2.1923999999999999E-2</v>
      </c>
    </row>
    <row r="6153" spans="1:9" x14ac:dyDescent="0.25">
      <c r="A6153" s="1">
        <v>2500070484</v>
      </c>
      <c r="B6153" s="1" t="s">
        <v>3865</v>
      </c>
      <c r="C6153" s="1" t="s">
        <v>130</v>
      </c>
      <c r="D6153" s="1" t="s">
        <v>131</v>
      </c>
      <c r="E6153" s="3">
        <v>2968</v>
      </c>
      <c r="F6153" s="1" t="s">
        <v>36</v>
      </c>
      <c r="G6153" s="1">
        <v>0</v>
      </c>
      <c r="H6153" s="1">
        <v>0</v>
      </c>
      <c r="I6153" s="1">
        <v>2.5167999999999999E-2</v>
      </c>
    </row>
    <row r="6154" spans="1:9" x14ac:dyDescent="0.25">
      <c r="A6154" s="1">
        <v>2500070486</v>
      </c>
      <c r="B6154" s="1" t="s">
        <v>3866</v>
      </c>
      <c r="C6154" s="1" t="s">
        <v>130</v>
      </c>
      <c r="D6154" s="1" t="s">
        <v>131</v>
      </c>
      <c r="E6154" s="1">
        <v>679</v>
      </c>
      <c r="F6154" s="1" t="s">
        <v>36</v>
      </c>
      <c r="G6154" s="1">
        <v>0</v>
      </c>
      <c r="H6154" s="1">
        <v>0</v>
      </c>
      <c r="I6154" s="1">
        <v>2.5964999999999998E-2</v>
      </c>
    </row>
    <row r="6155" spans="1:9" x14ac:dyDescent="0.25">
      <c r="A6155" s="1">
        <v>2500070494</v>
      </c>
      <c r="B6155" s="1" t="s">
        <v>3867</v>
      </c>
      <c r="C6155" s="1" t="s">
        <v>130</v>
      </c>
      <c r="D6155" s="1" t="s">
        <v>131</v>
      </c>
      <c r="E6155" s="1">
        <v>301</v>
      </c>
      <c r="F6155" s="1" t="s">
        <v>36</v>
      </c>
      <c r="G6155" s="1">
        <v>0</v>
      </c>
      <c r="H6155" s="1">
        <v>0</v>
      </c>
      <c r="I6155" s="1">
        <v>2.4485E-2</v>
      </c>
    </row>
    <row r="6156" spans="1:9" x14ac:dyDescent="0.25">
      <c r="A6156" s="1">
        <v>2500070495</v>
      </c>
      <c r="B6156" s="1" t="s">
        <v>3868</v>
      </c>
      <c r="C6156" s="1" t="s">
        <v>130</v>
      </c>
      <c r="D6156" s="1" t="s">
        <v>131</v>
      </c>
      <c r="E6156" s="1">
        <v>208</v>
      </c>
      <c r="F6156" s="1" t="s">
        <v>36</v>
      </c>
      <c r="G6156" s="1">
        <v>0</v>
      </c>
      <c r="H6156" s="1">
        <v>0</v>
      </c>
      <c r="I6156" s="1">
        <v>5.8221000000000002E-2</v>
      </c>
    </row>
    <row r="6157" spans="1:9" x14ac:dyDescent="0.25">
      <c r="A6157" s="1">
        <v>2500070497</v>
      </c>
      <c r="B6157" s="1" t="s">
        <v>3869</v>
      </c>
      <c r="C6157" s="1" t="s">
        <v>130</v>
      </c>
      <c r="D6157" s="1" t="s">
        <v>131</v>
      </c>
      <c r="E6157" s="1">
        <v>25</v>
      </c>
      <c r="F6157" s="1" t="s">
        <v>36</v>
      </c>
      <c r="G6157" s="1">
        <v>0</v>
      </c>
      <c r="H6157" s="1">
        <v>0</v>
      </c>
      <c r="I6157" s="1">
        <v>2.7199999999999998E-2</v>
      </c>
    </row>
    <row r="6158" spans="1:9" x14ac:dyDescent="0.25">
      <c r="A6158" s="1">
        <v>2500070498</v>
      </c>
      <c r="B6158" s="1" t="s">
        <v>3870</v>
      </c>
      <c r="C6158" s="1" t="s">
        <v>130</v>
      </c>
      <c r="D6158" s="1" t="s">
        <v>131</v>
      </c>
      <c r="E6158" s="3">
        <v>2173</v>
      </c>
      <c r="F6158" s="1" t="s">
        <v>36</v>
      </c>
      <c r="G6158" s="1">
        <v>0</v>
      </c>
      <c r="H6158" s="1">
        <v>0</v>
      </c>
      <c r="I6158" s="1">
        <v>2.7598000000000001E-2</v>
      </c>
    </row>
    <row r="6159" spans="1:9" x14ac:dyDescent="0.25">
      <c r="A6159" s="1">
        <v>2500070499</v>
      </c>
      <c r="B6159" s="1" t="s">
        <v>3871</v>
      </c>
      <c r="C6159" s="1" t="s">
        <v>130</v>
      </c>
      <c r="D6159" s="1" t="s">
        <v>131</v>
      </c>
      <c r="E6159" s="3">
        <v>3658</v>
      </c>
      <c r="F6159" s="1" t="s">
        <v>36</v>
      </c>
      <c r="G6159" s="1">
        <v>0</v>
      </c>
      <c r="H6159" s="1">
        <v>0</v>
      </c>
      <c r="I6159" s="1">
        <v>2.9843999999999999E-2</v>
      </c>
    </row>
    <row r="6160" spans="1:9" x14ac:dyDescent="0.25">
      <c r="A6160" s="1">
        <v>2500070501</v>
      </c>
      <c r="B6160" s="1" t="s">
        <v>3872</v>
      </c>
      <c r="C6160" s="1" t="s">
        <v>130</v>
      </c>
      <c r="D6160" s="1" t="s">
        <v>131</v>
      </c>
      <c r="E6160" s="3">
        <v>2909</v>
      </c>
      <c r="F6160" s="1" t="s">
        <v>36</v>
      </c>
      <c r="G6160" s="1">
        <v>0</v>
      </c>
      <c r="H6160" s="3">
        <v>10000</v>
      </c>
      <c r="I6160" s="1">
        <v>2.9305999999999999E-2</v>
      </c>
    </row>
    <row r="6161" spans="1:9" x14ac:dyDescent="0.25">
      <c r="A6161" s="1">
        <v>2500070516</v>
      </c>
      <c r="B6161" s="1" t="s">
        <v>3873</v>
      </c>
      <c r="C6161" s="1" t="s">
        <v>130</v>
      </c>
      <c r="D6161" s="1" t="s">
        <v>131</v>
      </c>
      <c r="E6161" s="3">
        <v>24000</v>
      </c>
      <c r="F6161" s="1" t="s">
        <v>36</v>
      </c>
      <c r="G6161" s="1">
        <v>0</v>
      </c>
      <c r="H6161" s="1">
        <v>0</v>
      </c>
      <c r="I6161" s="1">
        <v>1.0753E-2</v>
      </c>
    </row>
    <row r="6162" spans="1:9" x14ac:dyDescent="0.25">
      <c r="A6162" s="1">
        <v>2500070518</v>
      </c>
      <c r="B6162" s="1" t="s">
        <v>3874</v>
      </c>
      <c r="C6162" s="1" t="s">
        <v>130</v>
      </c>
      <c r="D6162" s="1" t="s">
        <v>131</v>
      </c>
      <c r="E6162" s="3">
        <v>5732</v>
      </c>
      <c r="F6162" s="1" t="s">
        <v>36</v>
      </c>
      <c r="G6162" s="1">
        <v>0</v>
      </c>
      <c r="H6162" s="1">
        <v>0</v>
      </c>
      <c r="I6162" s="1">
        <v>2.1645000000000001E-2</v>
      </c>
    </row>
    <row r="6163" spans="1:9" x14ac:dyDescent="0.25">
      <c r="A6163" s="1">
        <v>2500070519</v>
      </c>
      <c r="B6163" s="1" t="s">
        <v>3875</v>
      </c>
      <c r="C6163" s="1" t="s">
        <v>130</v>
      </c>
      <c r="D6163" s="1" t="s">
        <v>131</v>
      </c>
      <c r="E6163" s="3">
        <v>5478</v>
      </c>
      <c r="F6163" s="1" t="s">
        <v>36</v>
      </c>
      <c r="G6163" s="1">
        <v>0</v>
      </c>
      <c r="H6163" s="1">
        <v>0</v>
      </c>
      <c r="I6163" s="1">
        <v>2.1652000000000001E-2</v>
      </c>
    </row>
    <row r="6164" spans="1:9" x14ac:dyDescent="0.25">
      <c r="A6164" s="1">
        <v>2500070520</v>
      </c>
      <c r="B6164" s="1" t="s">
        <v>3876</v>
      </c>
      <c r="C6164" s="1" t="s">
        <v>130</v>
      </c>
      <c r="D6164" s="1" t="s">
        <v>131</v>
      </c>
      <c r="E6164" s="3">
        <v>370416</v>
      </c>
      <c r="F6164" s="1" t="s">
        <v>36</v>
      </c>
      <c r="G6164" s="3">
        <v>20000</v>
      </c>
      <c r="H6164" s="1">
        <v>0</v>
      </c>
      <c r="I6164" s="1">
        <v>1.2921999999999999E-2</v>
      </c>
    </row>
    <row r="6165" spans="1:9" x14ac:dyDescent="0.25">
      <c r="A6165" s="1">
        <v>2500070520</v>
      </c>
      <c r="B6165" s="1" t="s">
        <v>3876</v>
      </c>
      <c r="C6165" s="1" t="s">
        <v>142</v>
      </c>
      <c r="D6165" s="1" t="s">
        <v>143</v>
      </c>
      <c r="E6165" s="1">
        <v>0</v>
      </c>
      <c r="F6165" s="1" t="s">
        <v>36</v>
      </c>
      <c r="G6165" s="1">
        <v>0</v>
      </c>
      <c r="H6165" s="3">
        <v>20000</v>
      </c>
      <c r="I6165" s="1">
        <v>1.2919E-2</v>
      </c>
    </row>
    <row r="6166" spans="1:9" x14ac:dyDescent="0.25">
      <c r="A6166" s="1">
        <v>2500070521</v>
      </c>
      <c r="B6166" s="1" t="s">
        <v>3877</v>
      </c>
      <c r="C6166" s="1" t="s">
        <v>126</v>
      </c>
      <c r="D6166" s="1" t="s">
        <v>127</v>
      </c>
      <c r="E6166" s="1">
        <v>800</v>
      </c>
      <c r="F6166" s="1" t="s">
        <v>36</v>
      </c>
      <c r="G6166" s="1">
        <v>0</v>
      </c>
      <c r="H6166" s="1">
        <v>0</v>
      </c>
      <c r="I6166" s="1">
        <v>0.25281300000000001</v>
      </c>
    </row>
    <row r="6167" spans="1:9" x14ac:dyDescent="0.25">
      <c r="A6167" s="1">
        <v>2500070522</v>
      </c>
      <c r="B6167" s="1" t="s">
        <v>3878</v>
      </c>
      <c r="C6167" s="1" t="s">
        <v>126</v>
      </c>
      <c r="D6167" s="1" t="s">
        <v>127</v>
      </c>
      <c r="E6167" s="1">
        <v>940</v>
      </c>
      <c r="F6167" s="1" t="s">
        <v>36</v>
      </c>
      <c r="G6167" s="1">
        <v>0</v>
      </c>
      <c r="H6167" s="1">
        <v>0</v>
      </c>
      <c r="I6167" s="1">
        <v>0.22097900000000001</v>
      </c>
    </row>
    <row r="6168" spans="1:9" x14ac:dyDescent="0.25">
      <c r="A6168" s="1">
        <v>2500070523</v>
      </c>
      <c r="B6168" s="1" t="s">
        <v>3879</v>
      </c>
      <c r="C6168" s="1" t="s">
        <v>126</v>
      </c>
      <c r="D6168" s="1" t="s">
        <v>127</v>
      </c>
      <c r="E6168" s="3">
        <v>4670</v>
      </c>
      <c r="F6168" s="1" t="s">
        <v>36</v>
      </c>
      <c r="G6168" s="1">
        <v>0</v>
      </c>
      <c r="H6168" s="1">
        <v>0</v>
      </c>
      <c r="I6168" s="1">
        <v>7.5569999999999998E-2</v>
      </c>
    </row>
    <row r="6169" spans="1:9" x14ac:dyDescent="0.25">
      <c r="A6169" s="1">
        <v>2500070524</v>
      </c>
      <c r="B6169" s="1" t="s">
        <v>3880</v>
      </c>
      <c r="C6169" s="1" t="s">
        <v>126</v>
      </c>
      <c r="D6169" s="1" t="s">
        <v>127</v>
      </c>
      <c r="E6169" s="3">
        <v>4925</v>
      </c>
      <c r="F6169" s="1" t="s">
        <v>36</v>
      </c>
      <c r="G6169" s="1">
        <v>0</v>
      </c>
      <c r="H6169" s="1">
        <v>0</v>
      </c>
      <c r="I6169" s="1">
        <v>7.5569999999999998E-2</v>
      </c>
    </row>
    <row r="6170" spans="1:9" x14ac:dyDescent="0.25">
      <c r="A6170" s="1">
        <v>2500070525</v>
      </c>
      <c r="B6170" s="1" t="s">
        <v>3881</v>
      </c>
      <c r="C6170" s="1" t="s">
        <v>126</v>
      </c>
      <c r="D6170" s="1" t="s">
        <v>127</v>
      </c>
      <c r="E6170" s="3">
        <v>4480</v>
      </c>
      <c r="F6170" s="1" t="s">
        <v>36</v>
      </c>
      <c r="G6170" s="1">
        <v>0</v>
      </c>
      <c r="H6170" s="1">
        <v>0</v>
      </c>
      <c r="I6170" s="1">
        <v>7.5568999999999997E-2</v>
      </c>
    </row>
    <row r="6171" spans="1:9" x14ac:dyDescent="0.25">
      <c r="A6171" s="1">
        <v>2500070526</v>
      </c>
      <c r="B6171" s="1" t="s">
        <v>3882</v>
      </c>
      <c r="C6171" s="1" t="s">
        <v>126</v>
      </c>
      <c r="D6171" s="1" t="s">
        <v>127</v>
      </c>
      <c r="E6171" s="1">
        <v>630</v>
      </c>
      <c r="F6171" s="1" t="s">
        <v>36</v>
      </c>
      <c r="G6171" s="3">
        <v>0</v>
      </c>
      <c r="H6171" s="3">
        <v>0</v>
      </c>
      <c r="I6171" s="1">
        <v>7.5698000000000001E-2</v>
      </c>
    </row>
    <row r="6172" spans="1:9" x14ac:dyDescent="0.25">
      <c r="A6172" s="1">
        <v>2500070527</v>
      </c>
      <c r="B6172" s="1" t="s">
        <v>3883</v>
      </c>
      <c r="C6172" s="1" t="s">
        <v>126</v>
      </c>
      <c r="D6172" s="1" t="s">
        <v>127</v>
      </c>
      <c r="E6172" s="1">
        <v>370</v>
      </c>
      <c r="F6172" s="1" t="s">
        <v>36</v>
      </c>
      <c r="G6172" s="1">
        <v>0</v>
      </c>
      <c r="H6172" s="1">
        <v>0</v>
      </c>
      <c r="I6172" s="1">
        <v>7.5567999999999996E-2</v>
      </c>
    </row>
    <row r="6173" spans="1:9" x14ac:dyDescent="0.25">
      <c r="A6173" s="1">
        <v>2500070528</v>
      </c>
      <c r="B6173" s="1" t="s">
        <v>3884</v>
      </c>
      <c r="C6173" s="1" t="s">
        <v>126</v>
      </c>
      <c r="D6173" s="1" t="s">
        <v>127</v>
      </c>
      <c r="E6173" s="3">
        <v>4580</v>
      </c>
      <c r="F6173" s="1" t="s">
        <v>36</v>
      </c>
      <c r="G6173" s="3">
        <v>0</v>
      </c>
      <c r="H6173" s="1">
        <v>0</v>
      </c>
      <c r="I6173" s="1">
        <v>7.5569999999999998E-2</v>
      </c>
    </row>
    <row r="6174" spans="1:9" x14ac:dyDescent="0.25">
      <c r="A6174" s="1">
        <v>2500070529</v>
      </c>
      <c r="B6174" s="1" t="s">
        <v>3885</v>
      </c>
      <c r="C6174" s="1" t="s">
        <v>126</v>
      </c>
      <c r="D6174" s="1" t="s">
        <v>127</v>
      </c>
      <c r="E6174" s="3">
        <v>1080</v>
      </c>
      <c r="F6174" s="1" t="s">
        <v>36</v>
      </c>
      <c r="G6174" s="3">
        <v>0</v>
      </c>
      <c r="H6174" s="1">
        <v>0</v>
      </c>
      <c r="I6174" s="1">
        <v>0.15775900000000001</v>
      </c>
    </row>
    <row r="6175" spans="1:9" x14ac:dyDescent="0.25">
      <c r="A6175" s="1">
        <v>2500070531</v>
      </c>
      <c r="B6175" s="1" t="s">
        <v>3886</v>
      </c>
      <c r="C6175" s="1" t="s">
        <v>126</v>
      </c>
      <c r="D6175" s="1" t="s">
        <v>127</v>
      </c>
      <c r="E6175" s="3">
        <v>3958</v>
      </c>
      <c r="F6175" s="1" t="s">
        <v>36</v>
      </c>
      <c r="G6175" s="1">
        <v>0</v>
      </c>
      <c r="H6175" s="1">
        <v>0</v>
      </c>
      <c r="I6175" s="1">
        <v>7.2836999999999999E-2</v>
      </c>
    </row>
    <row r="6176" spans="1:9" x14ac:dyDescent="0.25">
      <c r="A6176" s="1">
        <v>2500070532</v>
      </c>
      <c r="B6176" s="1" t="s">
        <v>2960</v>
      </c>
      <c r="C6176" s="1" t="s">
        <v>130</v>
      </c>
      <c r="D6176" s="1" t="s">
        <v>131</v>
      </c>
      <c r="E6176" s="1">
        <v>460</v>
      </c>
      <c r="F6176" s="1" t="s">
        <v>36</v>
      </c>
      <c r="G6176" s="1">
        <v>0</v>
      </c>
      <c r="H6176" s="1">
        <v>0</v>
      </c>
      <c r="I6176" s="1">
        <v>0.120674</v>
      </c>
    </row>
    <row r="6177" spans="1:9" x14ac:dyDescent="0.25">
      <c r="A6177" s="1">
        <v>2500070533</v>
      </c>
      <c r="B6177" s="1" t="s">
        <v>2964</v>
      </c>
      <c r="C6177" s="1" t="s">
        <v>130</v>
      </c>
      <c r="D6177" s="1" t="s">
        <v>131</v>
      </c>
      <c r="E6177" s="1">
        <v>110</v>
      </c>
      <c r="F6177" s="1" t="s">
        <v>36</v>
      </c>
      <c r="G6177" s="1">
        <v>0</v>
      </c>
      <c r="H6177" s="3">
        <v>0</v>
      </c>
      <c r="I6177" s="1">
        <v>0.59</v>
      </c>
    </row>
    <row r="6178" spans="1:9" x14ac:dyDescent="0.25">
      <c r="A6178" s="1">
        <v>2500070534</v>
      </c>
      <c r="B6178" s="1" t="s">
        <v>3887</v>
      </c>
      <c r="C6178" s="1" t="s">
        <v>130</v>
      </c>
      <c r="D6178" s="1" t="s">
        <v>131</v>
      </c>
      <c r="E6178" s="3">
        <v>3433</v>
      </c>
      <c r="F6178" s="1" t="s">
        <v>36</v>
      </c>
      <c r="G6178" s="1">
        <v>0</v>
      </c>
      <c r="H6178" s="1">
        <v>0</v>
      </c>
      <c r="I6178" s="1">
        <v>2.8174000000000001E-2</v>
      </c>
    </row>
    <row r="6179" spans="1:9" x14ac:dyDescent="0.25">
      <c r="A6179" s="1">
        <v>2500070535</v>
      </c>
      <c r="B6179" s="1" t="s">
        <v>3888</v>
      </c>
      <c r="C6179" s="1" t="s">
        <v>130</v>
      </c>
      <c r="D6179" s="1" t="s">
        <v>131</v>
      </c>
      <c r="E6179" s="1">
        <v>247</v>
      </c>
      <c r="F6179" s="1" t="s">
        <v>36</v>
      </c>
      <c r="G6179" s="1">
        <v>0</v>
      </c>
      <c r="H6179" s="1">
        <v>0</v>
      </c>
      <c r="I6179" s="1">
        <v>2.4088999999999999E-2</v>
      </c>
    </row>
    <row r="6180" spans="1:9" x14ac:dyDescent="0.25">
      <c r="A6180" s="1">
        <v>2500070536</v>
      </c>
      <c r="B6180" s="1" t="s">
        <v>3889</v>
      </c>
      <c r="C6180" s="1" t="s">
        <v>130</v>
      </c>
      <c r="D6180" s="1" t="s">
        <v>131</v>
      </c>
      <c r="E6180" s="1">
        <v>954</v>
      </c>
      <c r="F6180" s="1" t="s">
        <v>36</v>
      </c>
      <c r="G6180" s="1">
        <v>0</v>
      </c>
      <c r="H6180" s="1">
        <v>0</v>
      </c>
      <c r="I6180" s="1">
        <v>2.2662000000000002E-2</v>
      </c>
    </row>
    <row r="6181" spans="1:9" x14ac:dyDescent="0.25">
      <c r="A6181" s="1">
        <v>2500070537</v>
      </c>
      <c r="B6181" s="1" t="s">
        <v>3890</v>
      </c>
      <c r="C6181" s="1" t="s">
        <v>130</v>
      </c>
      <c r="D6181" s="1" t="s">
        <v>131</v>
      </c>
      <c r="E6181" s="1">
        <v>451</v>
      </c>
      <c r="F6181" s="1" t="s">
        <v>36</v>
      </c>
      <c r="G6181" s="1">
        <v>0</v>
      </c>
      <c r="H6181" s="1">
        <v>0</v>
      </c>
      <c r="I6181" s="1">
        <v>2.2638999999999999E-2</v>
      </c>
    </row>
    <row r="6182" spans="1:9" x14ac:dyDescent="0.25">
      <c r="A6182" s="1">
        <v>2500070538</v>
      </c>
      <c r="B6182" s="1" t="s">
        <v>3891</v>
      </c>
      <c r="C6182" s="1" t="s">
        <v>130</v>
      </c>
      <c r="D6182" s="1" t="s">
        <v>131</v>
      </c>
      <c r="E6182" s="1">
        <v>679</v>
      </c>
      <c r="F6182" s="1" t="s">
        <v>36</v>
      </c>
      <c r="G6182" s="1">
        <v>0</v>
      </c>
      <c r="H6182" s="1">
        <v>0</v>
      </c>
      <c r="I6182" s="1">
        <v>2.8983999999999999E-2</v>
      </c>
    </row>
    <row r="6183" spans="1:9" x14ac:dyDescent="0.25">
      <c r="A6183" s="1">
        <v>2500070539</v>
      </c>
      <c r="B6183" s="1" t="s">
        <v>3892</v>
      </c>
      <c r="C6183" s="1" t="s">
        <v>130</v>
      </c>
      <c r="D6183" s="1" t="s">
        <v>131</v>
      </c>
      <c r="E6183" s="3">
        <v>1000</v>
      </c>
      <c r="F6183" s="1" t="s">
        <v>36</v>
      </c>
      <c r="G6183" s="1">
        <v>0</v>
      </c>
      <c r="H6183" s="1">
        <v>0</v>
      </c>
      <c r="I6183" s="1">
        <v>3.5569999999999997E-2</v>
      </c>
    </row>
    <row r="6184" spans="1:9" x14ac:dyDescent="0.25">
      <c r="A6184" s="1">
        <v>2500070540</v>
      </c>
      <c r="B6184" s="1" t="s">
        <v>3893</v>
      </c>
      <c r="C6184" s="1" t="s">
        <v>130</v>
      </c>
      <c r="D6184" s="1" t="s">
        <v>131</v>
      </c>
      <c r="E6184" s="3">
        <v>1050</v>
      </c>
      <c r="F6184" s="1" t="s">
        <v>36</v>
      </c>
      <c r="G6184" s="1">
        <v>0</v>
      </c>
      <c r="H6184" s="1">
        <v>0</v>
      </c>
      <c r="I6184" s="1">
        <v>3.5429000000000002E-2</v>
      </c>
    </row>
    <row r="6185" spans="1:9" x14ac:dyDescent="0.25">
      <c r="A6185" s="1">
        <v>2500070541</v>
      </c>
      <c r="B6185" s="1" t="s">
        <v>3894</v>
      </c>
      <c r="C6185" s="1" t="s">
        <v>130</v>
      </c>
      <c r="D6185" s="1" t="s">
        <v>131</v>
      </c>
      <c r="E6185" s="1">
        <v>425</v>
      </c>
      <c r="F6185" s="1" t="s">
        <v>36</v>
      </c>
      <c r="G6185" s="1">
        <v>0</v>
      </c>
      <c r="H6185" s="1">
        <v>0</v>
      </c>
      <c r="I6185" s="1">
        <v>3.2000000000000001E-2</v>
      </c>
    </row>
    <row r="6186" spans="1:9" x14ac:dyDescent="0.25">
      <c r="A6186" s="1">
        <v>2500070542</v>
      </c>
      <c r="B6186" s="1" t="s">
        <v>3895</v>
      </c>
      <c r="C6186" s="1" t="s">
        <v>130</v>
      </c>
      <c r="D6186" s="1" t="s">
        <v>131</v>
      </c>
      <c r="E6186" s="1">
        <v>205</v>
      </c>
      <c r="F6186" s="1" t="s">
        <v>36</v>
      </c>
      <c r="G6186" s="1">
        <v>0</v>
      </c>
      <c r="H6186" s="1">
        <v>0</v>
      </c>
      <c r="I6186" s="1">
        <v>3.2000000000000001E-2</v>
      </c>
    </row>
    <row r="6187" spans="1:9" x14ac:dyDescent="0.25">
      <c r="A6187" s="1">
        <v>2500070543</v>
      </c>
      <c r="B6187" s="1" t="s">
        <v>3896</v>
      </c>
      <c r="C6187" s="1" t="s">
        <v>130</v>
      </c>
      <c r="D6187" s="1" t="s">
        <v>131</v>
      </c>
      <c r="E6187" s="3">
        <v>1070</v>
      </c>
      <c r="F6187" s="1" t="s">
        <v>36</v>
      </c>
      <c r="G6187" s="1">
        <v>0</v>
      </c>
      <c r="H6187" s="1">
        <v>0</v>
      </c>
      <c r="I6187" s="1">
        <v>3.5206000000000001E-2</v>
      </c>
    </row>
    <row r="6188" spans="1:9" x14ac:dyDescent="0.25">
      <c r="A6188" s="1">
        <v>2500070544</v>
      </c>
      <c r="B6188" s="1" t="s">
        <v>3897</v>
      </c>
      <c r="C6188" s="1" t="s">
        <v>130</v>
      </c>
      <c r="D6188" s="1" t="s">
        <v>131</v>
      </c>
      <c r="E6188" s="3">
        <v>1100</v>
      </c>
      <c r="F6188" s="1" t="s">
        <v>36</v>
      </c>
      <c r="G6188" s="1">
        <v>0</v>
      </c>
      <c r="H6188" s="1">
        <v>0</v>
      </c>
      <c r="I6188" s="1">
        <v>3.2000000000000001E-2</v>
      </c>
    </row>
    <row r="6189" spans="1:9" x14ac:dyDescent="0.25">
      <c r="A6189" s="1">
        <v>2500070545</v>
      </c>
      <c r="B6189" s="1" t="s">
        <v>3898</v>
      </c>
      <c r="C6189" s="1" t="s">
        <v>130</v>
      </c>
      <c r="D6189" s="1" t="s">
        <v>131</v>
      </c>
      <c r="E6189" s="3">
        <v>11496</v>
      </c>
      <c r="F6189" s="1" t="s">
        <v>36</v>
      </c>
      <c r="G6189" s="1">
        <v>0</v>
      </c>
      <c r="H6189" s="1">
        <v>0</v>
      </c>
      <c r="I6189" s="1">
        <v>2.1616E-2</v>
      </c>
    </row>
    <row r="6190" spans="1:9" x14ac:dyDescent="0.25">
      <c r="A6190" s="1">
        <v>2500070546</v>
      </c>
      <c r="B6190" s="1" t="s">
        <v>3899</v>
      </c>
      <c r="C6190" s="1" t="s">
        <v>130</v>
      </c>
      <c r="D6190" s="1" t="s">
        <v>131</v>
      </c>
      <c r="E6190" s="1">
        <v>810</v>
      </c>
      <c r="F6190" s="1" t="s">
        <v>36</v>
      </c>
      <c r="G6190" s="1">
        <v>0</v>
      </c>
      <c r="H6190" s="1">
        <v>0</v>
      </c>
      <c r="I6190" s="1">
        <v>3.2000000000000001E-2</v>
      </c>
    </row>
    <row r="6191" spans="1:9" x14ac:dyDescent="0.25">
      <c r="A6191" s="1">
        <v>2500070547</v>
      </c>
      <c r="B6191" s="1" t="s">
        <v>3900</v>
      </c>
      <c r="C6191" s="1" t="s">
        <v>130</v>
      </c>
      <c r="D6191" s="1" t="s">
        <v>131</v>
      </c>
      <c r="E6191" s="1">
        <v>820</v>
      </c>
      <c r="F6191" s="1" t="s">
        <v>36</v>
      </c>
      <c r="G6191" s="1">
        <v>0</v>
      </c>
      <c r="H6191" s="1">
        <v>0</v>
      </c>
      <c r="I6191" s="1">
        <v>3.2000000000000001E-2</v>
      </c>
    </row>
    <row r="6192" spans="1:9" x14ac:dyDescent="0.25">
      <c r="A6192" s="1">
        <v>2500070548</v>
      </c>
      <c r="B6192" s="1" t="s">
        <v>3901</v>
      </c>
      <c r="C6192" s="1" t="s">
        <v>130</v>
      </c>
      <c r="D6192" s="1" t="s">
        <v>131</v>
      </c>
      <c r="E6192" s="1">
        <v>690</v>
      </c>
      <c r="F6192" s="1" t="s">
        <v>36</v>
      </c>
      <c r="G6192" s="1">
        <v>0</v>
      </c>
      <c r="H6192" s="1">
        <v>0</v>
      </c>
      <c r="I6192" s="1">
        <v>3.2000000000000001E-2</v>
      </c>
    </row>
    <row r="6193" spans="1:9" x14ac:dyDescent="0.25">
      <c r="A6193" s="1">
        <v>2500070549</v>
      </c>
      <c r="B6193" s="1" t="s">
        <v>3902</v>
      </c>
      <c r="C6193" s="1" t="s">
        <v>130</v>
      </c>
      <c r="D6193" s="1" t="s">
        <v>131</v>
      </c>
      <c r="E6193" s="3">
        <v>2000</v>
      </c>
      <c r="F6193" s="1" t="s">
        <v>36</v>
      </c>
      <c r="G6193" s="1">
        <v>0</v>
      </c>
      <c r="H6193" s="1">
        <v>0</v>
      </c>
      <c r="I6193" s="1">
        <v>3.2000000000000001E-2</v>
      </c>
    </row>
    <row r="6194" spans="1:9" x14ac:dyDescent="0.25">
      <c r="A6194" s="1">
        <v>2500070550</v>
      </c>
      <c r="B6194" s="1" t="s">
        <v>3903</v>
      </c>
      <c r="C6194" s="1" t="s">
        <v>130</v>
      </c>
      <c r="D6194" s="1" t="s">
        <v>131</v>
      </c>
      <c r="E6194" s="3">
        <v>1800</v>
      </c>
      <c r="F6194" s="1" t="s">
        <v>36</v>
      </c>
      <c r="G6194" s="1">
        <v>0</v>
      </c>
      <c r="H6194" s="1">
        <v>0</v>
      </c>
      <c r="I6194" s="1">
        <v>3.2000000000000001E-2</v>
      </c>
    </row>
    <row r="6195" spans="1:9" x14ac:dyDescent="0.25">
      <c r="A6195" s="1">
        <v>2500070551</v>
      </c>
      <c r="B6195" s="1" t="s">
        <v>3904</v>
      </c>
      <c r="C6195" s="1" t="s">
        <v>130</v>
      </c>
      <c r="D6195" s="1" t="s">
        <v>131</v>
      </c>
      <c r="E6195" s="1">
        <v>983</v>
      </c>
      <c r="F6195" s="1" t="s">
        <v>36</v>
      </c>
      <c r="G6195" s="1">
        <v>0</v>
      </c>
      <c r="H6195" s="1">
        <v>0</v>
      </c>
      <c r="I6195" s="1">
        <v>3.2003999999999998E-2</v>
      </c>
    </row>
    <row r="6196" spans="1:9" x14ac:dyDescent="0.25">
      <c r="A6196" s="1">
        <v>2500070552</v>
      </c>
      <c r="B6196" s="1" t="s">
        <v>3905</v>
      </c>
      <c r="C6196" s="1" t="s">
        <v>130</v>
      </c>
      <c r="D6196" s="1" t="s">
        <v>131</v>
      </c>
      <c r="E6196" s="3">
        <v>2200</v>
      </c>
      <c r="F6196" s="1" t="s">
        <v>36</v>
      </c>
      <c r="G6196" s="1">
        <v>0</v>
      </c>
      <c r="H6196" s="1">
        <v>0</v>
      </c>
      <c r="I6196" s="1">
        <v>3.2000000000000001E-2</v>
      </c>
    </row>
    <row r="6197" spans="1:9" x14ac:dyDescent="0.25">
      <c r="A6197" s="1">
        <v>2500070553</v>
      </c>
      <c r="B6197" s="1" t="s">
        <v>3906</v>
      </c>
      <c r="C6197" s="1" t="s">
        <v>130</v>
      </c>
      <c r="D6197" s="1" t="s">
        <v>131</v>
      </c>
      <c r="E6197" s="3">
        <v>1505</v>
      </c>
      <c r="F6197" s="1" t="s">
        <v>36</v>
      </c>
      <c r="G6197" s="1">
        <v>0</v>
      </c>
      <c r="H6197" s="1">
        <v>0</v>
      </c>
      <c r="I6197" s="1">
        <v>3.2000000000000001E-2</v>
      </c>
    </row>
    <row r="6198" spans="1:9" x14ac:dyDescent="0.25">
      <c r="A6198" s="1">
        <v>2500070554</v>
      </c>
      <c r="B6198" s="1" t="s">
        <v>3907</v>
      </c>
      <c r="C6198" s="1" t="s">
        <v>130</v>
      </c>
      <c r="D6198" s="1" t="s">
        <v>131</v>
      </c>
      <c r="E6198" s="3">
        <v>1770</v>
      </c>
      <c r="F6198" s="1" t="s">
        <v>36</v>
      </c>
      <c r="G6198" s="1">
        <v>0</v>
      </c>
      <c r="H6198" s="1">
        <v>0</v>
      </c>
      <c r="I6198" s="1">
        <v>3.6068000000000003E-2</v>
      </c>
    </row>
    <row r="6199" spans="1:9" x14ac:dyDescent="0.25">
      <c r="A6199" s="1">
        <v>2500070555</v>
      </c>
      <c r="B6199" s="1" t="s">
        <v>3908</v>
      </c>
      <c r="C6199" s="1" t="s">
        <v>130</v>
      </c>
      <c r="D6199" s="1" t="s">
        <v>131</v>
      </c>
      <c r="E6199" s="1">
        <v>290</v>
      </c>
      <c r="F6199" s="1" t="s">
        <v>36</v>
      </c>
      <c r="G6199" s="1">
        <v>0</v>
      </c>
      <c r="H6199" s="1">
        <v>0</v>
      </c>
      <c r="I6199" s="1">
        <v>3.2000000000000001E-2</v>
      </c>
    </row>
    <row r="6200" spans="1:9" x14ac:dyDescent="0.25">
      <c r="A6200" s="1">
        <v>2500070556</v>
      </c>
      <c r="B6200" s="1" t="s">
        <v>3909</v>
      </c>
      <c r="C6200" s="1" t="s">
        <v>130</v>
      </c>
      <c r="D6200" s="1" t="s">
        <v>131</v>
      </c>
      <c r="E6200" s="3">
        <v>1145</v>
      </c>
      <c r="F6200" s="1" t="s">
        <v>36</v>
      </c>
      <c r="G6200" s="1">
        <v>0</v>
      </c>
      <c r="H6200" s="3">
        <v>0</v>
      </c>
      <c r="I6200" s="1">
        <v>3.2000000000000001E-2</v>
      </c>
    </row>
    <row r="6201" spans="1:9" x14ac:dyDescent="0.25">
      <c r="A6201" s="1">
        <v>2500070557</v>
      </c>
      <c r="B6201" s="1" t="s">
        <v>3910</v>
      </c>
      <c r="C6201" s="1" t="s">
        <v>130</v>
      </c>
      <c r="D6201" s="1" t="s">
        <v>131</v>
      </c>
      <c r="E6201" s="1">
        <v>785</v>
      </c>
      <c r="F6201" s="1" t="s">
        <v>36</v>
      </c>
      <c r="G6201" s="1">
        <v>0</v>
      </c>
      <c r="H6201" s="1">
        <v>0</v>
      </c>
      <c r="I6201" s="1">
        <v>3.4661999999999998E-2</v>
      </c>
    </row>
    <row r="6202" spans="1:9" x14ac:dyDescent="0.25">
      <c r="A6202" s="1">
        <v>2500070558</v>
      </c>
      <c r="B6202" s="1" t="s">
        <v>3911</v>
      </c>
      <c r="C6202" s="1" t="s">
        <v>130</v>
      </c>
      <c r="D6202" s="1" t="s">
        <v>131</v>
      </c>
      <c r="E6202" s="3">
        <v>1093</v>
      </c>
      <c r="F6202" s="1" t="s">
        <v>36</v>
      </c>
      <c r="G6202" s="1">
        <v>0</v>
      </c>
      <c r="H6202" s="1">
        <v>0</v>
      </c>
      <c r="I6202" s="1">
        <v>3.2003999999999998E-2</v>
      </c>
    </row>
    <row r="6203" spans="1:9" x14ac:dyDescent="0.25">
      <c r="A6203" s="1">
        <v>2500070559</v>
      </c>
      <c r="B6203" s="1" t="s">
        <v>3912</v>
      </c>
      <c r="C6203" s="1" t="s">
        <v>130</v>
      </c>
      <c r="D6203" s="1" t="s">
        <v>131</v>
      </c>
      <c r="E6203" s="3">
        <v>1700</v>
      </c>
      <c r="F6203" s="1" t="s">
        <v>36</v>
      </c>
      <c r="G6203" s="1">
        <v>0</v>
      </c>
      <c r="H6203" s="1">
        <v>0</v>
      </c>
      <c r="I6203" s="1">
        <v>3.2000000000000001E-2</v>
      </c>
    </row>
    <row r="6204" spans="1:9" x14ac:dyDescent="0.25">
      <c r="A6204" s="1">
        <v>2500070560</v>
      </c>
      <c r="B6204" s="1" t="s">
        <v>3913</v>
      </c>
      <c r="C6204" s="1" t="s">
        <v>130</v>
      </c>
      <c r="D6204" s="1" t="s">
        <v>131</v>
      </c>
      <c r="E6204" s="1">
        <v>350</v>
      </c>
      <c r="F6204" s="1" t="s">
        <v>36</v>
      </c>
      <c r="G6204" s="1">
        <v>0</v>
      </c>
      <c r="H6204" s="3">
        <v>5000</v>
      </c>
      <c r="I6204" s="1">
        <v>2.2314000000000001E-2</v>
      </c>
    </row>
    <row r="6205" spans="1:9" x14ac:dyDescent="0.25">
      <c r="A6205" s="1">
        <v>2500070561</v>
      </c>
      <c r="B6205" s="1" t="s">
        <v>3914</v>
      </c>
      <c r="C6205" s="1" t="s">
        <v>130</v>
      </c>
      <c r="D6205" s="1" t="s">
        <v>131</v>
      </c>
      <c r="E6205" s="1">
        <v>449</v>
      </c>
      <c r="F6205" s="1" t="s">
        <v>36</v>
      </c>
      <c r="G6205" s="1">
        <v>0</v>
      </c>
      <c r="H6205" s="3">
        <v>1000</v>
      </c>
      <c r="I6205" s="1">
        <v>2.196E-2</v>
      </c>
    </row>
    <row r="6206" spans="1:9" x14ac:dyDescent="0.25">
      <c r="A6206" s="1">
        <v>2500070562</v>
      </c>
      <c r="B6206" s="1" t="s">
        <v>3915</v>
      </c>
      <c r="C6206" s="1" t="s">
        <v>130</v>
      </c>
      <c r="D6206" s="1" t="s">
        <v>131</v>
      </c>
      <c r="E6206" s="1">
        <v>158</v>
      </c>
      <c r="F6206" s="1" t="s">
        <v>36</v>
      </c>
      <c r="G6206" s="1">
        <v>0</v>
      </c>
      <c r="H6206" s="3">
        <v>1000</v>
      </c>
      <c r="I6206" s="1">
        <v>2.1898999999999998E-2</v>
      </c>
    </row>
    <row r="6207" spans="1:9" x14ac:dyDescent="0.25">
      <c r="A6207" s="1">
        <v>2500070564</v>
      </c>
      <c r="B6207" s="1" t="s">
        <v>3916</v>
      </c>
      <c r="C6207" s="1" t="s">
        <v>130</v>
      </c>
      <c r="D6207" s="1" t="s">
        <v>131</v>
      </c>
      <c r="E6207" s="1">
        <v>500</v>
      </c>
      <c r="F6207" s="1" t="s">
        <v>36</v>
      </c>
      <c r="G6207" s="1">
        <v>0</v>
      </c>
      <c r="H6207" s="1">
        <v>0</v>
      </c>
      <c r="I6207" s="1">
        <v>2.734E-2</v>
      </c>
    </row>
    <row r="6208" spans="1:9" x14ac:dyDescent="0.25">
      <c r="A6208" s="1">
        <v>2500070565</v>
      </c>
      <c r="B6208" s="1" t="s">
        <v>3917</v>
      </c>
      <c r="C6208" s="1" t="s">
        <v>130</v>
      </c>
      <c r="D6208" s="1" t="s">
        <v>131</v>
      </c>
      <c r="E6208" s="1">
        <v>316</v>
      </c>
      <c r="F6208" s="1" t="s">
        <v>36</v>
      </c>
      <c r="G6208" s="1">
        <v>0</v>
      </c>
      <c r="H6208" s="3">
        <v>0</v>
      </c>
      <c r="I6208" s="1">
        <v>2.2467999999999998E-2</v>
      </c>
    </row>
    <row r="6209" spans="1:9" x14ac:dyDescent="0.25">
      <c r="A6209" s="1">
        <v>2500070566</v>
      </c>
      <c r="B6209" s="1" t="s">
        <v>3918</v>
      </c>
      <c r="C6209" s="1" t="s">
        <v>130</v>
      </c>
      <c r="D6209" s="1" t="s">
        <v>131</v>
      </c>
      <c r="E6209" s="1">
        <v>930</v>
      </c>
      <c r="F6209" s="1" t="s">
        <v>36</v>
      </c>
      <c r="G6209" s="1">
        <v>0</v>
      </c>
      <c r="H6209" s="3">
        <v>1000</v>
      </c>
      <c r="I6209" s="1">
        <v>2.1828E-2</v>
      </c>
    </row>
    <row r="6210" spans="1:9" x14ac:dyDescent="0.25">
      <c r="A6210" s="1">
        <v>2500070567</v>
      </c>
      <c r="B6210" s="1" t="s">
        <v>3919</v>
      </c>
      <c r="C6210" s="1" t="s">
        <v>130</v>
      </c>
      <c r="D6210" s="1" t="s">
        <v>131</v>
      </c>
      <c r="E6210" s="1">
        <v>361</v>
      </c>
      <c r="F6210" s="1" t="s">
        <v>36</v>
      </c>
      <c r="G6210" s="1">
        <v>0</v>
      </c>
      <c r="H6210" s="3">
        <v>1000</v>
      </c>
      <c r="I6210" s="1">
        <v>2.2078E-2</v>
      </c>
    </row>
    <row r="6211" spans="1:9" x14ac:dyDescent="0.25">
      <c r="A6211" s="1">
        <v>2500070568</v>
      </c>
      <c r="B6211" s="1" t="s">
        <v>3920</v>
      </c>
      <c r="C6211" s="1" t="s">
        <v>130</v>
      </c>
      <c r="D6211" s="1" t="s">
        <v>131</v>
      </c>
      <c r="E6211" s="3">
        <v>681</v>
      </c>
      <c r="F6211" s="1" t="s">
        <v>36</v>
      </c>
      <c r="G6211" s="1">
        <v>0</v>
      </c>
      <c r="H6211" s="3">
        <v>5000</v>
      </c>
      <c r="I6211" s="1">
        <v>2.2217000000000001E-2</v>
      </c>
    </row>
    <row r="6212" spans="1:9" x14ac:dyDescent="0.25">
      <c r="A6212" s="1">
        <v>2500070569</v>
      </c>
      <c r="B6212" s="1" t="s">
        <v>3921</v>
      </c>
      <c r="C6212" s="1" t="s">
        <v>130</v>
      </c>
      <c r="D6212" s="1" t="s">
        <v>131</v>
      </c>
      <c r="E6212" s="1">
        <v>319</v>
      </c>
      <c r="F6212" s="1" t="s">
        <v>36</v>
      </c>
      <c r="G6212" s="1">
        <v>0</v>
      </c>
      <c r="H6212" s="1">
        <v>0</v>
      </c>
      <c r="I6212" s="1">
        <v>2.2068999999999998E-2</v>
      </c>
    </row>
    <row r="6213" spans="1:9" x14ac:dyDescent="0.25">
      <c r="A6213" s="1">
        <v>2500070570</v>
      </c>
      <c r="B6213" s="1" t="s">
        <v>3922</v>
      </c>
      <c r="C6213" s="1" t="s">
        <v>130</v>
      </c>
      <c r="D6213" s="1" t="s">
        <v>131</v>
      </c>
      <c r="E6213" s="1">
        <v>440</v>
      </c>
      <c r="F6213" s="1" t="s">
        <v>36</v>
      </c>
      <c r="G6213" s="1">
        <v>0</v>
      </c>
      <c r="H6213" s="1">
        <v>0</v>
      </c>
      <c r="I6213" s="1">
        <v>2.6727000000000001E-2</v>
      </c>
    </row>
    <row r="6214" spans="1:9" x14ac:dyDescent="0.25">
      <c r="A6214" s="1">
        <v>2500070571</v>
      </c>
      <c r="B6214" s="1" t="s">
        <v>3923</v>
      </c>
      <c r="C6214" s="1" t="s">
        <v>130</v>
      </c>
      <c r="D6214" s="1" t="s">
        <v>131</v>
      </c>
      <c r="E6214" s="3">
        <v>1027</v>
      </c>
      <c r="F6214" s="1" t="s">
        <v>36</v>
      </c>
      <c r="G6214" s="1">
        <v>0</v>
      </c>
      <c r="H6214" s="3">
        <v>0</v>
      </c>
      <c r="I6214" s="1">
        <v>2.5822999999999999E-2</v>
      </c>
    </row>
    <row r="6215" spans="1:9" x14ac:dyDescent="0.25">
      <c r="A6215" s="1">
        <v>2500070572</v>
      </c>
      <c r="B6215" s="1" t="s">
        <v>3924</v>
      </c>
      <c r="C6215" s="1" t="s">
        <v>130</v>
      </c>
      <c r="D6215" s="1" t="s">
        <v>131</v>
      </c>
      <c r="E6215" s="3">
        <v>1106</v>
      </c>
      <c r="F6215" s="1" t="s">
        <v>36</v>
      </c>
      <c r="G6215" s="1">
        <v>0</v>
      </c>
      <c r="H6215" s="1">
        <v>0</v>
      </c>
      <c r="I6215" s="1">
        <v>2.8490000000000001E-2</v>
      </c>
    </row>
    <row r="6216" spans="1:9" x14ac:dyDescent="0.25">
      <c r="A6216" s="1">
        <v>2500070573</v>
      </c>
      <c r="B6216" s="1" t="s">
        <v>3925</v>
      </c>
      <c r="C6216" s="1" t="s">
        <v>130</v>
      </c>
      <c r="D6216" s="1" t="s">
        <v>131</v>
      </c>
      <c r="E6216" s="1">
        <v>788</v>
      </c>
      <c r="F6216" s="1" t="s">
        <v>36</v>
      </c>
      <c r="G6216" s="1">
        <v>0</v>
      </c>
      <c r="H6216" s="1">
        <v>0</v>
      </c>
      <c r="I6216" s="1">
        <v>2.1801999999999998E-2</v>
      </c>
    </row>
    <row r="6217" spans="1:9" x14ac:dyDescent="0.25">
      <c r="A6217" s="1">
        <v>2500070574</v>
      </c>
      <c r="B6217" s="1" t="s">
        <v>3926</v>
      </c>
      <c r="C6217" s="1" t="s">
        <v>130</v>
      </c>
      <c r="D6217" s="1" t="s">
        <v>131</v>
      </c>
      <c r="E6217" s="1">
        <v>685</v>
      </c>
      <c r="F6217" s="1" t="s">
        <v>36</v>
      </c>
      <c r="G6217" s="1">
        <v>0</v>
      </c>
      <c r="H6217" s="3">
        <v>1000</v>
      </c>
      <c r="I6217" s="1">
        <v>2.8219000000000001E-2</v>
      </c>
    </row>
    <row r="6218" spans="1:9" x14ac:dyDescent="0.25">
      <c r="A6218" s="1">
        <v>2500070575</v>
      </c>
      <c r="B6218" s="1" t="s">
        <v>3927</v>
      </c>
      <c r="C6218" s="1" t="s">
        <v>130</v>
      </c>
      <c r="D6218" s="1" t="s">
        <v>131</v>
      </c>
      <c r="E6218" s="3">
        <v>1255</v>
      </c>
      <c r="F6218" s="1" t="s">
        <v>36</v>
      </c>
      <c r="G6218" s="1">
        <v>0</v>
      </c>
      <c r="H6218" s="3">
        <v>1000</v>
      </c>
      <c r="I6218" s="1">
        <v>2.1721000000000001E-2</v>
      </c>
    </row>
    <row r="6219" spans="1:9" x14ac:dyDescent="0.25">
      <c r="A6219" s="1">
        <v>2500070576</v>
      </c>
      <c r="B6219" s="1" t="s">
        <v>3928</v>
      </c>
      <c r="C6219" s="1" t="s">
        <v>130</v>
      </c>
      <c r="D6219" s="1" t="s">
        <v>131</v>
      </c>
      <c r="E6219" s="1">
        <v>604</v>
      </c>
      <c r="F6219" s="1" t="s">
        <v>36</v>
      </c>
      <c r="G6219" s="1">
        <v>0</v>
      </c>
      <c r="H6219" s="1">
        <v>0</v>
      </c>
      <c r="I6219" s="1">
        <v>2.7963999999999999E-2</v>
      </c>
    </row>
    <row r="6220" spans="1:9" x14ac:dyDescent="0.25">
      <c r="A6220" s="1">
        <v>2500070577</v>
      </c>
      <c r="B6220" s="1" t="s">
        <v>3929</v>
      </c>
      <c r="C6220" s="1" t="s">
        <v>130</v>
      </c>
      <c r="D6220" s="1" t="s">
        <v>131</v>
      </c>
      <c r="E6220" s="1">
        <v>905</v>
      </c>
      <c r="F6220" s="1" t="s">
        <v>36</v>
      </c>
      <c r="G6220" s="1">
        <v>0</v>
      </c>
      <c r="H6220" s="1">
        <v>0</v>
      </c>
      <c r="I6220" s="1">
        <v>2.1724E-2</v>
      </c>
    </row>
    <row r="6221" spans="1:9" x14ac:dyDescent="0.25">
      <c r="A6221" s="1">
        <v>2500070578</v>
      </c>
      <c r="B6221" s="1" t="s">
        <v>3930</v>
      </c>
      <c r="C6221" s="1" t="s">
        <v>130</v>
      </c>
      <c r="D6221" s="1" t="s">
        <v>131</v>
      </c>
      <c r="E6221" s="3">
        <v>1000</v>
      </c>
      <c r="F6221" s="1" t="s">
        <v>36</v>
      </c>
      <c r="G6221" s="1">
        <v>0</v>
      </c>
      <c r="H6221" s="1">
        <v>0</v>
      </c>
      <c r="I6221" s="1">
        <v>2.1850000000000001E-2</v>
      </c>
    </row>
    <row r="6222" spans="1:9" x14ac:dyDescent="0.25">
      <c r="A6222" s="1">
        <v>2500070579</v>
      </c>
      <c r="B6222" s="1" t="s">
        <v>3931</v>
      </c>
      <c r="C6222" s="1" t="s">
        <v>130</v>
      </c>
      <c r="D6222" s="1" t="s">
        <v>131</v>
      </c>
      <c r="E6222" s="1">
        <v>516</v>
      </c>
      <c r="F6222" s="1" t="s">
        <v>36</v>
      </c>
      <c r="G6222" s="1">
        <v>0</v>
      </c>
      <c r="H6222" s="1">
        <v>0</v>
      </c>
      <c r="I6222" s="1">
        <v>3.5735999999999997E-2</v>
      </c>
    </row>
    <row r="6223" spans="1:9" x14ac:dyDescent="0.25">
      <c r="A6223" s="1">
        <v>2500070580</v>
      </c>
      <c r="B6223" s="1" t="s">
        <v>3932</v>
      </c>
      <c r="C6223" s="1" t="s">
        <v>130</v>
      </c>
      <c r="D6223" s="1" t="s">
        <v>131</v>
      </c>
      <c r="E6223" s="1">
        <v>15</v>
      </c>
      <c r="F6223" s="1" t="s">
        <v>36</v>
      </c>
      <c r="G6223" s="1">
        <v>0</v>
      </c>
      <c r="H6223" s="1">
        <v>0</v>
      </c>
      <c r="I6223" s="1">
        <v>3.5999999999999997E-2</v>
      </c>
    </row>
    <row r="6224" spans="1:9" x14ac:dyDescent="0.25">
      <c r="A6224" s="1">
        <v>2500070581</v>
      </c>
      <c r="B6224" s="1" t="s">
        <v>3933</v>
      </c>
      <c r="C6224" s="1" t="s">
        <v>130</v>
      </c>
      <c r="D6224" s="1" t="s">
        <v>131</v>
      </c>
      <c r="E6224" s="1">
        <v>168</v>
      </c>
      <c r="F6224" s="1" t="s">
        <v>36</v>
      </c>
      <c r="G6224" s="1">
        <v>0</v>
      </c>
      <c r="H6224" s="1">
        <v>0</v>
      </c>
      <c r="I6224" s="1">
        <v>3.5535999999999998E-2</v>
      </c>
    </row>
    <row r="6225" spans="1:9" x14ac:dyDescent="0.25">
      <c r="A6225" s="1">
        <v>2500070582</v>
      </c>
      <c r="B6225" s="1" t="s">
        <v>3934</v>
      </c>
      <c r="C6225" s="1" t="s">
        <v>130</v>
      </c>
      <c r="D6225" s="1" t="s">
        <v>131</v>
      </c>
      <c r="E6225" s="3">
        <v>1869</v>
      </c>
      <c r="F6225" s="1" t="s">
        <v>36</v>
      </c>
      <c r="G6225" s="1">
        <v>0</v>
      </c>
      <c r="H6225" s="1">
        <v>0</v>
      </c>
      <c r="I6225" s="1">
        <v>3.2001000000000002E-2</v>
      </c>
    </row>
    <row r="6226" spans="1:9" x14ac:dyDescent="0.25">
      <c r="A6226" s="1">
        <v>2500070583</v>
      </c>
      <c r="B6226" s="1" t="s">
        <v>3935</v>
      </c>
      <c r="C6226" s="1" t="s">
        <v>130</v>
      </c>
      <c r="D6226" s="1" t="s">
        <v>131</v>
      </c>
      <c r="E6226" s="3">
        <v>1518</v>
      </c>
      <c r="F6226" s="1" t="s">
        <v>36</v>
      </c>
      <c r="G6226" s="1">
        <v>0</v>
      </c>
      <c r="H6226" s="1">
        <v>0</v>
      </c>
      <c r="I6226" s="1">
        <v>3.2002999999999997E-2</v>
      </c>
    </row>
    <row r="6227" spans="1:9" x14ac:dyDescent="0.25">
      <c r="A6227" s="1">
        <v>2500070584</v>
      </c>
      <c r="B6227" s="1" t="s">
        <v>3936</v>
      </c>
      <c r="C6227" s="1" t="s">
        <v>130</v>
      </c>
      <c r="D6227" s="1" t="s">
        <v>131</v>
      </c>
      <c r="E6227" s="1">
        <v>918</v>
      </c>
      <c r="F6227" s="1" t="s">
        <v>36</v>
      </c>
      <c r="G6227" s="1">
        <v>0</v>
      </c>
      <c r="H6227" s="1">
        <v>0</v>
      </c>
      <c r="I6227" s="1">
        <v>3.4868999999999997E-2</v>
      </c>
    </row>
    <row r="6228" spans="1:9" x14ac:dyDescent="0.25">
      <c r="A6228" s="1">
        <v>2500070585</v>
      </c>
      <c r="B6228" s="1" t="s">
        <v>3937</v>
      </c>
      <c r="C6228" s="1" t="s">
        <v>130</v>
      </c>
      <c r="D6228" s="1" t="s">
        <v>131</v>
      </c>
      <c r="E6228" s="1">
        <v>213</v>
      </c>
      <c r="F6228" s="1" t="s">
        <v>36</v>
      </c>
      <c r="G6228" s="1">
        <v>0</v>
      </c>
      <c r="H6228" s="1">
        <v>0</v>
      </c>
      <c r="I6228" s="1">
        <v>4.3427E-2</v>
      </c>
    </row>
    <row r="6229" spans="1:9" x14ac:dyDescent="0.25">
      <c r="A6229" s="1">
        <v>2500070586</v>
      </c>
      <c r="B6229" s="1" t="s">
        <v>3938</v>
      </c>
      <c r="C6229" s="1" t="s">
        <v>130</v>
      </c>
      <c r="D6229" s="1" t="s">
        <v>131</v>
      </c>
      <c r="E6229" s="1">
        <v>262</v>
      </c>
      <c r="F6229" s="1" t="s">
        <v>36</v>
      </c>
      <c r="G6229" s="1">
        <v>0</v>
      </c>
      <c r="H6229" s="1">
        <v>0</v>
      </c>
      <c r="I6229" s="1">
        <v>4.3435000000000001E-2</v>
      </c>
    </row>
    <row r="6230" spans="1:9" x14ac:dyDescent="0.25">
      <c r="A6230" s="1">
        <v>2500070587</v>
      </c>
      <c r="B6230" s="1" t="s">
        <v>3939</v>
      </c>
      <c r="C6230" s="1" t="s">
        <v>130</v>
      </c>
      <c r="D6230" s="1" t="s">
        <v>131</v>
      </c>
      <c r="E6230" s="1">
        <v>731</v>
      </c>
      <c r="F6230" s="1" t="s">
        <v>36</v>
      </c>
      <c r="G6230" s="1">
        <v>0</v>
      </c>
      <c r="H6230" s="1">
        <v>0</v>
      </c>
      <c r="I6230" s="1">
        <v>3.4869999999999998E-2</v>
      </c>
    </row>
    <row r="6231" spans="1:9" x14ac:dyDescent="0.25">
      <c r="A6231" s="1">
        <v>2500070588</v>
      </c>
      <c r="B6231" s="1" t="s">
        <v>3940</v>
      </c>
      <c r="C6231" s="1" t="s">
        <v>130</v>
      </c>
      <c r="D6231" s="1" t="s">
        <v>131</v>
      </c>
      <c r="E6231" s="1">
        <v>316</v>
      </c>
      <c r="F6231" s="1" t="s">
        <v>36</v>
      </c>
      <c r="G6231" s="1">
        <v>0</v>
      </c>
      <c r="H6231" s="1">
        <v>0</v>
      </c>
      <c r="I6231" s="1">
        <v>4.3353999999999997E-2</v>
      </c>
    </row>
    <row r="6232" spans="1:9" x14ac:dyDescent="0.25">
      <c r="A6232" s="1">
        <v>2500070589</v>
      </c>
      <c r="B6232" s="1" t="s">
        <v>3941</v>
      </c>
      <c r="C6232" s="1" t="s">
        <v>130</v>
      </c>
      <c r="D6232" s="1" t="s">
        <v>131</v>
      </c>
      <c r="E6232" s="1">
        <v>450</v>
      </c>
      <c r="F6232" s="1" t="s">
        <v>36</v>
      </c>
      <c r="G6232" s="1">
        <v>0</v>
      </c>
      <c r="H6232" s="1">
        <v>0</v>
      </c>
      <c r="I6232" s="1">
        <v>3.7999999999999999E-2</v>
      </c>
    </row>
    <row r="6233" spans="1:9" x14ac:dyDescent="0.25">
      <c r="A6233" s="1">
        <v>2500070590</v>
      </c>
      <c r="B6233" s="1" t="s">
        <v>3942</v>
      </c>
      <c r="C6233" s="1" t="s">
        <v>130</v>
      </c>
      <c r="D6233" s="1" t="s">
        <v>131</v>
      </c>
      <c r="E6233" s="1">
        <v>653</v>
      </c>
      <c r="F6233" s="1" t="s">
        <v>36</v>
      </c>
      <c r="G6233" s="1">
        <v>0</v>
      </c>
      <c r="H6233" s="1">
        <v>0</v>
      </c>
      <c r="I6233" s="1">
        <v>3.4701000000000003E-2</v>
      </c>
    </row>
    <row r="6234" spans="1:9" x14ac:dyDescent="0.25">
      <c r="A6234" s="1">
        <v>2500070591</v>
      </c>
      <c r="B6234" s="1" t="s">
        <v>3943</v>
      </c>
      <c r="C6234" s="1" t="s">
        <v>130</v>
      </c>
      <c r="D6234" s="1" t="s">
        <v>131</v>
      </c>
      <c r="E6234" s="3">
        <v>2662</v>
      </c>
      <c r="F6234" s="1" t="s">
        <v>36</v>
      </c>
      <c r="G6234" s="1">
        <v>0</v>
      </c>
      <c r="H6234" s="1">
        <v>0</v>
      </c>
      <c r="I6234" s="1">
        <v>3.1997999999999999E-2</v>
      </c>
    </row>
    <row r="6235" spans="1:9" x14ac:dyDescent="0.25">
      <c r="A6235" s="1">
        <v>2500070592</v>
      </c>
      <c r="B6235" s="1" t="s">
        <v>3944</v>
      </c>
      <c r="C6235" s="1" t="s">
        <v>130</v>
      </c>
      <c r="D6235" s="1" t="s">
        <v>131</v>
      </c>
      <c r="E6235" s="1">
        <v>734</v>
      </c>
      <c r="F6235" s="1" t="s">
        <v>36</v>
      </c>
      <c r="G6235" s="1">
        <v>0</v>
      </c>
      <c r="H6235" s="1">
        <v>0</v>
      </c>
      <c r="I6235" s="1">
        <v>3.5436000000000002E-2</v>
      </c>
    </row>
    <row r="6236" spans="1:9" x14ac:dyDescent="0.25">
      <c r="A6236" s="1">
        <v>2500070593</v>
      </c>
      <c r="B6236" s="1" t="s">
        <v>3945</v>
      </c>
      <c r="C6236" s="1" t="s">
        <v>130</v>
      </c>
      <c r="D6236" s="1" t="s">
        <v>131</v>
      </c>
      <c r="E6236" s="3">
        <v>1477</v>
      </c>
      <c r="F6236" s="1" t="s">
        <v>36</v>
      </c>
      <c r="G6236" s="1">
        <v>0</v>
      </c>
      <c r="H6236" s="1">
        <v>0</v>
      </c>
      <c r="I6236" s="1">
        <v>3.1996999999999998E-2</v>
      </c>
    </row>
    <row r="6237" spans="1:9" x14ac:dyDescent="0.25">
      <c r="A6237" s="1">
        <v>2500070594</v>
      </c>
      <c r="B6237" s="1" t="s">
        <v>3946</v>
      </c>
      <c r="C6237" s="1" t="s">
        <v>130</v>
      </c>
      <c r="D6237" s="1" t="s">
        <v>131</v>
      </c>
      <c r="E6237" s="1">
        <v>994</v>
      </c>
      <c r="F6237" s="1" t="s">
        <v>36</v>
      </c>
      <c r="G6237" s="1">
        <v>0</v>
      </c>
      <c r="H6237" s="1">
        <v>0</v>
      </c>
      <c r="I6237" s="1">
        <v>3.4497E-2</v>
      </c>
    </row>
    <row r="6238" spans="1:9" x14ac:dyDescent="0.25">
      <c r="A6238" s="1">
        <v>2500070595</v>
      </c>
      <c r="B6238" s="1" t="s">
        <v>3947</v>
      </c>
      <c r="C6238" s="1" t="s">
        <v>130</v>
      </c>
      <c r="D6238" s="1" t="s">
        <v>131</v>
      </c>
      <c r="E6238" s="1">
        <v>918</v>
      </c>
      <c r="F6238" s="1" t="s">
        <v>36</v>
      </c>
      <c r="G6238" s="1">
        <v>0</v>
      </c>
      <c r="H6238" s="1">
        <v>0</v>
      </c>
      <c r="I6238" s="1">
        <v>3.2003999999999998E-2</v>
      </c>
    </row>
    <row r="6239" spans="1:9" x14ac:dyDescent="0.25">
      <c r="A6239" s="1">
        <v>2500070596</v>
      </c>
      <c r="B6239" s="1" t="s">
        <v>3948</v>
      </c>
      <c r="C6239" s="1" t="s">
        <v>130</v>
      </c>
      <c r="D6239" s="1" t="s">
        <v>131</v>
      </c>
      <c r="E6239" s="1">
        <v>716</v>
      </c>
      <c r="F6239" s="1" t="s">
        <v>36</v>
      </c>
      <c r="G6239" s="1">
        <v>0</v>
      </c>
      <c r="H6239" s="1">
        <v>0</v>
      </c>
      <c r="I6239" s="1">
        <v>4.3352000000000002E-2</v>
      </c>
    </row>
    <row r="6240" spans="1:9" x14ac:dyDescent="0.25">
      <c r="A6240" s="1">
        <v>2500070597</v>
      </c>
      <c r="B6240" s="1" t="s">
        <v>3949</v>
      </c>
      <c r="C6240" s="1" t="s">
        <v>130</v>
      </c>
      <c r="D6240" s="1" t="s">
        <v>131</v>
      </c>
      <c r="E6240" s="1">
        <v>335</v>
      </c>
      <c r="F6240" s="1" t="s">
        <v>36</v>
      </c>
      <c r="G6240" s="1">
        <v>0</v>
      </c>
      <c r="H6240" s="1">
        <v>0</v>
      </c>
      <c r="I6240" s="1">
        <v>3.7999999999999999E-2</v>
      </c>
    </row>
    <row r="6241" spans="1:9" x14ac:dyDescent="0.25">
      <c r="A6241" s="1">
        <v>2500070598</v>
      </c>
      <c r="B6241" s="1" t="s">
        <v>3950</v>
      </c>
      <c r="C6241" s="1" t="s">
        <v>130</v>
      </c>
      <c r="D6241" s="1" t="s">
        <v>131</v>
      </c>
      <c r="E6241" s="1">
        <v>707</v>
      </c>
      <c r="F6241" s="1" t="s">
        <v>36</v>
      </c>
      <c r="G6241" s="1">
        <v>0</v>
      </c>
      <c r="H6241" s="1">
        <v>0</v>
      </c>
      <c r="I6241" s="1">
        <v>3.6082000000000003E-2</v>
      </c>
    </row>
    <row r="6242" spans="1:9" x14ac:dyDescent="0.25">
      <c r="A6242" s="1">
        <v>2500070599</v>
      </c>
      <c r="B6242" s="1" t="s">
        <v>3951</v>
      </c>
      <c r="C6242" s="1" t="s">
        <v>130</v>
      </c>
      <c r="D6242" s="1" t="s">
        <v>131</v>
      </c>
      <c r="E6242" s="1">
        <v>384</v>
      </c>
      <c r="F6242" s="1" t="s">
        <v>36</v>
      </c>
      <c r="G6242" s="1">
        <v>0</v>
      </c>
      <c r="H6242" s="1">
        <v>0</v>
      </c>
      <c r="I6242" s="1">
        <v>3.2004999999999999E-2</v>
      </c>
    </row>
    <row r="6243" spans="1:9" x14ac:dyDescent="0.25">
      <c r="A6243" s="1">
        <v>2500070600</v>
      </c>
      <c r="B6243" s="1" t="s">
        <v>3952</v>
      </c>
      <c r="C6243" s="1" t="s">
        <v>130</v>
      </c>
      <c r="D6243" s="1" t="s">
        <v>131</v>
      </c>
      <c r="E6243" s="3">
        <v>2163</v>
      </c>
      <c r="F6243" s="1" t="s">
        <v>36</v>
      </c>
      <c r="G6243" s="1">
        <v>0</v>
      </c>
      <c r="H6243" s="1">
        <v>0</v>
      </c>
      <c r="I6243" s="3">
        <v>4.3685000000000002E-2</v>
      </c>
    </row>
    <row r="6244" spans="1:9" x14ac:dyDescent="0.25">
      <c r="A6244" s="1">
        <v>2500070601</v>
      </c>
      <c r="B6244" s="1" t="s">
        <v>3953</v>
      </c>
      <c r="C6244" s="1" t="s">
        <v>130</v>
      </c>
      <c r="D6244" s="1" t="s">
        <v>131</v>
      </c>
      <c r="E6244" s="1">
        <v>123</v>
      </c>
      <c r="F6244" s="1" t="s">
        <v>36</v>
      </c>
      <c r="G6244" s="1">
        <v>0</v>
      </c>
      <c r="H6244" s="1">
        <v>0</v>
      </c>
      <c r="I6244" s="1">
        <v>3.2032999999999999E-2</v>
      </c>
    </row>
    <row r="6245" spans="1:9" x14ac:dyDescent="0.25">
      <c r="A6245" s="1">
        <v>2500070605</v>
      </c>
      <c r="B6245" s="1" t="s">
        <v>3954</v>
      </c>
      <c r="C6245" s="1" t="s">
        <v>130</v>
      </c>
      <c r="D6245" s="1" t="s">
        <v>131</v>
      </c>
      <c r="E6245" s="1">
        <v>200</v>
      </c>
      <c r="F6245" s="1" t="s">
        <v>36</v>
      </c>
      <c r="G6245" s="1">
        <v>0</v>
      </c>
      <c r="H6245" s="1">
        <v>0</v>
      </c>
      <c r="I6245" s="1">
        <v>0.21</v>
      </c>
    </row>
    <row r="6246" spans="1:9" x14ac:dyDescent="0.25">
      <c r="A6246" s="1">
        <v>2500070606</v>
      </c>
      <c r="B6246" s="1" t="s">
        <v>3955</v>
      </c>
      <c r="C6246" s="1" t="s">
        <v>130</v>
      </c>
      <c r="D6246" s="1" t="s">
        <v>131</v>
      </c>
      <c r="E6246" s="1">
        <v>80</v>
      </c>
      <c r="F6246" s="1" t="s">
        <v>36</v>
      </c>
      <c r="G6246" s="1">
        <v>0</v>
      </c>
      <c r="H6246" s="1">
        <v>0</v>
      </c>
      <c r="I6246" s="1">
        <v>0.372</v>
      </c>
    </row>
    <row r="6247" spans="1:9" x14ac:dyDescent="0.25">
      <c r="A6247" s="1">
        <v>2500070607</v>
      </c>
      <c r="B6247" s="1" t="s">
        <v>3956</v>
      </c>
      <c r="C6247" s="1" t="s">
        <v>130</v>
      </c>
      <c r="D6247" s="1" t="s">
        <v>131</v>
      </c>
      <c r="E6247" s="3">
        <v>2038</v>
      </c>
      <c r="F6247" s="1" t="s">
        <v>36</v>
      </c>
      <c r="G6247" s="1">
        <v>0</v>
      </c>
      <c r="H6247" s="1">
        <v>0</v>
      </c>
      <c r="I6247" s="1">
        <v>0.20089799999999999</v>
      </c>
    </row>
    <row r="6248" spans="1:9" x14ac:dyDescent="0.25">
      <c r="A6248" s="1">
        <v>2500070613</v>
      </c>
      <c r="B6248" s="1" t="s">
        <v>3957</v>
      </c>
      <c r="C6248" s="1" t="s">
        <v>130</v>
      </c>
      <c r="D6248" s="1" t="s">
        <v>131</v>
      </c>
      <c r="E6248" s="3">
        <v>881</v>
      </c>
      <c r="F6248" s="1" t="s">
        <v>36</v>
      </c>
      <c r="G6248" s="1">
        <v>0</v>
      </c>
      <c r="H6248" s="3">
        <v>3000</v>
      </c>
      <c r="I6248" s="3">
        <v>2.1793E-2</v>
      </c>
    </row>
    <row r="6249" spans="1:9" x14ac:dyDescent="0.25">
      <c r="A6249" s="1">
        <v>2500070614</v>
      </c>
      <c r="B6249" s="1" t="s">
        <v>3958</v>
      </c>
      <c r="C6249" s="1" t="s">
        <v>130</v>
      </c>
      <c r="D6249" s="1" t="s">
        <v>131</v>
      </c>
      <c r="E6249" s="3">
        <v>195</v>
      </c>
      <c r="F6249" s="1" t="s">
        <v>36</v>
      </c>
      <c r="G6249" s="1">
        <v>0</v>
      </c>
      <c r="H6249" s="1">
        <v>0</v>
      </c>
      <c r="I6249" s="1">
        <v>2.5026E-2</v>
      </c>
    </row>
    <row r="6250" spans="1:9" x14ac:dyDescent="0.25">
      <c r="A6250" s="1">
        <v>2500070615</v>
      </c>
      <c r="B6250" s="1" t="s">
        <v>3959</v>
      </c>
      <c r="C6250" s="1" t="s">
        <v>130</v>
      </c>
      <c r="D6250" s="1" t="s">
        <v>131</v>
      </c>
      <c r="E6250" s="3">
        <v>95</v>
      </c>
      <c r="F6250" s="1" t="s">
        <v>36</v>
      </c>
      <c r="G6250" s="1">
        <v>0</v>
      </c>
      <c r="H6250" s="1">
        <v>0</v>
      </c>
      <c r="I6250" s="1">
        <v>2.4947E-2</v>
      </c>
    </row>
    <row r="6251" spans="1:9" x14ac:dyDescent="0.25">
      <c r="A6251" s="1">
        <v>2500070616</v>
      </c>
      <c r="B6251" s="1" t="s">
        <v>3960</v>
      </c>
      <c r="C6251" s="1" t="s">
        <v>130</v>
      </c>
      <c r="D6251" s="1" t="s">
        <v>131</v>
      </c>
      <c r="E6251" s="3">
        <v>119</v>
      </c>
      <c r="F6251" s="1" t="s">
        <v>36</v>
      </c>
      <c r="G6251" s="1">
        <v>0</v>
      </c>
      <c r="H6251" s="1">
        <v>0</v>
      </c>
      <c r="I6251" s="1">
        <v>2.521E-2</v>
      </c>
    </row>
    <row r="6252" spans="1:9" x14ac:dyDescent="0.25">
      <c r="A6252" s="1">
        <v>2500070617</v>
      </c>
      <c r="B6252" s="1" t="s">
        <v>3961</v>
      </c>
      <c r="C6252" s="1" t="s">
        <v>130</v>
      </c>
      <c r="D6252" s="1" t="s">
        <v>131</v>
      </c>
      <c r="E6252" s="1">
        <v>200</v>
      </c>
      <c r="F6252" s="1" t="s">
        <v>36</v>
      </c>
      <c r="G6252" s="1">
        <v>0</v>
      </c>
      <c r="H6252" s="1">
        <v>0</v>
      </c>
      <c r="I6252" s="1">
        <v>2.5000000000000001E-2</v>
      </c>
    </row>
    <row r="6253" spans="1:9" x14ac:dyDescent="0.25">
      <c r="A6253" s="1">
        <v>2500070618</v>
      </c>
      <c r="B6253" s="1" t="s">
        <v>3962</v>
      </c>
      <c r="C6253" s="1" t="s">
        <v>130</v>
      </c>
      <c r="D6253" s="1" t="s">
        <v>131</v>
      </c>
      <c r="E6253" s="1">
        <v>95</v>
      </c>
      <c r="F6253" s="1" t="s">
        <v>36</v>
      </c>
      <c r="G6253" s="1">
        <v>0</v>
      </c>
      <c r="H6253" s="1">
        <v>0</v>
      </c>
      <c r="I6253" s="1">
        <v>2.4316000000000001E-2</v>
      </c>
    </row>
    <row r="6254" spans="1:9" x14ac:dyDescent="0.25">
      <c r="A6254" s="1">
        <v>2500070619</v>
      </c>
      <c r="B6254" s="1" t="s">
        <v>3963</v>
      </c>
      <c r="C6254" s="1" t="s">
        <v>130</v>
      </c>
      <c r="D6254" s="1" t="s">
        <v>131</v>
      </c>
      <c r="E6254" s="1">
        <v>495</v>
      </c>
      <c r="F6254" s="1" t="s">
        <v>36</v>
      </c>
      <c r="G6254" s="1">
        <v>0</v>
      </c>
      <c r="H6254" s="1">
        <v>0</v>
      </c>
      <c r="I6254" s="1">
        <v>2.3535E-2</v>
      </c>
    </row>
    <row r="6255" spans="1:9" x14ac:dyDescent="0.25">
      <c r="A6255" s="1">
        <v>2500070620</v>
      </c>
      <c r="B6255" s="1" t="s">
        <v>3964</v>
      </c>
      <c r="C6255" s="1" t="s">
        <v>130</v>
      </c>
      <c r="D6255" s="1" t="s">
        <v>131</v>
      </c>
      <c r="E6255" s="1">
        <v>533</v>
      </c>
      <c r="F6255" s="1" t="s">
        <v>36</v>
      </c>
      <c r="G6255" s="1">
        <v>0</v>
      </c>
      <c r="H6255" s="1">
        <v>0</v>
      </c>
      <c r="I6255" s="1">
        <v>2.2026E-2</v>
      </c>
    </row>
    <row r="6256" spans="1:9" x14ac:dyDescent="0.25">
      <c r="A6256" s="1">
        <v>2500070621</v>
      </c>
      <c r="B6256" s="1" t="s">
        <v>3965</v>
      </c>
      <c r="C6256" s="1" t="s">
        <v>130</v>
      </c>
      <c r="D6256" s="1" t="s">
        <v>131</v>
      </c>
      <c r="E6256" s="3">
        <v>500</v>
      </c>
      <c r="F6256" s="1" t="s">
        <v>36</v>
      </c>
      <c r="G6256" s="1">
        <v>0</v>
      </c>
      <c r="H6256" s="1">
        <v>0</v>
      </c>
      <c r="I6256" s="1">
        <v>3.7999999999999999E-2</v>
      </c>
    </row>
    <row r="6257" spans="1:9" x14ac:dyDescent="0.25">
      <c r="A6257" s="1">
        <v>2500070622</v>
      </c>
      <c r="B6257" s="1" t="s">
        <v>3966</v>
      </c>
      <c r="C6257" s="1" t="s">
        <v>130</v>
      </c>
      <c r="D6257" s="1" t="s">
        <v>131</v>
      </c>
      <c r="E6257" s="1">
        <v>400</v>
      </c>
      <c r="F6257" s="1" t="s">
        <v>36</v>
      </c>
      <c r="G6257" s="1">
        <v>0</v>
      </c>
      <c r="H6257" s="1">
        <v>0</v>
      </c>
      <c r="I6257" s="1">
        <v>3.7999999999999999E-2</v>
      </c>
    </row>
    <row r="6258" spans="1:9" x14ac:dyDescent="0.25">
      <c r="A6258" s="1">
        <v>2500070623</v>
      </c>
      <c r="B6258" s="1" t="s">
        <v>3967</v>
      </c>
      <c r="C6258" s="1" t="s">
        <v>130</v>
      </c>
      <c r="D6258" s="1" t="s">
        <v>131</v>
      </c>
      <c r="E6258" s="1">
        <v>295</v>
      </c>
      <c r="F6258" s="1" t="s">
        <v>36</v>
      </c>
      <c r="G6258" s="1">
        <v>0</v>
      </c>
      <c r="H6258" s="1">
        <v>0</v>
      </c>
      <c r="I6258" s="1">
        <v>3.7999999999999999E-2</v>
      </c>
    </row>
    <row r="6259" spans="1:9" x14ac:dyDescent="0.25">
      <c r="A6259" s="1">
        <v>2500070625</v>
      </c>
      <c r="B6259" s="1" t="s">
        <v>3968</v>
      </c>
      <c r="C6259" s="1" t="s">
        <v>130</v>
      </c>
      <c r="D6259" s="1" t="s">
        <v>131</v>
      </c>
      <c r="E6259" s="3">
        <v>1463</v>
      </c>
      <c r="F6259" s="1" t="s">
        <v>36</v>
      </c>
      <c r="G6259" s="1">
        <v>0</v>
      </c>
      <c r="H6259" s="1">
        <v>0</v>
      </c>
      <c r="I6259" s="1">
        <v>2.1866E-2</v>
      </c>
    </row>
    <row r="6260" spans="1:9" x14ac:dyDescent="0.25">
      <c r="A6260" s="1">
        <v>2500070626</v>
      </c>
      <c r="B6260" s="1" t="s">
        <v>3969</v>
      </c>
      <c r="C6260" s="1" t="s">
        <v>130</v>
      </c>
      <c r="D6260" s="1" t="s">
        <v>131</v>
      </c>
      <c r="E6260" s="3">
        <v>1197</v>
      </c>
      <c r="F6260" s="1" t="s">
        <v>36</v>
      </c>
      <c r="G6260" s="1">
        <v>0</v>
      </c>
      <c r="H6260" s="1">
        <v>0</v>
      </c>
      <c r="I6260" s="1">
        <v>2.1753999999999999E-2</v>
      </c>
    </row>
    <row r="6261" spans="1:9" x14ac:dyDescent="0.25">
      <c r="A6261" s="1">
        <v>2500070627</v>
      </c>
      <c r="B6261" s="1" t="s">
        <v>3970</v>
      </c>
      <c r="C6261" s="1" t="s">
        <v>130</v>
      </c>
      <c r="D6261" s="1" t="s">
        <v>131</v>
      </c>
      <c r="E6261" s="3">
        <v>415</v>
      </c>
      <c r="F6261" s="1" t="s">
        <v>36</v>
      </c>
      <c r="G6261" s="1">
        <v>0</v>
      </c>
      <c r="H6261" s="1">
        <v>0</v>
      </c>
      <c r="I6261" s="1">
        <v>2.759E-2</v>
      </c>
    </row>
    <row r="6262" spans="1:9" x14ac:dyDescent="0.25">
      <c r="A6262" s="1">
        <v>2500070628</v>
      </c>
      <c r="B6262" s="1" t="s">
        <v>3971</v>
      </c>
      <c r="C6262" s="1" t="s">
        <v>130</v>
      </c>
      <c r="D6262" s="1" t="s">
        <v>131</v>
      </c>
      <c r="E6262" s="3">
        <v>1105</v>
      </c>
      <c r="F6262" s="1" t="s">
        <v>36</v>
      </c>
      <c r="G6262" s="1">
        <v>0</v>
      </c>
      <c r="H6262" s="3">
        <v>2000</v>
      </c>
      <c r="I6262" s="1">
        <v>2.1791999999999999E-2</v>
      </c>
    </row>
    <row r="6263" spans="1:9" x14ac:dyDescent="0.25">
      <c r="A6263" s="1">
        <v>2500070629</v>
      </c>
      <c r="B6263" s="1" t="s">
        <v>3972</v>
      </c>
      <c r="C6263" s="1" t="s">
        <v>130</v>
      </c>
      <c r="D6263" s="1" t="s">
        <v>131</v>
      </c>
      <c r="E6263" s="1">
        <v>578</v>
      </c>
      <c r="F6263" s="1" t="s">
        <v>36</v>
      </c>
      <c r="G6263" s="1">
        <v>0</v>
      </c>
      <c r="H6263" s="1">
        <v>0</v>
      </c>
      <c r="I6263" s="1">
        <v>3.7992999999999999E-2</v>
      </c>
    </row>
    <row r="6264" spans="1:9" x14ac:dyDescent="0.25">
      <c r="A6264" s="1">
        <v>2500070630</v>
      </c>
      <c r="B6264" s="1" t="s">
        <v>3973</v>
      </c>
      <c r="C6264" s="1" t="s">
        <v>130</v>
      </c>
      <c r="D6264" s="1" t="s">
        <v>131</v>
      </c>
      <c r="E6264" s="1">
        <v>170</v>
      </c>
      <c r="F6264" s="1" t="s">
        <v>36</v>
      </c>
      <c r="G6264" s="1">
        <v>0</v>
      </c>
      <c r="H6264" s="1">
        <v>0</v>
      </c>
      <c r="I6264" s="1">
        <v>0.14105899999999999</v>
      </c>
    </row>
    <row r="6265" spans="1:9" x14ac:dyDescent="0.25">
      <c r="A6265" s="1">
        <v>2500070631</v>
      </c>
      <c r="B6265" s="1" t="s">
        <v>3974</v>
      </c>
      <c r="C6265" s="1" t="s">
        <v>130</v>
      </c>
      <c r="D6265" s="1" t="s">
        <v>131</v>
      </c>
      <c r="E6265" s="1">
        <v>115</v>
      </c>
      <c r="F6265" s="1" t="s">
        <v>36</v>
      </c>
      <c r="G6265" s="1">
        <v>0</v>
      </c>
      <c r="H6265" s="1">
        <v>0</v>
      </c>
      <c r="I6265" s="1">
        <v>0.141043</v>
      </c>
    </row>
    <row r="6266" spans="1:9" x14ac:dyDescent="0.25">
      <c r="A6266" s="1">
        <v>2500070632</v>
      </c>
      <c r="B6266" s="1" t="s">
        <v>3975</v>
      </c>
      <c r="C6266" s="1" t="s">
        <v>130</v>
      </c>
      <c r="D6266" s="1" t="s">
        <v>131</v>
      </c>
      <c r="E6266" s="3">
        <v>68</v>
      </c>
      <c r="F6266" s="1" t="s">
        <v>36</v>
      </c>
      <c r="G6266" s="3">
        <v>0</v>
      </c>
      <c r="H6266" s="3">
        <v>0</v>
      </c>
      <c r="I6266" s="3">
        <v>0.14102899999999999</v>
      </c>
    </row>
    <row r="6267" spans="1:9" x14ac:dyDescent="0.25">
      <c r="A6267" s="1">
        <v>2500070635</v>
      </c>
      <c r="B6267" s="1" t="s">
        <v>3976</v>
      </c>
      <c r="C6267" s="1" t="s">
        <v>130</v>
      </c>
      <c r="D6267" s="1" t="s">
        <v>131</v>
      </c>
      <c r="E6267" s="1">
        <v>140</v>
      </c>
      <c r="F6267" s="1" t="s">
        <v>36</v>
      </c>
      <c r="G6267" s="3">
        <v>0</v>
      </c>
      <c r="H6267" s="3">
        <v>0</v>
      </c>
      <c r="I6267" s="1">
        <v>0.141071</v>
      </c>
    </row>
    <row r="6268" spans="1:9" x14ac:dyDescent="0.25">
      <c r="A6268" s="1">
        <v>2500070636</v>
      </c>
      <c r="B6268" s="1" t="s">
        <v>2924</v>
      </c>
      <c r="C6268" s="1" t="s">
        <v>130</v>
      </c>
      <c r="D6268" s="1" t="s">
        <v>131</v>
      </c>
      <c r="E6268" s="3">
        <v>687</v>
      </c>
      <c r="F6268" s="1" t="s">
        <v>36</v>
      </c>
      <c r="G6268" s="1">
        <v>0</v>
      </c>
      <c r="H6268" s="1">
        <v>0</v>
      </c>
      <c r="I6268" s="3">
        <v>0.18190700000000001</v>
      </c>
    </row>
    <row r="6269" spans="1:9" x14ac:dyDescent="0.25">
      <c r="A6269" s="1">
        <v>2500070637</v>
      </c>
      <c r="B6269" s="1" t="s">
        <v>2925</v>
      </c>
      <c r="C6269" s="1" t="s">
        <v>130</v>
      </c>
      <c r="D6269" s="1" t="s">
        <v>131</v>
      </c>
      <c r="E6269" s="1">
        <v>687</v>
      </c>
      <c r="F6269" s="1" t="s">
        <v>36</v>
      </c>
      <c r="G6269" s="1">
        <v>0</v>
      </c>
      <c r="H6269" s="1">
        <v>0</v>
      </c>
      <c r="I6269" s="1">
        <v>0.18190700000000001</v>
      </c>
    </row>
    <row r="6270" spans="1:9" x14ac:dyDescent="0.25">
      <c r="A6270" s="1">
        <v>2500070638</v>
      </c>
      <c r="B6270" s="1" t="s">
        <v>2926</v>
      </c>
      <c r="C6270" s="1" t="s">
        <v>130</v>
      </c>
      <c r="D6270" s="1" t="s">
        <v>131</v>
      </c>
      <c r="E6270" s="3">
        <v>687</v>
      </c>
      <c r="F6270" s="1" t="s">
        <v>36</v>
      </c>
      <c r="G6270" s="1">
        <v>0</v>
      </c>
      <c r="H6270" s="1">
        <v>0</v>
      </c>
      <c r="I6270" s="3">
        <v>0.18190700000000001</v>
      </c>
    </row>
    <row r="6271" spans="1:9" x14ac:dyDescent="0.25">
      <c r="A6271" s="1">
        <v>2500070639</v>
      </c>
      <c r="B6271" s="1" t="s">
        <v>2927</v>
      </c>
      <c r="C6271" s="1" t="s">
        <v>130</v>
      </c>
      <c r="D6271" s="1" t="s">
        <v>131</v>
      </c>
      <c r="E6271" s="1">
        <v>687</v>
      </c>
      <c r="F6271" s="1" t="s">
        <v>36</v>
      </c>
      <c r="G6271" s="1">
        <v>0</v>
      </c>
      <c r="H6271" s="1">
        <v>0</v>
      </c>
      <c r="I6271" s="1">
        <v>0.18190700000000001</v>
      </c>
    </row>
    <row r="6272" spans="1:9" x14ac:dyDescent="0.25">
      <c r="A6272" s="1">
        <v>2500070640</v>
      </c>
      <c r="B6272" s="1" t="s">
        <v>2928</v>
      </c>
      <c r="C6272" s="1" t="s">
        <v>130</v>
      </c>
      <c r="D6272" s="1" t="s">
        <v>131</v>
      </c>
      <c r="E6272" s="1">
        <v>687</v>
      </c>
      <c r="F6272" s="1" t="s">
        <v>36</v>
      </c>
      <c r="G6272" s="1">
        <v>0</v>
      </c>
      <c r="H6272" s="1">
        <v>0</v>
      </c>
      <c r="I6272" s="1">
        <v>0.18190700000000001</v>
      </c>
    </row>
    <row r="6273" spans="1:9" x14ac:dyDescent="0.25">
      <c r="A6273" s="1">
        <v>2500070641</v>
      </c>
      <c r="B6273" s="1" t="s">
        <v>2929</v>
      </c>
      <c r="C6273" s="1" t="s">
        <v>130</v>
      </c>
      <c r="D6273" s="1" t="s">
        <v>131</v>
      </c>
      <c r="E6273" s="1">
        <v>687</v>
      </c>
      <c r="F6273" s="1" t="s">
        <v>36</v>
      </c>
      <c r="G6273" s="1">
        <v>0</v>
      </c>
      <c r="H6273" s="1">
        <v>0</v>
      </c>
      <c r="I6273" s="1">
        <v>0.18190700000000001</v>
      </c>
    </row>
    <row r="6274" spans="1:9" x14ac:dyDescent="0.25">
      <c r="A6274" s="1">
        <v>2500070642</v>
      </c>
      <c r="B6274" s="1" t="s">
        <v>2952</v>
      </c>
      <c r="C6274" s="1" t="s">
        <v>130</v>
      </c>
      <c r="D6274" s="1" t="s">
        <v>131</v>
      </c>
      <c r="E6274" s="1">
        <v>500</v>
      </c>
      <c r="F6274" s="1" t="s">
        <v>36</v>
      </c>
      <c r="G6274" s="1">
        <v>0</v>
      </c>
      <c r="H6274" s="1">
        <v>0</v>
      </c>
      <c r="I6274" s="1">
        <v>0.21673999999999999</v>
      </c>
    </row>
    <row r="6275" spans="1:9" x14ac:dyDescent="0.25">
      <c r="A6275" s="1">
        <v>2500070643</v>
      </c>
      <c r="B6275" s="1" t="s">
        <v>2953</v>
      </c>
      <c r="C6275" s="1" t="s">
        <v>130</v>
      </c>
      <c r="D6275" s="1" t="s">
        <v>131</v>
      </c>
      <c r="E6275" s="1">
        <v>500</v>
      </c>
      <c r="F6275" s="1" t="s">
        <v>36</v>
      </c>
      <c r="G6275" s="1">
        <v>0</v>
      </c>
      <c r="H6275" s="1">
        <v>0</v>
      </c>
      <c r="I6275" s="1">
        <v>0.21673999999999999</v>
      </c>
    </row>
    <row r="6276" spans="1:9" x14ac:dyDescent="0.25">
      <c r="A6276" s="1">
        <v>2500070644</v>
      </c>
      <c r="B6276" s="1" t="s">
        <v>2954</v>
      </c>
      <c r="C6276" s="1" t="s">
        <v>130</v>
      </c>
      <c r="D6276" s="1" t="s">
        <v>131</v>
      </c>
      <c r="E6276" s="1">
        <v>500</v>
      </c>
      <c r="F6276" s="1" t="s">
        <v>36</v>
      </c>
      <c r="G6276" s="1">
        <v>0</v>
      </c>
      <c r="H6276" s="3">
        <v>0</v>
      </c>
      <c r="I6276" s="1">
        <v>0.21673999999999999</v>
      </c>
    </row>
    <row r="6277" spans="1:9" x14ac:dyDescent="0.25">
      <c r="A6277" s="1">
        <v>2500070645</v>
      </c>
      <c r="B6277" s="1" t="s">
        <v>2955</v>
      </c>
      <c r="C6277" s="1" t="s">
        <v>130</v>
      </c>
      <c r="D6277" s="1" t="s">
        <v>131</v>
      </c>
      <c r="E6277" s="1">
        <v>500</v>
      </c>
      <c r="F6277" s="1" t="s">
        <v>36</v>
      </c>
      <c r="G6277" s="1">
        <v>0</v>
      </c>
      <c r="H6277" s="1">
        <v>0</v>
      </c>
      <c r="I6277" s="1">
        <v>0.21673999999999999</v>
      </c>
    </row>
    <row r="6278" spans="1:9" x14ac:dyDescent="0.25">
      <c r="A6278" s="1">
        <v>2500070646</v>
      </c>
      <c r="B6278" s="1" t="s">
        <v>2956</v>
      </c>
      <c r="C6278" s="1" t="s">
        <v>130</v>
      </c>
      <c r="D6278" s="1" t="s">
        <v>131</v>
      </c>
      <c r="E6278" s="1">
        <v>500</v>
      </c>
      <c r="F6278" s="1" t="s">
        <v>36</v>
      </c>
      <c r="G6278" s="1">
        <v>0</v>
      </c>
      <c r="H6278" s="1">
        <v>0</v>
      </c>
      <c r="I6278" s="1">
        <v>0.21673999999999999</v>
      </c>
    </row>
    <row r="6279" spans="1:9" x14ac:dyDescent="0.25">
      <c r="A6279" s="1">
        <v>2500070647</v>
      </c>
      <c r="B6279" s="1" t="s">
        <v>2957</v>
      </c>
      <c r="C6279" s="1" t="s">
        <v>130</v>
      </c>
      <c r="D6279" s="1" t="s">
        <v>131</v>
      </c>
      <c r="E6279" s="1">
        <v>500</v>
      </c>
      <c r="F6279" s="1" t="s">
        <v>36</v>
      </c>
      <c r="G6279" s="1">
        <v>0</v>
      </c>
      <c r="H6279" s="1">
        <v>0</v>
      </c>
      <c r="I6279" s="1">
        <v>0.21686</v>
      </c>
    </row>
    <row r="6280" spans="1:9" x14ac:dyDescent="0.25">
      <c r="A6280" s="1">
        <v>2500070648</v>
      </c>
      <c r="B6280" s="1" t="s">
        <v>3977</v>
      </c>
      <c r="C6280" s="1" t="s">
        <v>130</v>
      </c>
      <c r="D6280" s="1" t="s">
        <v>131</v>
      </c>
      <c r="E6280" s="3">
        <v>30</v>
      </c>
      <c r="F6280" s="1" t="s">
        <v>36</v>
      </c>
      <c r="G6280" s="1">
        <v>0</v>
      </c>
      <c r="H6280" s="1">
        <v>0</v>
      </c>
      <c r="I6280" s="1">
        <v>0.17</v>
      </c>
    </row>
    <row r="6281" spans="1:9" x14ac:dyDescent="0.25">
      <c r="A6281" s="1">
        <v>2500070649</v>
      </c>
      <c r="B6281" s="1" t="s">
        <v>3978</v>
      </c>
      <c r="C6281" s="1" t="s">
        <v>130</v>
      </c>
      <c r="D6281" s="1" t="s">
        <v>131</v>
      </c>
      <c r="E6281" s="1">
        <v>30</v>
      </c>
      <c r="F6281" s="1" t="s">
        <v>36</v>
      </c>
      <c r="G6281" s="1">
        <v>0</v>
      </c>
      <c r="H6281" s="1">
        <v>0</v>
      </c>
      <c r="I6281" s="1">
        <v>0.17</v>
      </c>
    </row>
    <row r="6282" spans="1:9" x14ac:dyDescent="0.25">
      <c r="A6282" s="1">
        <v>2500070651</v>
      </c>
      <c r="B6282" s="1" t="s">
        <v>3979</v>
      </c>
      <c r="C6282" s="1" t="s">
        <v>130</v>
      </c>
      <c r="D6282" s="1" t="s">
        <v>131</v>
      </c>
      <c r="E6282" s="3">
        <v>20</v>
      </c>
      <c r="F6282" s="1" t="s">
        <v>36</v>
      </c>
      <c r="G6282" s="1">
        <v>0</v>
      </c>
      <c r="H6282" s="1">
        <v>0</v>
      </c>
      <c r="I6282" s="1">
        <v>0.17</v>
      </c>
    </row>
    <row r="6283" spans="1:9" x14ac:dyDescent="0.25">
      <c r="A6283" s="1">
        <v>2500070652</v>
      </c>
      <c r="B6283" s="1" t="s">
        <v>3980</v>
      </c>
      <c r="C6283" s="1" t="s">
        <v>130</v>
      </c>
      <c r="D6283" s="1" t="s">
        <v>131</v>
      </c>
      <c r="E6283" s="1">
        <v>30</v>
      </c>
      <c r="F6283" s="1" t="s">
        <v>36</v>
      </c>
      <c r="G6283" s="1">
        <v>0</v>
      </c>
      <c r="H6283" s="1">
        <v>0</v>
      </c>
      <c r="I6283" s="1">
        <v>0.17</v>
      </c>
    </row>
    <row r="6284" spans="1:9" x14ac:dyDescent="0.25">
      <c r="A6284" s="1">
        <v>2500070653</v>
      </c>
      <c r="B6284" s="1" t="s">
        <v>3981</v>
      </c>
      <c r="C6284" s="1" t="s">
        <v>130</v>
      </c>
      <c r="D6284" s="1" t="s">
        <v>131</v>
      </c>
      <c r="E6284" s="3">
        <v>30</v>
      </c>
      <c r="F6284" s="1" t="s">
        <v>36</v>
      </c>
      <c r="G6284" s="1">
        <v>0</v>
      </c>
      <c r="H6284" s="1">
        <v>0</v>
      </c>
      <c r="I6284" s="1">
        <v>0.17</v>
      </c>
    </row>
    <row r="6285" spans="1:9" x14ac:dyDescent="0.25">
      <c r="A6285" s="1">
        <v>2500070654</v>
      </c>
      <c r="B6285" s="1" t="s">
        <v>3982</v>
      </c>
      <c r="C6285" s="1" t="s">
        <v>130</v>
      </c>
      <c r="D6285" s="1" t="s">
        <v>131</v>
      </c>
      <c r="E6285" s="1">
        <v>30</v>
      </c>
      <c r="F6285" s="1" t="s">
        <v>36</v>
      </c>
      <c r="G6285" s="1">
        <v>0</v>
      </c>
      <c r="H6285" s="1">
        <v>0</v>
      </c>
      <c r="I6285" s="3">
        <v>0.17</v>
      </c>
    </row>
    <row r="6286" spans="1:9" x14ac:dyDescent="0.25">
      <c r="A6286" s="1">
        <v>2500070656</v>
      </c>
      <c r="B6286" s="1" t="s">
        <v>3983</v>
      </c>
      <c r="C6286" s="1" t="s">
        <v>130</v>
      </c>
      <c r="D6286" s="1" t="s">
        <v>131</v>
      </c>
      <c r="E6286" s="1">
        <v>30</v>
      </c>
      <c r="F6286" s="1" t="s">
        <v>36</v>
      </c>
      <c r="G6286" s="1">
        <v>0</v>
      </c>
      <c r="H6286" s="1">
        <v>0</v>
      </c>
      <c r="I6286" s="1">
        <v>0.17</v>
      </c>
    </row>
    <row r="6287" spans="1:9" x14ac:dyDescent="0.25">
      <c r="A6287" s="1">
        <v>2500070657</v>
      </c>
      <c r="B6287" s="1" t="s">
        <v>3984</v>
      </c>
      <c r="C6287" s="1" t="s">
        <v>130</v>
      </c>
      <c r="D6287" s="1" t="s">
        <v>131</v>
      </c>
      <c r="E6287" s="1">
        <v>30</v>
      </c>
      <c r="F6287" s="1" t="s">
        <v>36</v>
      </c>
      <c r="G6287" s="1">
        <v>0</v>
      </c>
      <c r="H6287" s="1">
        <v>0</v>
      </c>
      <c r="I6287" s="1">
        <v>0.17</v>
      </c>
    </row>
    <row r="6288" spans="1:9" x14ac:dyDescent="0.25">
      <c r="A6288" s="1">
        <v>2500070659</v>
      </c>
      <c r="B6288" s="1" t="s">
        <v>3985</v>
      </c>
      <c r="C6288" s="1" t="s">
        <v>130</v>
      </c>
      <c r="D6288" s="1" t="s">
        <v>131</v>
      </c>
      <c r="E6288" s="1">
        <v>30</v>
      </c>
      <c r="F6288" s="1" t="s">
        <v>36</v>
      </c>
      <c r="G6288" s="1">
        <v>0</v>
      </c>
      <c r="H6288" s="1">
        <v>0</v>
      </c>
      <c r="I6288" s="1">
        <v>0.17</v>
      </c>
    </row>
    <row r="6289" spans="1:9" x14ac:dyDescent="0.25">
      <c r="A6289" s="1">
        <v>2500070660</v>
      </c>
      <c r="B6289" s="1" t="s">
        <v>3986</v>
      </c>
      <c r="C6289" s="1" t="s">
        <v>130</v>
      </c>
      <c r="D6289" s="1" t="s">
        <v>131</v>
      </c>
      <c r="E6289" s="1">
        <v>30</v>
      </c>
      <c r="F6289" s="1" t="s">
        <v>36</v>
      </c>
      <c r="G6289" s="1">
        <v>0</v>
      </c>
      <c r="H6289" s="1">
        <v>0</v>
      </c>
      <c r="I6289" s="1">
        <v>0.17</v>
      </c>
    </row>
    <row r="6290" spans="1:9" x14ac:dyDescent="0.25">
      <c r="A6290" s="1">
        <v>2500070661</v>
      </c>
      <c r="B6290" s="1" t="s">
        <v>3987</v>
      </c>
      <c r="C6290" s="1" t="s">
        <v>130</v>
      </c>
      <c r="D6290" s="1" t="s">
        <v>131</v>
      </c>
      <c r="E6290" s="3">
        <v>3000</v>
      </c>
      <c r="F6290" s="1" t="s">
        <v>36</v>
      </c>
      <c r="G6290" s="1">
        <v>0</v>
      </c>
      <c r="H6290" s="1">
        <v>0</v>
      </c>
      <c r="I6290" s="1">
        <v>2.9503000000000001E-2</v>
      </c>
    </row>
    <row r="6291" spans="1:9" x14ac:dyDescent="0.25">
      <c r="A6291" s="1">
        <v>2500070663</v>
      </c>
      <c r="B6291" s="1" t="s">
        <v>3988</v>
      </c>
      <c r="C6291" s="1" t="s">
        <v>130</v>
      </c>
      <c r="D6291" s="1" t="s">
        <v>131</v>
      </c>
      <c r="E6291" s="1">
        <v>63</v>
      </c>
      <c r="F6291" s="1" t="s">
        <v>36</v>
      </c>
      <c r="G6291" s="1">
        <v>0</v>
      </c>
      <c r="H6291" s="1">
        <v>0</v>
      </c>
      <c r="I6291" s="1">
        <v>41.741745999999999</v>
      </c>
    </row>
    <row r="6292" spans="1:9" x14ac:dyDescent="0.25">
      <c r="A6292">
        <v>2500070664</v>
      </c>
      <c r="B6292" t="s">
        <v>3989</v>
      </c>
      <c r="C6292" t="s">
        <v>130</v>
      </c>
      <c r="D6292" t="s">
        <v>131</v>
      </c>
      <c r="E6292" s="2">
        <v>466001</v>
      </c>
      <c r="F6292" t="s">
        <v>36</v>
      </c>
      <c r="G6292">
        <v>0</v>
      </c>
      <c r="H6292">
        <v>0</v>
      </c>
      <c r="I6292">
        <v>1.5675000000000001E-2</v>
      </c>
    </row>
    <row r="6293" spans="1:9" x14ac:dyDescent="0.25">
      <c r="A6293">
        <v>2500070670</v>
      </c>
      <c r="B6293" t="s">
        <v>3990</v>
      </c>
      <c r="C6293" t="s">
        <v>130</v>
      </c>
      <c r="D6293" t="s">
        <v>131</v>
      </c>
      <c r="E6293" s="2">
        <v>60000</v>
      </c>
      <c r="F6293" t="s">
        <v>36</v>
      </c>
      <c r="G6293">
        <v>0</v>
      </c>
      <c r="H6293" s="2">
        <v>0</v>
      </c>
      <c r="I6293">
        <v>5.8900000000000003E-3</v>
      </c>
    </row>
    <row r="6294" spans="1:9" x14ac:dyDescent="0.25">
      <c r="A6294">
        <v>2500070671</v>
      </c>
      <c r="B6294" t="s">
        <v>3991</v>
      </c>
      <c r="C6294" t="s">
        <v>130</v>
      </c>
      <c r="D6294" t="s">
        <v>131</v>
      </c>
      <c r="E6294" s="2">
        <v>6920</v>
      </c>
      <c r="F6294" t="s">
        <v>36</v>
      </c>
      <c r="G6294">
        <v>100</v>
      </c>
      <c r="H6294">
        <v>0</v>
      </c>
      <c r="I6294">
        <v>5.3990000000000003E-2</v>
      </c>
    </row>
    <row r="6295" spans="1:9" x14ac:dyDescent="0.25">
      <c r="A6295" s="1">
        <v>2500070671</v>
      </c>
      <c r="B6295" s="1" t="s">
        <v>3991</v>
      </c>
      <c r="C6295" s="1" t="s">
        <v>142</v>
      </c>
      <c r="D6295" s="1" t="s">
        <v>143</v>
      </c>
      <c r="E6295" s="1">
        <v>0</v>
      </c>
      <c r="F6295" s="1" t="s">
        <v>36</v>
      </c>
      <c r="G6295" s="1">
        <v>0</v>
      </c>
      <c r="H6295" s="1">
        <v>100</v>
      </c>
      <c r="I6295" s="1">
        <v>0</v>
      </c>
    </row>
    <row r="6296" spans="1:9" x14ac:dyDescent="0.25">
      <c r="A6296" s="1">
        <v>2500070672</v>
      </c>
      <c r="B6296" s="1" t="s">
        <v>3992</v>
      </c>
      <c r="C6296" s="1" t="s">
        <v>130</v>
      </c>
      <c r="D6296" s="1" t="s">
        <v>131</v>
      </c>
      <c r="E6296" s="3">
        <v>4000</v>
      </c>
      <c r="F6296" s="1" t="s">
        <v>36</v>
      </c>
      <c r="G6296" s="1">
        <v>0</v>
      </c>
      <c r="H6296" s="1">
        <v>0</v>
      </c>
      <c r="I6296" s="1">
        <v>6.7320000000000005E-2</v>
      </c>
    </row>
    <row r="6297" spans="1:9" x14ac:dyDescent="0.25">
      <c r="A6297" s="1">
        <v>2500070673</v>
      </c>
      <c r="B6297" s="1" t="s">
        <v>3993</v>
      </c>
      <c r="C6297" s="1" t="s">
        <v>130</v>
      </c>
      <c r="D6297" s="1" t="s">
        <v>131</v>
      </c>
      <c r="E6297" s="3">
        <v>11230</v>
      </c>
      <c r="F6297" s="1" t="s">
        <v>36</v>
      </c>
      <c r="G6297" s="1">
        <v>0</v>
      </c>
      <c r="H6297" s="1">
        <v>0</v>
      </c>
      <c r="I6297" s="1">
        <v>6.3088000000000005E-2</v>
      </c>
    </row>
    <row r="6298" spans="1:9" x14ac:dyDescent="0.25">
      <c r="A6298" s="1">
        <v>2500070674</v>
      </c>
      <c r="B6298" s="1" t="s">
        <v>3994</v>
      </c>
      <c r="C6298" s="1" t="s">
        <v>130</v>
      </c>
      <c r="D6298" s="1" t="s">
        <v>131</v>
      </c>
      <c r="E6298" s="3">
        <v>0</v>
      </c>
      <c r="F6298" s="1" t="s">
        <v>36</v>
      </c>
      <c r="G6298" s="1">
        <v>0</v>
      </c>
      <c r="H6298" s="3">
        <v>1000</v>
      </c>
      <c r="I6298" s="1">
        <v>0</v>
      </c>
    </row>
    <row r="6299" spans="1:9" x14ac:dyDescent="0.25">
      <c r="A6299" s="1">
        <v>2500090014</v>
      </c>
      <c r="B6299" s="1" t="s">
        <v>3995</v>
      </c>
      <c r="C6299" s="1" t="s">
        <v>130</v>
      </c>
      <c r="D6299" s="1" t="s">
        <v>131</v>
      </c>
      <c r="E6299" s="1">
        <v>82</v>
      </c>
      <c r="F6299" s="1" t="s">
        <v>36</v>
      </c>
      <c r="G6299" s="1">
        <v>0</v>
      </c>
      <c r="H6299" s="1">
        <v>0</v>
      </c>
      <c r="I6299" s="1">
        <v>0.112927</v>
      </c>
    </row>
    <row r="6300" spans="1:9" x14ac:dyDescent="0.25">
      <c r="A6300" s="1">
        <v>2500090015</v>
      </c>
      <c r="B6300" s="1" t="s">
        <v>3996</v>
      </c>
      <c r="C6300" s="1" t="s">
        <v>130</v>
      </c>
      <c r="D6300" s="1" t="s">
        <v>131</v>
      </c>
      <c r="E6300" s="1">
        <v>900</v>
      </c>
      <c r="F6300" s="1" t="s">
        <v>36</v>
      </c>
      <c r="G6300" s="1">
        <v>0</v>
      </c>
      <c r="H6300" s="1">
        <v>0</v>
      </c>
      <c r="I6300" s="1">
        <v>1.1710999999999999E-2</v>
      </c>
    </row>
    <row r="6301" spans="1:9" x14ac:dyDescent="0.25">
      <c r="A6301" s="1">
        <v>2500090019</v>
      </c>
      <c r="B6301" s="1" t="s">
        <v>3997</v>
      </c>
      <c r="C6301" s="1" t="s">
        <v>142</v>
      </c>
      <c r="D6301" s="1" t="s">
        <v>143</v>
      </c>
      <c r="E6301" s="1">
        <v>0</v>
      </c>
      <c r="F6301" s="1" t="s">
        <v>36</v>
      </c>
      <c r="G6301" s="1">
        <v>100</v>
      </c>
      <c r="H6301" s="1">
        <v>0</v>
      </c>
      <c r="I6301" s="1">
        <v>7.8E-2</v>
      </c>
    </row>
    <row r="6302" spans="1:9" x14ac:dyDescent="0.25">
      <c r="A6302" s="1">
        <v>2500090019</v>
      </c>
      <c r="B6302" s="1" t="s">
        <v>3997</v>
      </c>
      <c r="C6302" s="1" t="s">
        <v>144</v>
      </c>
      <c r="D6302" s="1" t="s">
        <v>145</v>
      </c>
      <c r="E6302" s="3">
        <v>0</v>
      </c>
      <c r="F6302" s="1" t="s">
        <v>36</v>
      </c>
      <c r="G6302" s="3">
        <v>0</v>
      </c>
      <c r="H6302" s="3">
        <v>100</v>
      </c>
      <c r="I6302" s="1">
        <v>0</v>
      </c>
    </row>
    <row r="6303" spans="1:9" x14ac:dyDescent="0.25">
      <c r="A6303" s="1">
        <v>2500090020</v>
      </c>
      <c r="B6303" s="1" t="s">
        <v>3998</v>
      </c>
      <c r="C6303" s="1" t="s">
        <v>130</v>
      </c>
      <c r="D6303" s="1" t="s">
        <v>131</v>
      </c>
      <c r="E6303" s="3">
        <v>1605</v>
      </c>
      <c r="F6303" s="1" t="s">
        <v>36</v>
      </c>
      <c r="G6303" s="3">
        <v>1300</v>
      </c>
      <c r="H6303" s="3">
        <v>0</v>
      </c>
      <c r="I6303" s="1">
        <v>5.3128000000000002E-2</v>
      </c>
    </row>
    <row r="6304" spans="1:9" x14ac:dyDescent="0.25">
      <c r="A6304" s="1">
        <v>2500090020</v>
      </c>
      <c r="B6304" s="1" t="s">
        <v>3998</v>
      </c>
      <c r="C6304" s="1" t="s">
        <v>142</v>
      </c>
      <c r="D6304" s="1" t="s">
        <v>143</v>
      </c>
      <c r="E6304" s="1">
        <v>0</v>
      </c>
      <c r="F6304" s="1" t="s">
        <v>36</v>
      </c>
      <c r="G6304" s="1">
        <v>0</v>
      </c>
      <c r="H6304" s="3">
        <v>1300</v>
      </c>
      <c r="I6304" s="1">
        <v>5.3136999999999997E-2</v>
      </c>
    </row>
    <row r="6305" spans="1:9" x14ac:dyDescent="0.25">
      <c r="A6305" s="1">
        <v>2500090020</v>
      </c>
      <c r="B6305" s="1" t="s">
        <v>3998</v>
      </c>
      <c r="C6305" s="1" t="s">
        <v>144</v>
      </c>
      <c r="D6305" s="1" t="s">
        <v>145</v>
      </c>
      <c r="E6305" s="1">
        <v>200</v>
      </c>
      <c r="F6305" s="1" t="s">
        <v>36</v>
      </c>
      <c r="G6305" s="1">
        <v>0</v>
      </c>
      <c r="H6305" s="1">
        <v>0</v>
      </c>
      <c r="I6305" s="1">
        <v>5.3150000000000003E-2</v>
      </c>
    </row>
    <row r="6306" spans="1:9" x14ac:dyDescent="0.25">
      <c r="A6306" s="1">
        <v>2500090029</v>
      </c>
      <c r="B6306" s="1" t="s">
        <v>3999</v>
      </c>
      <c r="C6306" s="1" t="s">
        <v>130</v>
      </c>
      <c r="D6306" s="1" t="s">
        <v>131</v>
      </c>
      <c r="E6306" s="3">
        <v>847</v>
      </c>
      <c r="F6306" s="1" t="s">
        <v>36</v>
      </c>
      <c r="G6306" s="1">
        <v>0</v>
      </c>
      <c r="H6306" s="1">
        <v>0</v>
      </c>
      <c r="I6306" s="1">
        <v>7.3931999999999998E-2</v>
      </c>
    </row>
    <row r="6307" spans="1:9" x14ac:dyDescent="0.25">
      <c r="A6307" s="1">
        <v>2500090031</v>
      </c>
      <c r="B6307" s="1" t="s">
        <v>4000</v>
      </c>
      <c r="C6307" s="1" t="s">
        <v>167</v>
      </c>
      <c r="D6307" s="1" t="s">
        <v>168</v>
      </c>
      <c r="E6307" s="1">
        <v>0</v>
      </c>
      <c r="F6307" s="1" t="s">
        <v>36</v>
      </c>
      <c r="G6307" s="1">
        <v>200</v>
      </c>
      <c r="H6307" s="1">
        <v>0</v>
      </c>
      <c r="I6307" s="1">
        <v>0</v>
      </c>
    </row>
    <row r="6308" spans="1:9" x14ac:dyDescent="0.25">
      <c r="A6308" s="1">
        <v>2500090031</v>
      </c>
      <c r="B6308" s="1" t="s">
        <v>4000</v>
      </c>
      <c r="C6308" s="1" t="s">
        <v>137</v>
      </c>
      <c r="D6308" s="1" t="s">
        <v>138</v>
      </c>
      <c r="E6308" s="1">
        <v>0</v>
      </c>
      <c r="F6308" s="1" t="s">
        <v>36</v>
      </c>
      <c r="G6308" s="1">
        <v>0</v>
      </c>
      <c r="H6308" s="1">
        <v>200</v>
      </c>
      <c r="I6308" s="1">
        <v>0</v>
      </c>
    </row>
    <row r="6309" spans="1:9" x14ac:dyDescent="0.25">
      <c r="A6309" s="1">
        <v>2500090036</v>
      </c>
      <c r="B6309" s="1" t="s">
        <v>4001</v>
      </c>
      <c r="C6309" s="1" t="s">
        <v>130</v>
      </c>
      <c r="D6309" s="1" t="s">
        <v>131</v>
      </c>
      <c r="E6309" s="3">
        <v>21543</v>
      </c>
      <c r="F6309" s="1" t="s">
        <v>36</v>
      </c>
      <c r="G6309" s="1">
        <v>0</v>
      </c>
      <c r="H6309" s="1">
        <v>0</v>
      </c>
      <c r="I6309" s="1">
        <v>0.16607</v>
      </c>
    </row>
    <row r="6310" spans="1:9" x14ac:dyDescent="0.25">
      <c r="A6310" s="1">
        <v>2500090036</v>
      </c>
      <c r="B6310" s="1" t="s">
        <v>4001</v>
      </c>
      <c r="C6310" s="1" t="s">
        <v>142</v>
      </c>
      <c r="D6310" s="1" t="s">
        <v>143</v>
      </c>
      <c r="E6310" s="3">
        <v>2</v>
      </c>
      <c r="F6310" s="1" t="s">
        <v>36</v>
      </c>
      <c r="G6310" s="1">
        <v>0</v>
      </c>
      <c r="H6310" s="1">
        <v>0</v>
      </c>
      <c r="I6310" s="1">
        <v>0.16500000000000001</v>
      </c>
    </row>
    <row r="6311" spans="1:9" x14ac:dyDescent="0.25">
      <c r="A6311" s="1">
        <v>2500090036</v>
      </c>
      <c r="B6311" s="1" t="s">
        <v>4001</v>
      </c>
      <c r="C6311" s="1" t="s">
        <v>167</v>
      </c>
      <c r="D6311" s="1" t="s">
        <v>168</v>
      </c>
      <c r="E6311" s="3">
        <v>2496</v>
      </c>
      <c r="F6311" s="1" t="s">
        <v>36</v>
      </c>
      <c r="G6311" s="1">
        <v>1</v>
      </c>
      <c r="H6311" s="1">
        <v>0</v>
      </c>
      <c r="I6311" s="1">
        <v>0.166074</v>
      </c>
    </row>
    <row r="6312" spans="1:9" x14ac:dyDescent="0.25">
      <c r="A6312" s="1">
        <v>2500090036</v>
      </c>
      <c r="B6312" s="1" t="s">
        <v>4001</v>
      </c>
      <c r="C6312" s="1" t="s">
        <v>137</v>
      </c>
      <c r="D6312" s="1" t="s">
        <v>138</v>
      </c>
      <c r="E6312" s="1">
        <v>0</v>
      </c>
      <c r="F6312" s="1" t="s">
        <v>36</v>
      </c>
      <c r="G6312" s="1">
        <v>0</v>
      </c>
      <c r="H6312" s="1">
        <v>1</v>
      </c>
      <c r="I6312" s="1">
        <v>0.16606699999999999</v>
      </c>
    </row>
    <row r="6313" spans="1:9" x14ac:dyDescent="0.25">
      <c r="A6313" s="1">
        <v>2500090043</v>
      </c>
      <c r="B6313" s="1" t="s">
        <v>4002</v>
      </c>
      <c r="C6313" s="1" t="s">
        <v>130</v>
      </c>
      <c r="D6313" s="1" t="s">
        <v>131</v>
      </c>
      <c r="E6313" s="3">
        <v>31300</v>
      </c>
      <c r="F6313" s="1" t="s">
        <v>36</v>
      </c>
      <c r="G6313" s="1">
        <v>0</v>
      </c>
      <c r="H6313" s="1">
        <v>0</v>
      </c>
      <c r="I6313" s="1">
        <v>3.2922E-2</v>
      </c>
    </row>
    <row r="6314" spans="1:9" x14ac:dyDescent="0.25">
      <c r="A6314" s="1">
        <v>2500090049</v>
      </c>
      <c r="B6314" s="1" t="s">
        <v>4003</v>
      </c>
      <c r="C6314" s="1" t="s">
        <v>157</v>
      </c>
      <c r="D6314" s="1" t="s">
        <v>158</v>
      </c>
      <c r="E6314" s="3">
        <v>24800</v>
      </c>
      <c r="F6314" s="1" t="s">
        <v>36</v>
      </c>
      <c r="G6314" s="1">
        <v>0</v>
      </c>
      <c r="H6314" s="1">
        <v>0</v>
      </c>
      <c r="I6314" s="1">
        <v>0.113022</v>
      </c>
    </row>
    <row r="6315" spans="1:9" x14ac:dyDescent="0.25">
      <c r="A6315" s="1">
        <v>2500090062</v>
      </c>
      <c r="B6315" s="1" t="s">
        <v>4004</v>
      </c>
      <c r="C6315" s="1" t="s">
        <v>130</v>
      </c>
      <c r="D6315" s="1" t="s">
        <v>131</v>
      </c>
      <c r="E6315" s="3">
        <v>30300</v>
      </c>
      <c r="F6315" s="1" t="s">
        <v>36</v>
      </c>
      <c r="G6315" s="1">
        <v>0</v>
      </c>
      <c r="H6315" s="1">
        <v>0</v>
      </c>
      <c r="I6315" s="1">
        <v>1.4515999999999999E-2</v>
      </c>
    </row>
    <row r="6316" spans="1:9" x14ac:dyDescent="0.25">
      <c r="A6316" s="1">
        <v>2500090065</v>
      </c>
      <c r="B6316" s="1" t="s">
        <v>4005</v>
      </c>
      <c r="C6316" s="1" t="s">
        <v>199</v>
      </c>
      <c r="D6316" s="1" t="s">
        <v>200</v>
      </c>
      <c r="E6316" s="3">
        <v>2000</v>
      </c>
      <c r="F6316" s="1" t="s">
        <v>36</v>
      </c>
      <c r="G6316" s="1">
        <v>0</v>
      </c>
      <c r="H6316" s="3">
        <v>2000</v>
      </c>
      <c r="I6316" s="1">
        <v>6.5769999999999995E-2</v>
      </c>
    </row>
    <row r="6317" spans="1:9" x14ac:dyDescent="0.25">
      <c r="A6317" s="1">
        <v>2500090065</v>
      </c>
      <c r="B6317" s="1" t="s">
        <v>4005</v>
      </c>
      <c r="C6317" s="1" t="s">
        <v>130</v>
      </c>
      <c r="D6317" s="1" t="s">
        <v>131</v>
      </c>
      <c r="E6317" s="3">
        <v>5528</v>
      </c>
      <c r="F6317" s="1" t="s">
        <v>36</v>
      </c>
      <c r="G6317" s="3">
        <v>2000</v>
      </c>
      <c r="H6317" s="1">
        <v>0</v>
      </c>
      <c r="I6317" s="1">
        <v>6.5767000000000006E-2</v>
      </c>
    </row>
    <row r="6318" spans="1:9" x14ac:dyDescent="0.25">
      <c r="A6318" s="1">
        <v>2500090065</v>
      </c>
      <c r="B6318" s="1" t="s">
        <v>4005</v>
      </c>
      <c r="C6318" s="1" t="s">
        <v>2333</v>
      </c>
      <c r="D6318" s="1" t="s">
        <v>2334</v>
      </c>
      <c r="E6318" s="1">
        <v>400</v>
      </c>
      <c r="F6318" s="1" t="s">
        <v>36</v>
      </c>
      <c r="G6318" s="1">
        <v>0</v>
      </c>
      <c r="H6318" s="1">
        <v>0</v>
      </c>
      <c r="I6318" s="1">
        <v>7.8E-2</v>
      </c>
    </row>
    <row r="6319" spans="1:9" x14ac:dyDescent="0.25">
      <c r="A6319" s="1">
        <v>2500090065</v>
      </c>
      <c r="B6319" s="1" t="s">
        <v>4005</v>
      </c>
      <c r="C6319" s="1" t="s">
        <v>144</v>
      </c>
      <c r="D6319" s="1" t="s">
        <v>145</v>
      </c>
      <c r="E6319" s="3">
        <v>400</v>
      </c>
      <c r="F6319" s="1" t="s">
        <v>36</v>
      </c>
      <c r="G6319" s="1">
        <v>0</v>
      </c>
      <c r="H6319" s="1">
        <v>0</v>
      </c>
      <c r="I6319" s="1">
        <v>6.5775E-2</v>
      </c>
    </row>
    <row r="6320" spans="1:9" x14ac:dyDescent="0.25">
      <c r="A6320" s="1">
        <v>2500090067</v>
      </c>
      <c r="B6320" s="1" t="s">
        <v>4006</v>
      </c>
      <c r="C6320" s="1" t="s">
        <v>130</v>
      </c>
      <c r="D6320" s="1" t="s">
        <v>131</v>
      </c>
      <c r="E6320" s="3">
        <v>3600</v>
      </c>
      <c r="F6320" s="1" t="s">
        <v>36</v>
      </c>
      <c r="G6320" s="1">
        <v>0</v>
      </c>
      <c r="H6320" s="1">
        <v>0</v>
      </c>
      <c r="I6320" s="1">
        <v>0.72533099999999995</v>
      </c>
    </row>
    <row r="6321" spans="1:9" x14ac:dyDescent="0.25">
      <c r="A6321" s="1">
        <v>2500090069</v>
      </c>
      <c r="B6321" s="1" t="s">
        <v>4007</v>
      </c>
      <c r="C6321" s="1" t="s">
        <v>126</v>
      </c>
      <c r="D6321" s="1" t="s">
        <v>127</v>
      </c>
      <c r="E6321" s="3">
        <v>3095</v>
      </c>
      <c r="F6321" s="1" t="s">
        <v>36</v>
      </c>
      <c r="G6321" s="1">
        <v>0</v>
      </c>
      <c r="H6321" s="1">
        <v>0</v>
      </c>
      <c r="I6321" s="1">
        <v>0.59586099999999997</v>
      </c>
    </row>
    <row r="6322" spans="1:9" x14ac:dyDescent="0.25">
      <c r="A6322" s="1">
        <v>2500090070</v>
      </c>
      <c r="B6322" s="1" t="s">
        <v>4008</v>
      </c>
      <c r="C6322" s="1" t="s">
        <v>130</v>
      </c>
      <c r="D6322" s="1" t="s">
        <v>131</v>
      </c>
      <c r="E6322" s="3">
        <v>1390</v>
      </c>
      <c r="F6322" s="1" t="s">
        <v>36</v>
      </c>
      <c r="G6322" s="1">
        <v>0</v>
      </c>
      <c r="H6322" s="1">
        <v>0</v>
      </c>
      <c r="I6322" s="1">
        <v>0.22236700000000001</v>
      </c>
    </row>
    <row r="6323" spans="1:9" x14ac:dyDescent="0.25">
      <c r="A6323" s="1">
        <v>2500090076</v>
      </c>
      <c r="B6323" s="1" t="s">
        <v>4009</v>
      </c>
      <c r="C6323" s="1" t="s">
        <v>130</v>
      </c>
      <c r="D6323" s="1" t="s">
        <v>131</v>
      </c>
      <c r="E6323" s="3">
        <v>5747</v>
      </c>
      <c r="F6323" s="1" t="s">
        <v>36</v>
      </c>
      <c r="G6323" s="1">
        <v>0</v>
      </c>
      <c r="H6323" s="1">
        <v>0</v>
      </c>
      <c r="I6323" s="1">
        <v>3.0963999999999998E-2</v>
      </c>
    </row>
    <row r="6324" spans="1:9" x14ac:dyDescent="0.25">
      <c r="A6324" s="1">
        <v>2500090077</v>
      </c>
      <c r="B6324" s="1" t="s">
        <v>4010</v>
      </c>
      <c r="C6324" s="1" t="s">
        <v>130</v>
      </c>
      <c r="D6324" s="1" t="s">
        <v>131</v>
      </c>
      <c r="E6324" s="3">
        <v>6995</v>
      </c>
      <c r="F6324" s="1" t="s">
        <v>36</v>
      </c>
      <c r="G6324" s="1">
        <v>0</v>
      </c>
      <c r="H6324" s="1">
        <v>0</v>
      </c>
      <c r="I6324" s="1">
        <v>2.9467E-2</v>
      </c>
    </row>
    <row r="6325" spans="1:9" x14ac:dyDescent="0.25">
      <c r="A6325" s="1">
        <v>2500090078</v>
      </c>
      <c r="B6325" s="1" t="s">
        <v>4011</v>
      </c>
      <c r="C6325" s="1" t="s">
        <v>130</v>
      </c>
      <c r="D6325" s="1" t="s">
        <v>131</v>
      </c>
      <c r="E6325" s="3">
        <v>15894</v>
      </c>
      <c r="F6325" s="1" t="s">
        <v>36</v>
      </c>
      <c r="G6325" s="1">
        <v>0</v>
      </c>
      <c r="H6325" s="3">
        <v>20000</v>
      </c>
      <c r="I6325" s="1">
        <v>9.3200000000000005E-2</v>
      </c>
    </row>
    <row r="6326" spans="1:9" x14ac:dyDescent="0.25">
      <c r="A6326" s="1">
        <v>2500090079</v>
      </c>
      <c r="B6326" s="1" t="s">
        <v>4012</v>
      </c>
      <c r="C6326" s="1" t="s">
        <v>130</v>
      </c>
      <c r="D6326" s="1" t="s">
        <v>131</v>
      </c>
      <c r="E6326" s="3">
        <v>10274</v>
      </c>
      <c r="F6326" s="1" t="s">
        <v>36</v>
      </c>
      <c r="G6326" s="1">
        <v>0</v>
      </c>
      <c r="H6326" s="3">
        <v>20000</v>
      </c>
      <c r="I6326" s="1">
        <v>0.135602</v>
      </c>
    </row>
    <row r="6327" spans="1:9" x14ac:dyDescent="0.25">
      <c r="A6327" s="1">
        <v>2500090080</v>
      </c>
      <c r="B6327" s="1" t="s">
        <v>4013</v>
      </c>
      <c r="C6327" s="1" t="s">
        <v>130</v>
      </c>
      <c r="D6327" s="1" t="s">
        <v>131</v>
      </c>
      <c r="E6327" s="3">
        <v>6986</v>
      </c>
      <c r="F6327" s="1" t="s">
        <v>36</v>
      </c>
      <c r="G6327" s="1">
        <v>0</v>
      </c>
      <c r="H6327" s="1">
        <v>0</v>
      </c>
      <c r="I6327" s="1">
        <v>0.101688</v>
      </c>
    </row>
    <row r="6328" spans="1:9" x14ac:dyDescent="0.25">
      <c r="A6328">
        <v>2500090081</v>
      </c>
      <c r="B6328" t="s">
        <v>4014</v>
      </c>
      <c r="C6328" t="s">
        <v>130</v>
      </c>
      <c r="D6328" t="s">
        <v>131</v>
      </c>
      <c r="E6328" s="2">
        <v>615</v>
      </c>
      <c r="F6328" t="s">
        <v>36</v>
      </c>
      <c r="G6328" s="2">
        <v>0</v>
      </c>
      <c r="H6328">
        <v>0</v>
      </c>
      <c r="I6328">
        <v>3.6455000000000001E-2</v>
      </c>
    </row>
    <row r="6329" spans="1:9" x14ac:dyDescent="0.25">
      <c r="A6329" s="1">
        <v>2500090087</v>
      </c>
      <c r="B6329" s="1" t="s">
        <v>4015</v>
      </c>
      <c r="C6329" s="1" t="s">
        <v>130</v>
      </c>
      <c r="D6329" s="1" t="s">
        <v>131</v>
      </c>
      <c r="E6329" s="3">
        <v>56959</v>
      </c>
      <c r="F6329" s="1" t="s">
        <v>36</v>
      </c>
      <c r="G6329" s="1">
        <v>0</v>
      </c>
      <c r="H6329" s="1">
        <v>0</v>
      </c>
      <c r="I6329" s="1">
        <v>0.25092100000000001</v>
      </c>
    </row>
    <row r="6330" spans="1:9" x14ac:dyDescent="0.25">
      <c r="A6330" s="1">
        <v>2500090088</v>
      </c>
      <c r="B6330" s="1" t="s">
        <v>4016</v>
      </c>
      <c r="C6330" s="1" t="s">
        <v>130</v>
      </c>
      <c r="D6330" s="1" t="s">
        <v>131</v>
      </c>
      <c r="E6330" s="3">
        <v>25670</v>
      </c>
      <c r="F6330" s="1" t="s">
        <v>36</v>
      </c>
      <c r="G6330" s="1">
        <v>0</v>
      </c>
      <c r="H6330" s="1">
        <v>0</v>
      </c>
      <c r="I6330" s="1">
        <v>0.26105</v>
      </c>
    </row>
    <row r="6331" spans="1:9" x14ac:dyDescent="0.25">
      <c r="A6331" s="1">
        <v>2500090089</v>
      </c>
      <c r="B6331" s="1" t="s">
        <v>4017</v>
      </c>
      <c r="C6331" s="1" t="s">
        <v>130</v>
      </c>
      <c r="D6331" s="1" t="s">
        <v>131</v>
      </c>
      <c r="E6331" s="3">
        <v>53130</v>
      </c>
      <c r="F6331" s="1" t="s">
        <v>36</v>
      </c>
      <c r="G6331" s="1">
        <v>0</v>
      </c>
      <c r="H6331" s="1">
        <v>0</v>
      </c>
      <c r="I6331" s="1">
        <v>0.209254</v>
      </c>
    </row>
    <row r="6332" spans="1:9" x14ac:dyDescent="0.25">
      <c r="A6332" s="1">
        <v>2500090090</v>
      </c>
      <c r="B6332" s="1" t="s">
        <v>4018</v>
      </c>
      <c r="C6332" s="1" t="s">
        <v>130</v>
      </c>
      <c r="D6332" s="1" t="s">
        <v>131</v>
      </c>
      <c r="E6332" s="3">
        <v>6938</v>
      </c>
      <c r="F6332" s="1" t="s">
        <v>36</v>
      </c>
      <c r="G6332" s="1">
        <v>0</v>
      </c>
      <c r="H6332" s="1">
        <v>0</v>
      </c>
      <c r="I6332" s="1">
        <v>0.110156</v>
      </c>
    </row>
    <row r="6333" spans="1:9" x14ac:dyDescent="0.25">
      <c r="A6333" s="1">
        <v>2500090091</v>
      </c>
      <c r="B6333" s="1" t="s">
        <v>4019</v>
      </c>
      <c r="C6333" s="1" t="s">
        <v>130</v>
      </c>
      <c r="D6333" s="1" t="s">
        <v>131</v>
      </c>
      <c r="E6333" s="1">
        <v>21</v>
      </c>
      <c r="F6333" s="1" t="s">
        <v>89</v>
      </c>
      <c r="G6333" s="1">
        <v>0</v>
      </c>
      <c r="H6333" s="1">
        <v>0</v>
      </c>
      <c r="I6333" s="1">
        <v>10.07619</v>
      </c>
    </row>
    <row r="6334" spans="1:9" x14ac:dyDescent="0.25">
      <c r="A6334" s="1">
        <v>2500090092</v>
      </c>
      <c r="B6334" s="1" t="s">
        <v>4020</v>
      </c>
      <c r="C6334" s="1" t="s">
        <v>130</v>
      </c>
      <c r="D6334" s="1" t="s">
        <v>131</v>
      </c>
      <c r="E6334" s="1">
        <v>5</v>
      </c>
      <c r="F6334" s="1" t="s">
        <v>89</v>
      </c>
      <c r="G6334" s="1">
        <v>0</v>
      </c>
      <c r="H6334" s="1">
        <v>0</v>
      </c>
      <c r="I6334" s="1">
        <v>10</v>
      </c>
    </row>
    <row r="6335" spans="1:9" x14ac:dyDescent="0.25">
      <c r="A6335" s="1">
        <v>2500090093</v>
      </c>
      <c r="B6335" s="1" t="s">
        <v>4021</v>
      </c>
      <c r="C6335" s="1" t="s">
        <v>130</v>
      </c>
      <c r="D6335" s="1" t="s">
        <v>131</v>
      </c>
      <c r="E6335" s="3">
        <v>9143</v>
      </c>
      <c r="F6335" s="1" t="s">
        <v>36</v>
      </c>
      <c r="G6335" s="1">
        <v>0</v>
      </c>
      <c r="H6335" s="1">
        <v>0</v>
      </c>
      <c r="I6335" s="1">
        <v>2.9661E-2</v>
      </c>
    </row>
    <row r="6336" spans="1:9" x14ac:dyDescent="0.25">
      <c r="A6336" s="1">
        <v>2500090096</v>
      </c>
      <c r="B6336" s="1" t="s">
        <v>4022</v>
      </c>
      <c r="C6336" s="1" t="s">
        <v>130</v>
      </c>
      <c r="D6336" s="1" t="s">
        <v>131</v>
      </c>
      <c r="E6336" s="3">
        <v>1935</v>
      </c>
      <c r="F6336" s="1" t="s">
        <v>36</v>
      </c>
      <c r="G6336" s="1">
        <v>0</v>
      </c>
      <c r="H6336" s="1">
        <v>0</v>
      </c>
      <c r="I6336" s="1">
        <v>8.4945999999999994E-2</v>
      </c>
    </row>
    <row r="6337" spans="1:9" x14ac:dyDescent="0.25">
      <c r="A6337">
        <v>2500090097</v>
      </c>
      <c r="B6337" t="s">
        <v>4023</v>
      </c>
      <c r="C6337" t="s">
        <v>130</v>
      </c>
      <c r="D6337" t="s">
        <v>131</v>
      </c>
      <c r="E6337" s="2">
        <v>29486</v>
      </c>
      <c r="F6337" t="s">
        <v>36</v>
      </c>
      <c r="G6337">
        <v>0</v>
      </c>
      <c r="H6337">
        <v>0</v>
      </c>
      <c r="I6337">
        <v>0.21623000000000001</v>
      </c>
    </row>
    <row r="6338" spans="1:9" x14ac:dyDescent="0.25">
      <c r="A6338">
        <v>2500090097</v>
      </c>
      <c r="B6338" t="s">
        <v>4023</v>
      </c>
      <c r="C6338" t="s">
        <v>142</v>
      </c>
      <c r="D6338" t="s">
        <v>143</v>
      </c>
      <c r="E6338" s="2">
        <v>1880</v>
      </c>
      <c r="F6338" t="s">
        <v>36</v>
      </c>
      <c r="G6338">
        <v>0</v>
      </c>
      <c r="H6338">
        <v>0</v>
      </c>
      <c r="I6338">
        <v>0.216229</v>
      </c>
    </row>
    <row r="6339" spans="1:9" x14ac:dyDescent="0.25">
      <c r="A6339" s="1">
        <v>2500090098</v>
      </c>
      <c r="B6339" s="1" t="s">
        <v>4024</v>
      </c>
      <c r="C6339" s="1" t="s">
        <v>130</v>
      </c>
      <c r="D6339" s="1" t="s">
        <v>131</v>
      </c>
      <c r="E6339" s="3">
        <v>2846</v>
      </c>
      <c r="F6339" s="1" t="s">
        <v>36</v>
      </c>
      <c r="G6339" s="1">
        <v>0</v>
      </c>
      <c r="H6339" s="1">
        <v>0</v>
      </c>
      <c r="I6339" s="1">
        <v>0.19077</v>
      </c>
    </row>
    <row r="6340" spans="1:9" x14ac:dyDescent="0.25">
      <c r="A6340" s="1">
        <v>2500090100</v>
      </c>
      <c r="B6340" s="1" t="s">
        <v>4025</v>
      </c>
      <c r="C6340" s="1" t="s">
        <v>130</v>
      </c>
      <c r="D6340" s="1" t="s">
        <v>131</v>
      </c>
      <c r="E6340" s="3">
        <v>40216</v>
      </c>
      <c r="F6340" s="1" t="s">
        <v>36</v>
      </c>
      <c r="G6340" s="1">
        <v>0</v>
      </c>
      <c r="H6340" s="1">
        <v>0</v>
      </c>
      <c r="I6340" s="1">
        <v>0.19615299999999999</v>
      </c>
    </row>
    <row r="6341" spans="1:9" x14ac:dyDescent="0.25">
      <c r="A6341" s="1">
        <v>2500090102</v>
      </c>
      <c r="B6341" s="1" t="s">
        <v>4026</v>
      </c>
      <c r="C6341" s="1" t="s">
        <v>130</v>
      </c>
      <c r="D6341" s="1" t="s">
        <v>131</v>
      </c>
      <c r="E6341" s="3">
        <v>34702</v>
      </c>
      <c r="F6341" s="1" t="s">
        <v>36</v>
      </c>
      <c r="G6341" s="1">
        <v>0</v>
      </c>
      <c r="H6341" s="1">
        <v>0</v>
      </c>
      <c r="I6341" s="1">
        <v>0.26227200000000001</v>
      </c>
    </row>
    <row r="6342" spans="1:9" x14ac:dyDescent="0.25">
      <c r="A6342" s="1">
        <v>2500090104</v>
      </c>
      <c r="B6342" s="1" t="s">
        <v>4027</v>
      </c>
      <c r="C6342" s="1" t="s">
        <v>130</v>
      </c>
      <c r="D6342" s="1" t="s">
        <v>131</v>
      </c>
      <c r="E6342" s="1">
        <v>126</v>
      </c>
      <c r="F6342" s="1" t="s">
        <v>36</v>
      </c>
      <c r="G6342" s="1">
        <v>0</v>
      </c>
      <c r="H6342" s="1">
        <v>0</v>
      </c>
      <c r="I6342" s="1">
        <v>0.31888899999999998</v>
      </c>
    </row>
    <row r="6343" spans="1:9" x14ac:dyDescent="0.25">
      <c r="A6343" s="1">
        <v>2500100006</v>
      </c>
      <c r="B6343" s="1" t="s">
        <v>4028</v>
      </c>
      <c r="C6343" s="1" t="s">
        <v>130</v>
      </c>
      <c r="D6343" s="1" t="s">
        <v>131</v>
      </c>
      <c r="E6343" s="1">
        <v>94.75</v>
      </c>
      <c r="F6343" s="1" t="s">
        <v>89</v>
      </c>
      <c r="G6343" s="1">
        <v>0</v>
      </c>
      <c r="H6343" s="1">
        <v>0</v>
      </c>
      <c r="I6343" s="1">
        <v>6.5754089999999996</v>
      </c>
    </row>
    <row r="6344" spans="1:9" x14ac:dyDescent="0.25">
      <c r="A6344" s="1">
        <v>2500100007</v>
      </c>
      <c r="B6344" s="1" t="s">
        <v>4029</v>
      </c>
      <c r="C6344" s="1" t="s">
        <v>130</v>
      </c>
      <c r="D6344" s="1" t="s">
        <v>131</v>
      </c>
      <c r="E6344" s="1">
        <v>75.8</v>
      </c>
      <c r="F6344" s="1" t="s">
        <v>89</v>
      </c>
      <c r="G6344" s="1">
        <v>0</v>
      </c>
      <c r="H6344" s="1">
        <v>0</v>
      </c>
      <c r="I6344" s="1">
        <v>4.9000000000000004</v>
      </c>
    </row>
    <row r="6345" spans="1:9" x14ac:dyDescent="0.25">
      <c r="A6345">
        <v>2500100008</v>
      </c>
      <c r="B6345" t="s">
        <v>4030</v>
      </c>
      <c r="C6345" t="s">
        <v>130</v>
      </c>
      <c r="D6345" t="s">
        <v>131</v>
      </c>
      <c r="E6345" s="2">
        <v>150</v>
      </c>
      <c r="F6345" t="s">
        <v>89</v>
      </c>
      <c r="G6345">
        <v>0</v>
      </c>
      <c r="H6345">
        <v>0</v>
      </c>
      <c r="I6345">
        <v>5.4960000000000004</v>
      </c>
    </row>
    <row r="6346" spans="1:9" x14ac:dyDescent="0.25">
      <c r="A6346" s="1">
        <v>2500100017</v>
      </c>
      <c r="B6346" s="1" t="s">
        <v>4031</v>
      </c>
      <c r="C6346" s="1" t="s">
        <v>167</v>
      </c>
      <c r="D6346" s="1" t="s">
        <v>168</v>
      </c>
      <c r="E6346" s="3">
        <v>1600</v>
      </c>
      <c r="F6346" s="1" t="s">
        <v>36</v>
      </c>
      <c r="G6346" s="1">
        <v>0</v>
      </c>
      <c r="H6346" s="1">
        <v>0</v>
      </c>
      <c r="I6346" s="1">
        <v>0.36626900000000001</v>
      </c>
    </row>
    <row r="6347" spans="1:9" x14ac:dyDescent="0.25">
      <c r="A6347">
        <v>2500110006</v>
      </c>
      <c r="B6347" t="s">
        <v>4032</v>
      </c>
      <c r="C6347" t="s">
        <v>2248</v>
      </c>
      <c r="D6347" t="s">
        <v>2249</v>
      </c>
      <c r="E6347" s="2">
        <v>0</v>
      </c>
      <c r="F6347" t="s">
        <v>89</v>
      </c>
      <c r="G6347">
        <v>0</v>
      </c>
      <c r="H6347">
        <v>60</v>
      </c>
      <c r="I6347">
        <v>27.526893999999999</v>
      </c>
    </row>
    <row r="6348" spans="1:9" x14ac:dyDescent="0.25">
      <c r="A6348" s="1">
        <v>2500110009</v>
      </c>
      <c r="B6348" s="1" t="s">
        <v>4033</v>
      </c>
      <c r="C6348" s="1" t="s">
        <v>523</v>
      </c>
      <c r="D6348" s="1" t="s">
        <v>524</v>
      </c>
      <c r="E6348" s="1">
        <v>27.998100000000001</v>
      </c>
      <c r="F6348" s="1" t="s">
        <v>1015</v>
      </c>
      <c r="G6348" s="1">
        <v>0</v>
      </c>
      <c r="H6348" s="1">
        <v>0</v>
      </c>
      <c r="I6348" s="1">
        <v>13.314831999999999</v>
      </c>
    </row>
    <row r="6349" spans="1:9" x14ac:dyDescent="0.25">
      <c r="A6349" s="1">
        <v>2500110009</v>
      </c>
      <c r="B6349" s="1" t="s">
        <v>4033</v>
      </c>
      <c r="C6349" s="1" t="s">
        <v>167</v>
      </c>
      <c r="D6349" s="1" t="s">
        <v>168</v>
      </c>
      <c r="E6349" s="1">
        <v>56</v>
      </c>
      <c r="F6349" s="1" t="s">
        <v>1015</v>
      </c>
      <c r="G6349" s="3">
        <v>0</v>
      </c>
      <c r="H6349" s="1">
        <v>0</v>
      </c>
      <c r="I6349" s="1">
        <v>14.638928999999999</v>
      </c>
    </row>
    <row r="6350" spans="1:9" x14ac:dyDescent="0.25">
      <c r="A6350" s="1">
        <v>2500110024</v>
      </c>
      <c r="B6350" s="1" t="s">
        <v>4034</v>
      </c>
      <c r="C6350" s="1" t="s">
        <v>130</v>
      </c>
      <c r="D6350" s="1" t="s">
        <v>131</v>
      </c>
      <c r="E6350" s="1">
        <v>0</v>
      </c>
      <c r="F6350" s="1" t="s">
        <v>89</v>
      </c>
      <c r="G6350" s="1">
        <v>11.2</v>
      </c>
      <c r="H6350" s="1">
        <v>155.68</v>
      </c>
      <c r="I6350" s="1">
        <v>13.836330999999999</v>
      </c>
    </row>
    <row r="6351" spans="1:9" x14ac:dyDescent="0.25">
      <c r="A6351" s="1">
        <v>2500110024</v>
      </c>
      <c r="B6351" s="1" t="s">
        <v>4034</v>
      </c>
      <c r="C6351" s="1" t="s">
        <v>142</v>
      </c>
      <c r="D6351" s="1" t="s">
        <v>143</v>
      </c>
      <c r="E6351" s="3">
        <v>3.3679999999999999</v>
      </c>
      <c r="F6351" s="1" t="s">
        <v>89</v>
      </c>
      <c r="G6351" s="3">
        <v>0</v>
      </c>
      <c r="H6351" s="1">
        <v>11.2</v>
      </c>
      <c r="I6351" s="1">
        <v>13.839074</v>
      </c>
    </row>
    <row r="6352" spans="1:9" x14ac:dyDescent="0.25">
      <c r="A6352" s="1">
        <v>2500110026</v>
      </c>
      <c r="B6352" s="1" t="s">
        <v>4035</v>
      </c>
      <c r="C6352" s="1" t="s">
        <v>130</v>
      </c>
      <c r="D6352" s="1" t="s">
        <v>131</v>
      </c>
      <c r="E6352" s="3">
        <v>186</v>
      </c>
      <c r="F6352" s="1" t="s">
        <v>1015</v>
      </c>
      <c r="G6352" s="1">
        <v>0</v>
      </c>
      <c r="H6352" s="3">
        <v>0</v>
      </c>
      <c r="I6352" s="1">
        <v>15.881074999999999</v>
      </c>
    </row>
    <row r="6353" spans="1:9" x14ac:dyDescent="0.25">
      <c r="A6353" s="1">
        <v>2500110028</v>
      </c>
      <c r="B6353" s="1" t="s">
        <v>4036</v>
      </c>
      <c r="C6353" s="1" t="s">
        <v>130</v>
      </c>
      <c r="D6353" s="1" t="s">
        <v>131</v>
      </c>
      <c r="E6353" s="3">
        <v>2250</v>
      </c>
      <c r="F6353" s="1" t="s">
        <v>36</v>
      </c>
      <c r="G6353" s="1">
        <v>0</v>
      </c>
      <c r="H6353" s="1">
        <v>0</v>
      </c>
      <c r="I6353" s="1">
        <v>1.0681510000000001</v>
      </c>
    </row>
    <row r="6354" spans="1:9" x14ac:dyDescent="0.25">
      <c r="A6354" s="1">
        <v>2500110030</v>
      </c>
      <c r="B6354" s="1" t="s">
        <v>4037</v>
      </c>
      <c r="C6354" s="1" t="s">
        <v>130</v>
      </c>
      <c r="D6354" s="1" t="s">
        <v>131</v>
      </c>
      <c r="E6354" s="3">
        <v>315.60000000000002</v>
      </c>
      <c r="F6354" s="1" t="s">
        <v>89</v>
      </c>
      <c r="G6354" s="1">
        <v>0</v>
      </c>
      <c r="H6354" s="1">
        <v>0</v>
      </c>
      <c r="I6354" s="1">
        <v>14.378169</v>
      </c>
    </row>
    <row r="6355" spans="1:9" x14ac:dyDescent="0.25">
      <c r="A6355" s="1">
        <v>2500110031</v>
      </c>
      <c r="B6355" s="1" t="s">
        <v>4038</v>
      </c>
      <c r="C6355" s="1" t="s">
        <v>130</v>
      </c>
      <c r="D6355" s="1" t="s">
        <v>131</v>
      </c>
      <c r="E6355" s="1">
        <v>176</v>
      </c>
      <c r="F6355" s="1" t="s">
        <v>1015</v>
      </c>
      <c r="G6355" s="1">
        <v>0</v>
      </c>
      <c r="H6355" s="1">
        <v>360</v>
      </c>
      <c r="I6355" s="1">
        <v>11.957273000000001</v>
      </c>
    </row>
    <row r="6356" spans="1:9" x14ac:dyDescent="0.25">
      <c r="A6356" s="1">
        <v>2500110031</v>
      </c>
      <c r="B6356" s="1" t="s">
        <v>4038</v>
      </c>
      <c r="C6356" s="1" t="s">
        <v>139</v>
      </c>
      <c r="D6356" s="1" t="s">
        <v>140</v>
      </c>
      <c r="E6356" s="1">
        <v>4</v>
      </c>
      <c r="F6356" s="1" t="s">
        <v>1015</v>
      </c>
      <c r="G6356" s="1">
        <v>0</v>
      </c>
      <c r="H6356" s="1">
        <v>0</v>
      </c>
      <c r="I6356" s="1">
        <v>12.855</v>
      </c>
    </row>
    <row r="6357" spans="1:9" x14ac:dyDescent="0.25">
      <c r="A6357" s="1">
        <v>2500120064</v>
      </c>
      <c r="B6357" s="1" t="s">
        <v>4039</v>
      </c>
      <c r="C6357" s="1" t="s">
        <v>130</v>
      </c>
      <c r="D6357" s="1" t="s">
        <v>131</v>
      </c>
      <c r="E6357" s="3">
        <v>6355</v>
      </c>
      <c r="F6357" s="1" t="s">
        <v>36</v>
      </c>
      <c r="G6357" s="3">
        <v>100</v>
      </c>
      <c r="H6357" s="1">
        <v>0</v>
      </c>
      <c r="I6357" s="1">
        <v>0.481456</v>
      </c>
    </row>
    <row r="6358" spans="1:9" x14ac:dyDescent="0.25">
      <c r="A6358" s="1">
        <v>2500120064</v>
      </c>
      <c r="B6358" s="1" t="s">
        <v>4039</v>
      </c>
      <c r="C6358" s="1" t="s">
        <v>142</v>
      </c>
      <c r="D6358" s="1" t="s">
        <v>143</v>
      </c>
      <c r="E6358" s="3">
        <v>0</v>
      </c>
      <c r="F6358" s="1" t="s">
        <v>36</v>
      </c>
      <c r="G6358" s="1">
        <v>0</v>
      </c>
      <c r="H6358" s="1">
        <v>100</v>
      </c>
      <c r="I6358" s="1">
        <v>0</v>
      </c>
    </row>
    <row r="6359" spans="1:9" x14ac:dyDescent="0.25">
      <c r="A6359" s="1">
        <v>2500120065</v>
      </c>
      <c r="B6359" s="1" t="s">
        <v>4040</v>
      </c>
      <c r="C6359" s="1" t="s">
        <v>130</v>
      </c>
      <c r="D6359" s="1" t="s">
        <v>131</v>
      </c>
      <c r="E6359" s="3">
        <v>6350</v>
      </c>
      <c r="F6359" s="1" t="s">
        <v>36</v>
      </c>
      <c r="G6359" s="1">
        <v>100</v>
      </c>
      <c r="H6359" s="1">
        <v>0</v>
      </c>
      <c r="I6359" s="1">
        <v>0.450961</v>
      </c>
    </row>
    <row r="6360" spans="1:9" x14ac:dyDescent="0.25">
      <c r="A6360" s="1">
        <v>2500120065</v>
      </c>
      <c r="B6360" s="1" t="s">
        <v>4040</v>
      </c>
      <c r="C6360" s="1" t="s">
        <v>142</v>
      </c>
      <c r="D6360" s="1" t="s">
        <v>143</v>
      </c>
      <c r="E6360" s="1">
        <v>0</v>
      </c>
      <c r="F6360" s="1" t="s">
        <v>36</v>
      </c>
      <c r="G6360" s="3">
        <v>0</v>
      </c>
      <c r="H6360" s="3">
        <v>100</v>
      </c>
      <c r="I6360" s="1">
        <v>0</v>
      </c>
    </row>
    <row r="6361" spans="1:9" x14ac:dyDescent="0.25">
      <c r="A6361" s="1">
        <v>2500140006</v>
      </c>
      <c r="B6361" s="1" t="s">
        <v>4041</v>
      </c>
      <c r="C6361" s="1" t="s">
        <v>130</v>
      </c>
      <c r="D6361" s="1" t="s">
        <v>131</v>
      </c>
      <c r="E6361" s="1">
        <v>2</v>
      </c>
      <c r="F6361" s="1" t="s">
        <v>3209</v>
      </c>
      <c r="G6361" s="1">
        <v>0</v>
      </c>
      <c r="H6361" s="1">
        <v>0</v>
      </c>
      <c r="I6361" s="1">
        <v>362.21</v>
      </c>
    </row>
    <row r="6362" spans="1:9" x14ac:dyDescent="0.25">
      <c r="A6362" s="1">
        <v>2500150002</v>
      </c>
      <c r="B6362" s="1" t="s">
        <v>4042</v>
      </c>
      <c r="C6362" s="1" t="s">
        <v>130</v>
      </c>
      <c r="D6362" s="1" t="s">
        <v>131</v>
      </c>
      <c r="E6362" s="1">
        <v>7</v>
      </c>
      <c r="F6362" s="1" t="s">
        <v>36</v>
      </c>
      <c r="G6362" s="1">
        <v>0</v>
      </c>
      <c r="H6362" s="1">
        <v>0</v>
      </c>
      <c r="I6362" s="1">
        <v>6.2428569999999999</v>
      </c>
    </row>
    <row r="6363" spans="1:9" x14ac:dyDescent="0.25">
      <c r="A6363" s="1">
        <v>2500150003</v>
      </c>
      <c r="B6363" s="1" t="s">
        <v>4043</v>
      </c>
      <c r="C6363" s="1" t="s">
        <v>130</v>
      </c>
      <c r="D6363" s="1" t="s">
        <v>131</v>
      </c>
      <c r="E6363" s="1">
        <v>72</v>
      </c>
      <c r="F6363" s="1" t="s">
        <v>36</v>
      </c>
      <c r="G6363" s="1">
        <v>0</v>
      </c>
      <c r="H6363" s="1">
        <v>0</v>
      </c>
      <c r="I6363" s="1">
        <v>5</v>
      </c>
    </row>
    <row r="6364" spans="1:9" x14ac:dyDescent="0.25">
      <c r="A6364">
        <v>2500150004</v>
      </c>
      <c r="B6364" t="s">
        <v>4044</v>
      </c>
      <c r="C6364" t="s">
        <v>144</v>
      </c>
      <c r="D6364" t="s">
        <v>145</v>
      </c>
      <c r="E6364" s="2">
        <v>10.479799999999999</v>
      </c>
      <c r="F6364" t="s">
        <v>36</v>
      </c>
      <c r="G6364">
        <v>0</v>
      </c>
      <c r="H6364">
        <v>0</v>
      </c>
      <c r="I6364">
        <v>2.6298210000000002</v>
      </c>
    </row>
    <row r="6365" spans="1:9" x14ac:dyDescent="0.25">
      <c r="A6365">
        <v>2500150007</v>
      </c>
      <c r="B6365" t="s">
        <v>4045</v>
      </c>
      <c r="C6365" t="s">
        <v>167</v>
      </c>
      <c r="D6365" t="s">
        <v>168</v>
      </c>
      <c r="E6365" s="2">
        <v>70</v>
      </c>
      <c r="F6365" t="s">
        <v>1015</v>
      </c>
      <c r="G6365">
        <v>132</v>
      </c>
      <c r="H6365">
        <v>0</v>
      </c>
      <c r="I6365">
        <v>2.0458569999999998</v>
      </c>
    </row>
    <row r="6366" spans="1:9" x14ac:dyDescent="0.25">
      <c r="A6366">
        <v>2500150007</v>
      </c>
      <c r="B6366" t="s">
        <v>4045</v>
      </c>
      <c r="C6366" t="s">
        <v>137</v>
      </c>
      <c r="D6366" t="s">
        <v>138</v>
      </c>
      <c r="E6366" s="2">
        <v>0</v>
      </c>
      <c r="F6366" t="s">
        <v>1015</v>
      </c>
      <c r="G6366">
        <v>0</v>
      </c>
      <c r="H6366">
        <v>132</v>
      </c>
      <c r="I6366">
        <v>2.0457580000000002</v>
      </c>
    </row>
    <row r="6367" spans="1:9" x14ac:dyDescent="0.25">
      <c r="A6367" s="1">
        <v>2500150008</v>
      </c>
      <c r="B6367" s="1" t="s">
        <v>4046</v>
      </c>
      <c r="C6367" s="1" t="s">
        <v>2248</v>
      </c>
      <c r="D6367" s="1" t="s">
        <v>2249</v>
      </c>
      <c r="E6367" s="1">
        <v>0</v>
      </c>
      <c r="F6367" s="1" t="s">
        <v>36</v>
      </c>
      <c r="G6367" s="1">
        <v>0</v>
      </c>
      <c r="H6367" s="1">
        <v>391.28</v>
      </c>
      <c r="I6367" s="1">
        <v>0</v>
      </c>
    </row>
    <row r="6368" spans="1:9" x14ac:dyDescent="0.25">
      <c r="A6368" s="1">
        <v>2500150010</v>
      </c>
      <c r="B6368" s="1" t="s">
        <v>4047</v>
      </c>
      <c r="C6368" s="1" t="s">
        <v>130</v>
      </c>
      <c r="D6368" s="1" t="s">
        <v>131</v>
      </c>
      <c r="E6368" s="1">
        <v>268</v>
      </c>
      <c r="F6368" s="1" t="s">
        <v>1015</v>
      </c>
      <c r="G6368" s="1">
        <v>0</v>
      </c>
      <c r="H6368" s="1">
        <v>0</v>
      </c>
      <c r="I6368" s="1">
        <v>3.941754</v>
      </c>
    </row>
    <row r="6369" spans="1:9" x14ac:dyDescent="0.25">
      <c r="A6369" s="1">
        <v>2500190001</v>
      </c>
      <c r="B6369" s="1" t="s">
        <v>4048</v>
      </c>
      <c r="C6369" s="1" t="s">
        <v>523</v>
      </c>
      <c r="D6369" s="1" t="s">
        <v>524</v>
      </c>
      <c r="E6369" s="1">
        <v>15.82</v>
      </c>
      <c r="F6369" s="1" t="s">
        <v>89</v>
      </c>
      <c r="G6369" s="1">
        <v>0</v>
      </c>
      <c r="H6369" s="1">
        <v>0</v>
      </c>
      <c r="I6369" s="1">
        <v>22.204172</v>
      </c>
    </row>
    <row r="6370" spans="1:9" x14ac:dyDescent="0.25">
      <c r="A6370">
        <v>2510010009</v>
      </c>
      <c r="B6370" t="s">
        <v>4049</v>
      </c>
      <c r="C6370" t="s">
        <v>1480</v>
      </c>
      <c r="D6370" t="s">
        <v>1481</v>
      </c>
      <c r="E6370" s="2">
        <v>3</v>
      </c>
      <c r="F6370" t="s">
        <v>36</v>
      </c>
      <c r="G6370">
        <v>0</v>
      </c>
      <c r="H6370">
        <v>0</v>
      </c>
      <c r="I6370">
        <v>3.556667</v>
      </c>
    </row>
    <row r="6371" spans="1:9" x14ac:dyDescent="0.25">
      <c r="A6371" s="1">
        <v>2510010033</v>
      </c>
      <c r="B6371" s="1" t="s">
        <v>4050</v>
      </c>
      <c r="C6371" s="1" t="s">
        <v>1480</v>
      </c>
      <c r="D6371" s="1" t="s">
        <v>1481</v>
      </c>
      <c r="E6371" s="3">
        <v>150</v>
      </c>
      <c r="F6371" s="1" t="s">
        <v>36</v>
      </c>
      <c r="G6371" s="1">
        <v>0</v>
      </c>
      <c r="H6371" s="1">
        <v>0</v>
      </c>
      <c r="I6371" s="1">
        <v>3.3801329999999998</v>
      </c>
    </row>
    <row r="6372" spans="1:9" x14ac:dyDescent="0.25">
      <c r="A6372" s="1">
        <v>2510010038</v>
      </c>
      <c r="B6372" s="1" t="s">
        <v>4051</v>
      </c>
      <c r="C6372" s="1" t="s">
        <v>1480</v>
      </c>
      <c r="D6372" s="1" t="s">
        <v>1481</v>
      </c>
      <c r="E6372" s="3">
        <v>3</v>
      </c>
      <c r="F6372" s="1" t="s">
        <v>36</v>
      </c>
      <c r="G6372" s="1">
        <v>0</v>
      </c>
      <c r="H6372" s="1">
        <v>0</v>
      </c>
      <c r="I6372" s="1">
        <v>2.9666670000000002</v>
      </c>
    </row>
    <row r="6373" spans="1:9" x14ac:dyDescent="0.25">
      <c r="A6373" s="1">
        <v>2510010045</v>
      </c>
      <c r="B6373" s="1" t="s">
        <v>4052</v>
      </c>
      <c r="C6373" s="1" t="s">
        <v>1480</v>
      </c>
      <c r="D6373" s="1" t="s">
        <v>1481</v>
      </c>
      <c r="E6373" s="3">
        <v>8</v>
      </c>
      <c r="F6373" s="1" t="s">
        <v>36</v>
      </c>
      <c r="G6373" s="1">
        <v>0</v>
      </c>
      <c r="H6373" s="1">
        <v>0</v>
      </c>
      <c r="I6373" s="1">
        <v>1.885</v>
      </c>
    </row>
    <row r="6374" spans="1:9" x14ac:dyDescent="0.25">
      <c r="A6374" s="1">
        <v>2510010047</v>
      </c>
      <c r="B6374" s="1" t="s">
        <v>4053</v>
      </c>
      <c r="C6374" s="1" t="s">
        <v>1480</v>
      </c>
      <c r="D6374" s="1" t="s">
        <v>1481</v>
      </c>
      <c r="E6374" s="3">
        <v>50</v>
      </c>
      <c r="F6374" s="1" t="s">
        <v>36</v>
      </c>
      <c r="G6374" s="1">
        <v>0</v>
      </c>
      <c r="H6374" s="1">
        <v>100</v>
      </c>
      <c r="I6374" s="1">
        <v>3.1623999999999999</v>
      </c>
    </row>
    <row r="6375" spans="1:9" x14ac:dyDescent="0.25">
      <c r="A6375" s="1">
        <v>2510010048</v>
      </c>
      <c r="B6375" s="1" t="s">
        <v>4054</v>
      </c>
      <c r="C6375" s="1" t="s">
        <v>1480</v>
      </c>
      <c r="D6375" s="1" t="s">
        <v>1481</v>
      </c>
      <c r="E6375" s="3">
        <v>1</v>
      </c>
      <c r="F6375" s="1" t="s">
        <v>36</v>
      </c>
      <c r="G6375" s="1">
        <v>0</v>
      </c>
      <c r="H6375" s="1">
        <v>0</v>
      </c>
      <c r="I6375" s="1">
        <v>14.35</v>
      </c>
    </row>
    <row r="6376" spans="1:9" x14ac:dyDescent="0.25">
      <c r="A6376" s="1">
        <v>2510020040</v>
      </c>
      <c r="B6376" s="1" t="s">
        <v>4055</v>
      </c>
      <c r="C6376" s="1" t="s">
        <v>130</v>
      </c>
      <c r="D6376" s="1" t="s">
        <v>131</v>
      </c>
      <c r="E6376" s="3">
        <v>160000</v>
      </c>
      <c r="F6376" s="1" t="s">
        <v>36</v>
      </c>
      <c r="G6376" s="1">
        <v>0</v>
      </c>
      <c r="H6376" s="1">
        <v>0</v>
      </c>
      <c r="I6376" s="1">
        <v>1.526E-3</v>
      </c>
    </row>
    <row r="6377" spans="1:9" x14ac:dyDescent="0.25">
      <c r="A6377" s="1">
        <v>2510020046</v>
      </c>
      <c r="B6377" s="1" t="s">
        <v>4056</v>
      </c>
      <c r="C6377" s="1" t="s">
        <v>130</v>
      </c>
      <c r="D6377" s="1" t="s">
        <v>131</v>
      </c>
      <c r="E6377" s="3">
        <v>57600</v>
      </c>
      <c r="F6377" s="1" t="s">
        <v>36</v>
      </c>
      <c r="G6377" s="1">
        <v>0</v>
      </c>
      <c r="H6377" s="1">
        <v>0</v>
      </c>
      <c r="I6377" s="1">
        <v>5.6959999999999997E-3</v>
      </c>
    </row>
    <row r="6378" spans="1:9" x14ac:dyDescent="0.25">
      <c r="A6378" s="1">
        <v>2510020049</v>
      </c>
      <c r="B6378" s="1" t="s">
        <v>4057</v>
      </c>
      <c r="C6378" s="1" t="s">
        <v>130</v>
      </c>
      <c r="D6378" s="1" t="s">
        <v>131</v>
      </c>
      <c r="E6378" s="3">
        <v>7673</v>
      </c>
      <c r="F6378" s="1" t="s">
        <v>36</v>
      </c>
      <c r="G6378" s="1">
        <v>0</v>
      </c>
      <c r="H6378" s="1">
        <v>0</v>
      </c>
      <c r="I6378" s="1">
        <v>3.3860000000000001E-3</v>
      </c>
    </row>
    <row r="6379" spans="1:9" x14ac:dyDescent="0.25">
      <c r="A6379" s="1">
        <v>2510020054</v>
      </c>
      <c r="B6379" s="1" t="s">
        <v>4058</v>
      </c>
      <c r="C6379" s="1" t="s">
        <v>130</v>
      </c>
      <c r="D6379" s="1" t="s">
        <v>131</v>
      </c>
      <c r="E6379" s="3">
        <v>37800</v>
      </c>
      <c r="F6379" s="1" t="s">
        <v>36</v>
      </c>
      <c r="G6379" s="1">
        <v>0</v>
      </c>
      <c r="H6379" s="1">
        <v>0</v>
      </c>
      <c r="I6379" s="1">
        <v>3.9610000000000001E-3</v>
      </c>
    </row>
    <row r="6380" spans="1:9" x14ac:dyDescent="0.25">
      <c r="A6380" s="1">
        <v>2510030032</v>
      </c>
      <c r="B6380" s="1" t="s">
        <v>4059</v>
      </c>
      <c r="C6380" s="1" t="s">
        <v>130</v>
      </c>
      <c r="D6380" s="1" t="s">
        <v>131</v>
      </c>
      <c r="E6380" s="3">
        <v>85298</v>
      </c>
      <c r="F6380" s="1" t="s">
        <v>36</v>
      </c>
      <c r="G6380" s="1">
        <v>0</v>
      </c>
      <c r="H6380" s="1">
        <v>0</v>
      </c>
      <c r="I6380" s="1">
        <v>0.46809299999999998</v>
      </c>
    </row>
    <row r="6381" spans="1:9" x14ac:dyDescent="0.25">
      <c r="A6381" s="1">
        <v>2510030032</v>
      </c>
      <c r="B6381" s="1" t="s">
        <v>4059</v>
      </c>
      <c r="C6381" s="1" t="s">
        <v>1698</v>
      </c>
      <c r="D6381" s="1" t="s">
        <v>1699</v>
      </c>
      <c r="E6381" s="3">
        <v>0.99990000000000001</v>
      </c>
      <c r="F6381" s="1" t="s">
        <v>36</v>
      </c>
      <c r="G6381" s="1">
        <v>0</v>
      </c>
      <c r="H6381" s="1">
        <v>0</v>
      </c>
      <c r="I6381" s="1">
        <v>0.47004699999999999</v>
      </c>
    </row>
    <row r="6382" spans="1:9" x14ac:dyDescent="0.25">
      <c r="A6382" s="1">
        <v>2510040004</v>
      </c>
      <c r="B6382" s="1" t="s">
        <v>4060</v>
      </c>
      <c r="C6382" s="1" t="s">
        <v>1480</v>
      </c>
      <c r="D6382" s="1" t="s">
        <v>1481</v>
      </c>
      <c r="E6382" s="3">
        <v>5</v>
      </c>
      <c r="F6382" s="1" t="s">
        <v>36</v>
      </c>
      <c r="G6382" s="1">
        <v>0</v>
      </c>
      <c r="H6382" s="1">
        <v>0</v>
      </c>
      <c r="I6382" s="1">
        <v>3.6579999999999999</v>
      </c>
    </row>
    <row r="6383" spans="1:9" x14ac:dyDescent="0.25">
      <c r="A6383" s="1">
        <v>2510040008</v>
      </c>
      <c r="B6383" s="1" t="s">
        <v>4061</v>
      </c>
      <c r="C6383" s="1" t="s">
        <v>1480</v>
      </c>
      <c r="D6383" s="1" t="s">
        <v>1481</v>
      </c>
      <c r="E6383" s="3">
        <v>1460</v>
      </c>
      <c r="F6383" s="1" t="s">
        <v>36</v>
      </c>
      <c r="G6383" s="1">
        <v>0</v>
      </c>
      <c r="H6383" s="1">
        <v>0</v>
      </c>
      <c r="I6383" s="1">
        <v>0.39119199999999998</v>
      </c>
    </row>
    <row r="6384" spans="1:9" x14ac:dyDescent="0.25">
      <c r="A6384" s="1">
        <v>2510040013</v>
      </c>
      <c r="B6384" s="1" t="s">
        <v>4062</v>
      </c>
      <c r="C6384" s="1" t="s">
        <v>1480</v>
      </c>
      <c r="D6384" s="1" t="s">
        <v>1481</v>
      </c>
      <c r="E6384" s="1">
        <v>0</v>
      </c>
      <c r="F6384" s="1" t="s">
        <v>36</v>
      </c>
      <c r="G6384" s="1">
        <v>0</v>
      </c>
      <c r="H6384" s="1">
        <v>180</v>
      </c>
      <c r="I6384" s="1">
        <v>1.7354099999999999</v>
      </c>
    </row>
    <row r="6385" spans="1:9" x14ac:dyDescent="0.25">
      <c r="A6385" s="1">
        <v>2510070005</v>
      </c>
      <c r="B6385" s="1" t="s">
        <v>4063</v>
      </c>
      <c r="C6385" s="1" t="s">
        <v>1480</v>
      </c>
      <c r="D6385" s="1" t="s">
        <v>1481</v>
      </c>
      <c r="E6385" s="1">
        <v>10</v>
      </c>
      <c r="F6385" s="1" t="s">
        <v>36</v>
      </c>
      <c r="G6385" s="1">
        <v>0</v>
      </c>
      <c r="H6385" s="1">
        <v>26</v>
      </c>
      <c r="I6385" s="1">
        <v>0.314</v>
      </c>
    </row>
    <row r="6386" spans="1:9" x14ac:dyDescent="0.25">
      <c r="A6386" s="1">
        <v>2510070018</v>
      </c>
      <c r="B6386" s="1" t="s">
        <v>4064</v>
      </c>
      <c r="C6386" s="1" t="s">
        <v>1480</v>
      </c>
      <c r="D6386" s="1" t="s">
        <v>1481</v>
      </c>
      <c r="E6386" s="3">
        <v>1946</v>
      </c>
      <c r="F6386" s="1" t="s">
        <v>36</v>
      </c>
      <c r="G6386" s="1">
        <v>0</v>
      </c>
      <c r="H6386" s="1">
        <v>90</v>
      </c>
      <c r="I6386" s="1">
        <v>4.2333000000000003E-2</v>
      </c>
    </row>
    <row r="6387" spans="1:9" x14ac:dyDescent="0.25">
      <c r="A6387" s="1">
        <v>2600010014</v>
      </c>
      <c r="B6387" s="1" t="s">
        <v>4065</v>
      </c>
      <c r="C6387" s="1" t="s">
        <v>130</v>
      </c>
      <c r="D6387" s="1" t="s">
        <v>131</v>
      </c>
      <c r="E6387" s="3">
        <v>71</v>
      </c>
      <c r="F6387" s="1" t="s">
        <v>36</v>
      </c>
      <c r="G6387" s="1">
        <v>0</v>
      </c>
      <c r="H6387" s="1">
        <v>25</v>
      </c>
      <c r="I6387" s="1">
        <v>78.813520999999994</v>
      </c>
    </row>
    <row r="6388" spans="1:9" x14ac:dyDescent="0.25">
      <c r="A6388" s="1">
        <v>2600020035</v>
      </c>
      <c r="B6388" s="1" t="s">
        <v>4066</v>
      </c>
      <c r="C6388" s="1" t="s">
        <v>130</v>
      </c>
      <c r="D6388" s="1" t="s">
        <v>131</v>
      </c>
      <c r="E6388" s="1">
        <v>4</v>
      </c>
      <c r="F6388" s="1" t="s">
        <v>36</v>
      </c>
      <c r="G6388" s="1">
        <v>0</v>
      </c>
      <c r="H6388" s="1">
        <v>0</v>
      </c>
      <c r="I6388" s="1">
        <v>93.9</v>
      </c>
    </row>
    <row r="6389" spans="1:9" x14ac:dyDescent="0.25">
      <c r="A6389" s="1">
        <v>2600020074</v>
      </c>
      <c r="B6389" s="1" t="s">
        <v>4067</v>
      </c>
      <c r="C6389" s="1" t="s">
        <v>130</v>
      </c>
      <c r="D6389" s="1" t="s">
        <v>131</v>
      </c>
      <c r="E6389" s="3">
        <v>5</v>
      </c>
      <c r="F6389" s="1" t="s">
        <v>3218</v>
      </c>
      <c r="G6389" s="1">
        <v>0</v>
      </c>
      <c r="H6389" s="1">
        <v>0</v>
      </c>
      <c r="I6389" s="1">
        <v>90.073999999999998</v>
      </c>
    </row>
    <row r="6390" spans="1:9" x14ac:dyDescent="0.25">
      <c r="A6390" s="1">
        <v>2600020077</v>
      </c>
      <c r="B6390" s="1" t="s">
        <v>4068</v>
      </c>
      <c r="C6390" s="1" t="s">
        <v>130</v>
      </c>
      <c r="D6390" s="1" t="s">
        <v>131</v>
      </c>
      <c r="E6390" s="3">
        <v>55</v>
      </c>
      <c r="F6390" s="1" t="s">
        <v>3218</v>
      </c>
      <c r="G6390" s="3">
        <v>0</v>
      </c>
      <c r="H6390" s="1">
        <v>0</v>
      </c>
      <c r="I6390" s="1">
        <v>36.521455000000003</v>
      </c>
    </row>
    <row r="6391" spans="1:9" x14ac:dyDescent="0.25">
      <c r="A6391" s="1">
        <v>2600020082</v>
      </c>
      <c r="B6391" s="1" t="s">
        <v>4069</v>
      </c>
      <c r="C6391" s="1" t="s">
        <v>130</v>
      </c>
      <c r="D6391" s="1" t="s">
        <v>131</v>
      </c>
      <c r="E6391" s="1">
        <v>2</v>
      </c>
      <c r="F6391" s="1" t="s">
        <v>36</v>
      </c>
      <c r="G6391" s="1">
        <v>0</v>
      </c>
      <c r="H6391" s="1">
        <v>0</v>
      </c>
      <c r="I6391" s="1">
        <v>63.77</v>
      </c>
    </row>
    <row r="6392" spans="1:9" x14ac:dyDescent="0.25">
      <c r="A6392" s="1">
        <v>2600020083</v>
      </c>
      <c r="B6392" s="1" t="s">
        <v>4070</v>
      </c>
      <c r="C6392" s="1" t="s">
        <v>130</v>
      </c>
      <c r="D6392" s="1" t="s">
        <v>131</v>
      </c>
      <c r="E6392" s="1">
        <v>1</v>
      </c>
      <c r="F6392" s="1" t="s">
        <v>36</v>
      </c>
      <c r="G6392" s="3">
        <v>0</v>
      </c>
      <c r="H6392" s="1">
        <v>0</v>
      </c>
      <c r="I6392" s="1">
        <v>157.79</v>
      </c>
    </row>
    <row r="6393" spans="1:9" x14ac:dyDescent="0.25">
      <c r="A6393" s="1">
        <v>2600020086</v>
      </c>
      <c r="B6393" s="1" t="s">
        <v>4071</v>
      </c>
      <c r="C6393" s="1" t="s">
        <v>130</v>
      </c>
      <c r="D6393" s="1" t="s">
        <v>131</v>
      </c>
      <c r="E6393" s="3">
        <v>55</v>
      </c>
      <c r="F6393" s="1" t="s">
        <v>3218</v>
      </c>
      <c r="G6393" s="1">
        <v>0</v>
      </c>
      <c r="H6393" s="3">
        <v>0</v>
      </c>
      <c r="I6393" s="1">
        <v>29.314909</v>
      </c>
    </row>
    <row r="6394" spans="1:9" x14ac:dyDescent="0.25">
      <c r="A6394" s="1">
        <v>2600020091</v>
      </c>
      <c r="B6394" s="1" t="s">
        <v>4072</v>
      </c>
      <c r="C6394" s="1" t="s">
        <v>130</v>
      </c>
      <c r="D6394" s="1" t="s">
        <v>131</v>
      </c>
      <c r="E6394" s="1">
        <v>32</v>
      </c>
      <c r="F6394" s="1" t="s">
        <v>89</v>
      </c>
      <c r="G6394" s="1">
        <v>0</v>
      </c>
      <c r="H6394" s="1">
        <v>0</v>
      </c>
      <c r="I6394" s="1">
        <v>15.759688000000001</v>
      </c>
    </row>
    <row r="6395" spans="1:9" x14ac:dyDescent="0.25">
      <c r="A6395" s="1">
        <v>2600030019</v>
      </c>
      <c r="B6395" s="1" t="s">
        <v>4074</v>
      </c>
      <c r="C6395" s="1" t="s">
        <v>130</v>
      </c>
      <c r="D6395" s="1" t="s">
        <v>131</v>
      </c>
      <c r="E6395" s="3">
        <v>1</v>
      </c>
      <c r="F6395" s="1" t="s">
        <v>4073</v>
      </c>
      <c r="G6395" s="1">
        <v>0</v>
      </c>
      <c r="H6395" s="1">
        <v>0</v>
      </c>
      <c r="I6395" s="1">
        <v>0.01</v>
      </c>
    </row>
    <row r="6396" spans="1:9" x14ac:dyDescent="0.25">
      <c r="A6396" s="1">
        <v>2600030046</v>
      </c>
      <c r="B6396" s="1" t="s">
        <v>4075</v>
      </c>
      <c r="C6396" s="1" t="s">
        <v>130</v>
      </c>
      <c r="D6396" s="1" t="s">
        <v>131</v>
      </c>
      <c r="E6396" s="3">
        <v>1</v>
      </c>
      <c r="F6396" s="1" t="s">
        <v>36</v>
      </c>
      <c r="G6396" s="1">
        <v>0</v>
      </c>
      <c r="H6396" s="1">
        <v>0</v>
      </c>
      <c r="I6396" s="1">
        <v>0.01</v>
      </c>
    </row>
    <row r="6397" spans="1:9" x14ac:dyDescent="0.25">
      <c r="A6397" s="1">
        <v>2600030114</v>
      </c>
      <c r="B6397" s="1" t="s">
        <v>4076</v>
      </c>
      <c r="C6397" s="1" t="s">
        <v>130</v>
      </c>
      <c r="D6397" s="1" t="s">
        <v>131</v>
      </c>
      <c r="E6397" s="3">
        <v>4</v>
      </c>
      <c r="F6397" s="1" t="s">
        <v>36</v>
      </c>
      <c r="G6397" s="1">
        <v>0</v>
      </c>
      <c r="H6397" s="1">
        <v>0</v>
      </c>
      <c r="I6397" s="1">
        <v>16.385000000000002</v>
      </c>
    </row>
    <row r="6398" spans="1:9" x14ac:dyDescent="0.25">
      <c r="A6398" s="1">
        <v>2600030116</v>
      </c>
      <c r="B6398" s="1" t="s">
        <v>4077</v>
      </c>
      <c r="C6398" s="1" t="s">
        <v>130</v>
      </c>
      <c r="D6398" s="1" t="s">
        <v>131</v>
      </c>
      <c r="E6398" s="1">
        <v>20</v>
      </c>
      <c r="F6398" s="1" t="s">
        <v>36</v>
      </c>
      <c r="G6398" s="1">
        <v>0</v>
      </c>
      <c r="H6398" s="1">
        <v>0</v>
      </c>
      <c r="I6398" s="1">
        <v>0.84750000000000003</v>
      </c>
    </row>
    <row r="6399" spans="1:9" x14ac:dyDescent="0.25">
      <c r="A6399" s="1">
        <v>2600030138</v>
      </c>
      <c r="B6399" s="1" t="s">
        <v>4078</v>
      </c>
      <c r="C6399" s="1" t="s">
        <v>130</v>
      </c>
      <c r="D6399" s="1" t="s">
        <v>131</v>
      </c>
      <c r="E6399" s="1">
        <v>157</v>
      </c>
      <c r="F6399" s="1" t="s">
        <v>36</v>
      </c>
      <c r="G6399" s="1">
        <v>0</v>
      </c>
      <c r="H6399" s="1">
        <v>0</v>
      </c>
      <c r="I6399" s="1">
        <v>0.64917199999999997</v>
      </c>
    </row>
    <row r="6400" spans="1:9" x14ac:dyDescent="0.25">
      <c r="A6400" s="1">
        <v>2600030169</v>
      </c>
      <c r="B6400" s="1" t="s">
        <v>4079</v>
      </c>
      <c r="C6400" s="1" t="s">
        <v>130</v>
      </c>
      <c r="D6400" s="1" t="s">
        <v>131</v>
      </c>
      <c r="E6400" s="1">
        <v>1</v>
      </c>
      <c r="F6400" s="1" t="s">
        <v>36</v>
      </c>
      <c r="G6400" s="1">
        <v>0</v>
      </c>
      <c r="H6400" s="1">
        <v>0</v>
      </c>
      <c r="I6400" s="1">
        <v>32.46</v>
      </c>
    </row>
    <row r="6401" spans="1:9" x14ac:dyDescent="0.25">
      <c r="A6401" s="1">
        <v>2600030198</v>
      </c>
      <c r="B6401" s="1" t="s">
        <v>4080</v>
      </c>
      <c r="C6401" s="1" t="s">
        <v>130</v>
      </c>
      <c r="D6401" s="1" t="s">
        <v>131</v>
      </c>
      <c r="E6401" s="1">
        <v>2</v>
      </c>
      <c r="F6401" s="1" t="s">
        <v>36</v>
      </c>
      <c r="G6401" s="1">
        <v>0</v>
      </c>
      <c r="H6401" s="1">
        <v>0</v>
      </c>
      <c r="I6401" s="1">
        <v>16.184999999999999</v>
      </c>
    </row>
    <row r="6402" spans="1:9" x14ac:dyDescent="0.25">
      <c r="A6402" s="1">
        <v>2600030221</v>
      </c>
      <c r="B6402" s="1" t="s">
        <v>4081</v>
      </c>
      <c r="C6402" s="1" t="s">
        <v>130</v>
      </c>
      <c r="D6402" s="1" t="s">
        <v>131</v>
      </c>
      <c r="E6402" s="3">
        <v>1</v>
      </c>
      <c r="F6402" s="1" t="s">
        <v>36</v>
      </c>
      <c r="G6402" s="1">
        <v>0</v>
      </c>
      <c r="H6402" s="1">
        <v>0</v>
      </c>
      <c r="I6402" s="1">
        <v>42.21</v>
      </c>
    </row>
    <row r="6403" spans="1:9" x14ac:dyDescent="0.25">
      <c r="A6403" s="1">
        <v>2600030226</v>
      </c>
      <c r="B6403" s="1" t="s">
        <v>4082</v>
      </c>
      <c r="C6403" s="1" t="s">
        <v>130</v>
      </c>
      <c r="D6403" s="1" t="s">
        <v>131</v>
      </c>
      <c r="E6403" s="1">
        <v>2</v>
      </c>
      <c r="F6403" s="1" t="s">
        <v>36</v>
      </c>
      <c r="G6403" s="1">
        <v>0</v>
      </c>
      <c r="H6403" s="1">
        <v>0</v>
      </c>
      <c r="I6403" s="1">
        <v>54.5</v>
      </c>
    </row>
    <row r="6404" spans="1:9" x14ac:dyDescent="0.25">
      <c r="A6404" s="1">
        <v>2600030241</v>
      </c>
      <c r="B6404" s="1" t="s">
        <v>4083</v>
      </c>
      <c r="C6404" s="1" t="s">
        <v>130</v>
      </c>
      <c r="D6404" s="1" t="s">
        <v>131</v>
      </c>
      <c r="E6404" s="1">
        <v>2</v>
      </c>
      <c r="F6404" s="1" t="s">
        <v>36</v>
      </c>
      <c r="G6404" s="1">
        <v>0</v>
      </c>
      <c r="H6404" s="1">
        <v>0</v>
      </c>
      <c r="I6404" s="1">
        <v>45.015000000000001</v>
      </c>
    </row>
    <row r="6405" spans="1:9" x14ac:dyDescent="0.25">
      <c r="A6405" s="1">
        <v>2600030262</v>
      </c>
      <c r="B6405" s="1" t="s">
        <v>4084</v>
      </c>
      <c r="C6405" s="1" t="s">
        <v>130</v>
      </c>
      <c r="D6405" s="1" t="s">
        <v>131</v>
      </c>
      <c r="E6405" s="3">
        <v>1</v>
      </c>
      <c r="F6405" s="1" t="s">
        <v>36</v>
      </c>
      <c r="G6405" s="1">
        <v>0</v>
      </c>
      <c r="H6405" s="1">
        <v>0</v>
      </c>
      <c r="I6405" s="1">
        <v>16.05</v>
      </c>
    </row>
    <row r="6406" spans="1:9" x14ac:dyDescent="0.25">
      <c r="A6406" s="1">
        <v>2600030312</v>
      </c>
      <c r="B6406" s="1" t="s">
        <v>4085</v>
      </c>
      <c r="C6406" s="1" t="s">
        <v>130</v>
      </c>
      <c r="D6406" s="1" t="s">
        <v>131</v>
      </c>
      <c r="E6406" s="1">
        <v>30</v>
      </c>
      <c r="F6406" s="1" t="s">
        <v>36</v>
      </c>
      <c r="G6406" s="1">
        <v>0</v>
      </c>
      <c r="H6406" s="1">
        <v>0</v>
      </c>
      <c r="I6406" s="1">
        <v>1.9490000000000001</v>
      </c>
    </row>
    <row r="6407" spans="1:9" x14ac:dyDescent="0.25">
      <c r="A6407" s="1">
        <v>2600030345</v>
      </c>
      <c r="B6407" s="1" t="s">
        <v>4086</v>
      </c>
      <c r="C6407" s="1" t="s">
        <v>130</v>
      </c>
      <c r="D6407" s="1" t="s">
        <v>131</v>
      </c>
      <c r="E6407" s="3">
        <v>2</v>
      </c>
      <c r="F6407" s="1" t="s">
        <v>36</v>
      </c>
      <c r="G6407" s="1">
        <v>0</v>
      </c>
      <c r="H6407" s="1">
        <v>0</v>
      </c>
      <c r="I6407" s="1">
        <v>10.555</v>
      </c>
    </row>
    <row r="6408" spans="1:9" x14ac:dyDescent="0.25">
      <c r="A6408" s="1">
        <v>2600030355</v>
      </c>
      <c r="B6408" s="1" t="s">
        <v>4087</v>
      </c>
      <c r="C6408" s="1" t="s">
        <v>130</v>
      </c>
      <c r="D6408" s="1" t="s">
        <v>131</v>
      </c>
      <c r="E6408" s="1">
        <v>7</v>
      </c>
      <c r="F6408" s="1" t="s">
        <v>36</v>
      </c>
      <c r="G6408" s="1">
        <v>0</v>
      </c>
      <c r="H6408" s="1">
        <v>0</v>
      </c>
      <c r="I6408" s="1">
        <v>6.8128570000000002</v>
      </c>
    </row>
    <row r="6409" spans="1:9" x14ac:dyDescent="0.25">
      <c r="A6409" s="1">
        <v>2600030357</v>
      </c>
      <c r="B6409" s="1" t="s">
        <v>4088</v>
      </c>
      <c r="C6409" s="1" t="s">
        <v>130</v>
      </c>
      <c r="D6409" s="1" t="s">
        <v>131</v>
      </c>
      <c r="E6409" s="1">
        <v>7</v>
      </c>
      <c r="F6409" s="1" t="s">
        <v>36</v>
      </c>
      <c r="G6409" s="1">
        <v>0</v>
      </c>
      <c r="H6409" s="1">
        <v>0</v>
      </c>
      <c r="I6409" s="1">
        <v>185</v>
      </c>
    </row>
    <row r="6410" spans="1:9" x14ac:dyDescent="0.25">
      <c r="A6410" s="1">
        <v>2600030365</v>
      </c>
      <c r="B6410" s="1" t="s">
        <v>4089</v>
      </c>
      <c r="C6410" s="1" t="s">
        <v>130</v>
      </c>
      <c r="D6410" s="1" t="s">
        <v>131</v>
      </c>
      <c r="E6410" s="1">
        <v>35</v>
      </c>
      <c r="F6410" s="1" t="s">
        <v>36</v>
      </c>
      <c r="G6410" s="1">
        <v>0</v>
      </c>
      <c r="H6410" s="1">
        <v>0</v>
      </c>
      <c r="I6410" s="1">
        <v>0.89542900000000003</v>
      </c>
    </row>
    <row r="6411" spans="1:9" x14ac:dyDescent="0.25">
      <c r="A6411" s="1">
        <v>2600030368</v>
      </c>
      <c r="B6411" s="1" t="s">
        <v>4090</v>
      </c>
      <c r="C6411" s="1" t="s">
        <v>130</v>
      </c>
      <c r="D6411" s="1" t="s">
        <v>131</v>
      </c>
      <c r="E6411" s="1">
        <v>2</v>
      </c>
      <c r="F6411" s="1" t="s">
        <v>36</v>
      </c>
      <c r="G6411" s="1">
        <v>0</v>
      </c>
      <c r="H6411" s="1">
        <v>0</v>
      </c>
      <c r="I6411" s="1">
        <v>100</v>
      </c>
    </row>
    <row r="6412" spans="1:9" x14ac:dyDescent="0.25">
      <c r="A6412" s="1">
        <v>2600030407</v>
      </c>
      <c r="B6412" s="1" t="s">
        <v>4091</v>
      </c>
      <c r="C6412" s="1" t="s">
        <v>130</v>
      </c>
      <c r="D6412" s="1" t="s">
        <v>131</v>
      </c>
      <c r="E6412" s="3">
        <v>3</v>
      </c>
      <c r="F6412" s="1" t="s">
        <v>36</v>
      </c>
      <c r="G6412" s="1">
        <v>0</v>
      </c>
      <c r="H6412" s="1">
        <v>0</v>
      </c>
      <c r="I6412" s="1">
        <v>41.95</v>
      </c>
    </row>
    <row r="6413" spans="1:9" x14ac:dyDescent="0.25">
      <c r="A6413" s="1">
        <v>2600030410</v>
      </c>
      <c r="B6413" s="1" t="s">
        <v>4092</v>
      </c>
      <c r="C6413" s="1" t="s">
        <v>130</v>
      </c>
      <c r="D6413" s="1" t="s">
        <v>131</v>
      </c>
      <c r="E6413" s="1">
        <v>14</v>
      </c>
      <c r="F6413" s="1" t="s">
        <v>36</v>
      </c>
      <c r="G6413" s="1">
        <v>0</v>
      </c>
      <c r="H6413" s="1">
        <v>0</v>
      </c>
      <c r="I6413" s="1">
        <v>0.5</v>
      </c>
    </row>
    <row r="6414" spans="1:9" x14ac:dyDescent="0.25">
      <c r="A6414" s="1">
        <v>2600030427</v>
      </c>
      <c r="B6414" s="1" t="s">
        <v>4093</v>
      </c>
      <c r="C6414" s="1" t="s">
        <v>130</v>
      </c>
      <c r="D6414" s="1" t="s">
        <v>131</v>
      </c>
      <c r="E6414" s="1">
        <v>3</v>
      </c>
      <c r="F6414" s="1" t="s">
        <v>36</v>
      </c>
      <c r="G6414" s="1">
        <v>0</v>
      </c>
      <c r="H6414" s="1">
        <v>0</v>
      </c>
      <c r="I6414" s="1">
        <v>41.946666999999998</v>
      </c>
    </row>
    <row r="6415" spans="1:9" x14ac:dyDescent="0.25">
      <c r="A6415" s="1">
        <v>2600030454</v>
      </c>
      <c r="B6415" s="1" t="s">
        <v>4094</v>
      </c>
      <c r="C6415" s="1" t="s">
        <v>130</v>
      </c>
      <c r="D6415" s="1" t="s">
        <v>131</v>
      </c>
      <c r="E6415" s="1">
        <v>4</v>
      </c>
      <c r="F6415" s="1" t="s">
        <v>36</v>
      </c>
      <c r="G6415" s="1">
        <v>0</v>
      </c>
      <c r="H6415" s="1">
        <v>0</v>
      </c>
      <c r="I6415" s="1">
        <v>18.84</v>
      </c>
    </row>
    <row r="6416" spans="1:9" x14ac:dyDescent="0.25">
      <c r="A6416" s="1">
        <v>2600030462</v>
      </c>
      <c r="B6416" s="1" t="s">
        <v>4095</v>
      </c>
      <c r="C6416" s="1" t="s">
        <v>130</v>
      </c>
      <c r="D6416" s="1" t="s">
        <v>131</v>
      </c>
      <c r="E6416" s="1">
        <v>1</v>
      </c>
      <c r="F6416" s="1" t="s">
        <v>36</v>
      </c>
      <c r="G6416" s="1">
        <v>0</v>
      </c>
      <c r="H6416" s="1">
        <v>0</v>
      </c>
      <c r="I6416" s="1">
        <v>292.37</v>
      </c>
    </row>
    <row r="6417" spans="1:9" x14ac:dyDescent="0.25">
      <c r="A6417" s="1">
        <v>2600030476</v>
      </c>
      <c r="B6417" s="1" t="s">
        <v>4096</v>
      </c>
      <c r="C6417" s="1" t="s">
        <v>130</v>
      </c>
      <c r="D6417" s="1" t="s">
        <v>131</v>
      </c>
      <c r="E6417" s="1">
        <v>1</v>
      </c>
      <c r="F6417" s="1" t="s">
        <v>36</v>
      </c>
      <c r="G6417" s="1">
        <v>0</v>
      </c>
      <c r="H6417" s="1">
        <v>0</v>
      </c>
      <c r="I6417" s="1">
        <v>16.100000000000001</v>
      </c>
    </row>
    <row r="6418" spans="1:9" x14ac:dyDescent="0.25">
      <c r="A6418" s="1">
        <v>2600030519</v>
      </c>
      <c r="B6418" s="1" t="s">
        <v>4097</v>
      </c>
      <c r="C6418" s="1" t="s">
        <v>130</v>
      </c>
      <c r="D6418" s="1" t="s">
        <v>131</v>
      </c>
      <c r="E6418" s="3">
        <v>26</v>
      </c>
      <c r="F6418" s="1" t="s">
        <v>36</v>
      </c>
      <c r="G6418" s="1">
        <v>0</v>
      </c>
      <c r="H6418" s="1">
        <v>0</v>
      </c>
      <c r="I6418" s="1">
        <v>15.846923</v>
      </c>
    </row>
    <row r="6419" spans="1:9" x14ac:dyDescent="0.25">
      <c r="A6419" s="1">
        <v>2600030582</v>
      </c>
      <c r="B6419" s="1" t="s">
        <v>4098</v>
      </c>
      <c r="C6419" s="1" t="s">
        <v>130</v>
      </c>
      <c r="D6419" s="1" t="s">
        <v>131</v>
      </c>
      <c r="E6419" s="1">
        <v>30</v>
      </c>
      <c r="F6419" s="1" t="s">
        <v>36</v>
      </c>
      <c r="G6419" s="1">
        <v>0</v>
      </c>
      <c r="H6419" s="1">
        <v>0</v>
      </c>
      <c r="I6419" s="1">
        <v>0.38066699999999998</v>
      </c>
    </row>
    <row r="6420" spans="1:9" x14ac:dyDescent="0.25">
      <c r="A6420" s="1">
        <v>2600030592</v>
      </c>
      <c r="B6420" s="1" t="s">
        <v>4099</v>
      </c>
      <c r="C6420" s="1" t="s">
        <v>130</v>
      </c>
      <c r="D6420" s="1" t="s">
        <v>131</v>
      </c>
      <c r="E6420" s="1">
        <v>11</v>
      </c>
      <c r="F6420" s="1" t="s">
        <v>36</v>
      </c>
      <c r="G6420" s="1">
        <v>0</v>
      </c>
      <c r="H6420" s="1">
        <v>0</v>
      </c>
      <c r="I6420" s="1">
        <v>8.9154549999999997</v>
      </c>
    </row>
    <row r="6421" spans="1:9" x14ac:dyDescent="0.25">
      <c r="A6421" s="1">
        <v>2600030593</v>
      </c>
      <c r="B6421" s="1" t="s">
        <v>4100</v>
      </c>
      <c r="C6421" s="1" t="s">
        <v>130</v>
      </c>
      <c r="D6421" s="1" t="s">
        <v>131</v>
      </c>
      <c r="E6421" s="1">
        <v>2</v>
      </c>
      <c r="F6421" s="1" t="s">
        <v>36</v>
      </c>
      <c r="G6421" s="1">
        <v>0</v>
      </c>
      <c r="H6421" s="1">
        <v>0</v>
      </c>
      <c r="I6421" s="1">
        <v>60.5</v>
      </c>
    </row>
    <row r="6422" spans="1:9" x14ac:dyDescent="0.25">
      <c r="A6422" s="1">
        <v>2600030611</v>
      </c>
      <c r="B6422" s="1" t="s">
        <v>4101</v>
      </c>
      <c r="C6422" s="1" t="s">
        <v>130</v>
      </c>
      <c r="D6422" s="1" t="s">
        <v>131</v>
      </c>
      <c r="E6422" s="1">
        <v>1</v>
      </c>
      <c r="F6422" s="1" t="s">
        <v>36</v>
      </c>
      <c r="G6422" s="1">
        <v>0</v>
      </c>
      <c r="H6422" s="1">
        <v>0</v>
      </c>
      <c r="I6422" s="1">
        <v>164.9</v>
      </c>
    </row>
    <row r="6423" spans="1:9" x14ac:dyDescent="0.25">
      <c r="A6423" s="1">
        <v>2600030637</v>
      </c>
      <c r="B6423" s="1" t="s">
        <v>4102</v>
      </c>
      <c r="C6423" s="1" t="s">
        <v>130</v>
      </c>
      <c r="D6423" s="1" t="s">
        <v>131</v>
      </c>
      <c r="E6423" s="1">
        <v>2</v>
      </c>
      <c r="F6423" s="1" t="s">
        <v>36</v>
      </c>
      <c r="G6423" s="1">
        <v>0</v>
      </c>
      <c r="H6423" s="1">
        <v>0</v>
      </c>
      <c r="I6423" s="1">
        <v>57.54</v>
      </c>
    </row>
    <row r="6424" spans="1:9" x14ac:dyDescent="0.25">
      <c r="A6424" s="1">
        <v>2600030673</v>
      </c>
      <c r="B6424" s="1" t="s">
        <v>4103</v>
      </c>
      <c r="C6424" s="1" t="s">
        <v>130</v>
      </c>
      <c r="D6424" s="1" t="s">
        <v>131</v>
      </c>
      <c r="E6424" s="1">
        <v>1</v>
      </c>
      <c r="F6424" s="1" t="s">
        <v>36</v>
      </c>
      <c r="G6424" s="1">
        <v>0</v>
      </c>
      <c r="H6424" s="1">
        <v>0</v>
      </c>
      <c r="I6424" s="1">
        <v>62.5</v>
      </c>
    </row>
    <row r="6425" spans="1:9" x14ac:dyDescent="0.25">
      <c r="A6425" s="1">
        <v>2600030679</v>
      </c>
      <c r="B6425" s="1" t="s">
        <v>4104</v>
      </c>
      <c r="C6425" s="1" t="s">
        <v>130</v>
      </c>
      <c r="D6425" s="1" t="s">
        <v>131</v>
      </c>
      <c r="E6425" s="1">
        <v>2</v>
      </c>
      <c r="F6425" s="1" t="s">
        <v>36</v>
      </c>
      <c r="G6425" s="1">
        <v>0</v>
      </c>
      <c r="H6425" s="1">
        <v>0</v>
      </c>
      <c r="I6425" s="1">
        <v>169.49</v>
      </c>
    </row>
    <row r="6426" spans="1:9" x14ac:dyDescent="0.25">
      <c r="A6426" s="1">
        <v>2600030758</v>
      </c>
      <c r="B6426" s="1" t="s">
        <v>4105</v>
      </c>
      <c r="C6426" s="1" t="s">
        <v>130</v>
      </c>
      <c r="D6426" s="1" t="s">
        <v>131</v>
      </c>
      <c r="E6426" s="1">
        <v>15</v>
      </c>
      <c r="F6426" s="1" t="s">
        <v>36</v>
      </c>
      <c r="G6426" s="1">
        <v>0</v>
      </c>
      <c r="H6426" s="1">
        <v>0</v>
      </c>
      <c r="I6426" s="1">
        <v>0.88133300000000003</v>
      </c>
    </row>
    <row r="6427" spans="1:9" x14ac:dyDescent="0.25">
      <c r="A6427" s="1">
        <v>2600030771</v>
      </c>
      <c r="B6427" s="1" t="s">
        <v>4106</v>
      </c>
      <c r="C6427" s="1" t="s">
        <v>130</v>
      </c>
      <c r="D6427" s="1" t="s">
        <v>131</v>
      </c>
      <c r="E6427" s="3">
        <v>47</v>
      </c>
      <c r="F6427" s="1" t="s">
        <v>36</v>
      </c>
      <c r="G6427" s="1">
        <v>0</v>
      </c>
      <c r="H6427" s="1">
        <v>0</v>
      </c>
      <c r="I6427" s="1">
        <v>0.19276599999999999</v>
      </c>
    </row>
    <row r="6428" spans="1:9" x14ac:dyDescent="0.25">
      <c r="A6428" s="1">
        <v>2600030819</v>
      </c>
      <c r="B6428" s="1" t="s">
        <v>4107</v>
      </c>
      <c r="C6428" s="1" t="s">
        <v>130</v>
      </c>
      <c r="D6428" s="1" t="s">
        <v>131</v>
      </c>
      <c r="E6428" s="1">
        <v>43</v>
      </c>
      <c r="F6428" s="1" t="s">
        <v>36</v>
      </c>
      <c r="G6428" s="1">
        <v>0</v>
      </c>
      <c r="H6428" s="1">
        <v>0</v>
      </c>
      <c r="I6428" s="1">
        <v>1.876279</v>
      </c>
    </row>
    <row r="6429" spans="1:9" x14ac:dyDescent="0.25">
      <c r="A6429" s="1">
        <v>2600030932</v>
      </c>
      <c r="B6429" s="1" t="s">
        <v>4108</v>
      </c>
      <c r="C6429" s="1" t="s">
        <v>130</v>
      </c>
      <c r="D6429" s="1" t="s">
        <v>131</v>
      </c>
      <c r="E6429" s="1">
        <v>4</v>
      </c>
      <c r="F6429" s="1" t="s">
        <v>36</v>
      </c>
      <c r="G6429" s="1">
        <v>0</v>
      </c>
      <c r="H6429" s="1">
        <v>0</v>
      </c>
      <c r="I6429" s="1">
        <v>7.8075000000000001</v>
      </c>
    </row>
    <row r="6430" spans="1:9" x14ac:dyDescent="0.25">
      <c r="A6430" s="1">
        <v>2600030950</v>
      </c>
      <c r="B6430" s="1" t="s">
        <v>4109</v>
      </c>
      <c r="C6430" s="1" t="s">
        <v>130</v>
      </c>
      <c r="D6430" s="1" t="s">
        <v>131</v>
      </c>
      <c r="E6430" s="1">
        <v>20</v>
      </c>
      <c r="F6430" s="1" t="s">
        <v>36</v>
      </c>
      <c r="G6430" s="1">
        <v>0</v>
      </c>
      <c r="H6430" s="1">
        <v>0</v>
      </c>
      <c r="I6430" s="1">
        <v>0.42949999999999999</v>
      </c>
    </row>
    <row r="6431" spans="1:9" x14ac:dyDescent="0.25">
      <c r="A6431" s="1">
        <v>2600030955</v>
      </c>
      <c r="B6431" s="1" t="s">
        <v>4110</v>
      </c>
      <c r="C6431" s="1" t="s">
        <v>130</v>
      </c>
      <c r="D6431" s="1" t="s">
        <v>131</v>
      </c>
      <c r="E6431" s="3">
        <v>7</v>
      </c>
      <c r="F6431" s="1" t="s">
        <v>36</v>
      </c>
      <c r="G6431" s="1">
        <v>0</v>
      </c>
      <c r="H6431" s="1">
        <v>0</v>
      </c>
      <c r="I6431" s="1">
        <v>8.1657139999999995</v>
      </c>
    </row>
    <row r="6432" spans="1:9" x14ac:dyDescent="0.25">
      <c r="A6432" s="1">
        <v>2600030999</v>
      </c>
      <c r="B6432" s="1" t="s">
        <v>4111</v>
      </c>
      <c r="C6432" s="1" t="s">
        <v>130</v>
      </c>
      <c r="D6432" s="1" t="s">
        <v>131</v>
      </c>
      <c r="E6432" s="3">
        <v>1</v>
      </c>
      <c r="F6432" s="1" t="s">
        <v>36</v>
      </c>
      <c r="G6432" s="1">
        <v>0</v>
      </c>
      <c r="H6432" s="1">
        <v>0</v>
      </c>
      <c r="I6432" s="1">
        <v>44.38</v>
      </c>
    </row>
    <row r="6433" spans="1:9" x14ac:dyDescent="0.25">
      <c r="A6433" s="1">
        <v>2600031002</v>
      </c>
      <c r="B6433" s="1" t="s">
        <v>4112</v>
      </c>
      <c r="C6433" s="1" t="s">
        <v>130</v>
      </c>
      <c r="D6433" s="1" t="s">
        <v>131</v>
      </c>
      <c r="E6433" s="1">
        <v>3</v>
      </c>
      <c r="F6433" s="1" t="s">
        <v>36</v>
      </c>
      <c r="G6433" s="1">
        <v>0</v>
      </c>
      <c r="H6433" s="1">
        <v>0</v>
      </c>
      <c r="I6433" s="1">
        <v>53.796666999999999</v>
      </c>
    </row>
    <row r="6434" spans="1:9" x14ac:dyDescent="0.25">
      <c r="A6434" s="1">
        <v>2600031003</v>
      </c>
      <c r="B6434" s="1" t="s">
        <v>4113</v>
      </c>
      <c r="C6434" s="1" t="s">
        <v>130</v>
      </c>
      <c r="D6434" s="1" t="s">
        <v>131</v>
      </c>
      <c r="E6434" s="3">
        <v>2</v>
      </c>
      <c r="F6434" s="1" t="s">
        <v>36</v>
      </c>
      <c r="G6434" s="1">
        <v>0</v>
      </c>
      <c r="H6434" s="1">
        <v>0</v>
      </c>
      <c r="I6434" s="1">
        <v>54.49</v>
      </c>
    </row>
    <row r="6435" spans="1:9" x14ac:dyDescent="0.25">
      <c r="A6435" s="1">
        <v>2600031010</v>
      </c>
      <c r="B6435" s="1" t="s">
        <v>4114</v>
      </c>
      <c r="C6435" s="1" t="s">
        <v>130</v>
      </c>
      <c r="D6435" s="1" t="s">
        <v>131</v>
      </c>
      <c r="E6435" s="3">
        <v>1</v>
      </c>
      <c r="F6435" s="1" t="s">
        <v>36</v>
      </c>
      <c r="G6435" s="1">
        <v>0</v>
      </c>
      <c r="H6435" s="1">
        <v>0</v>
      </c>
      <c r="I6435" s="1">
        <v>92.83</v>
      </c>
    </row>
    <row r="6436" spans="1:9" x14ac:dyDescent="0.25">
      <c r="A6436" s="1">
        <v>2600031013</v>
      </c>
      <c r="B6436" s="1" t="s">
        <v>4115</v>
      </c>
      <c r="C6436" s="1" t="s">
        <v>130</v>
      </c>
      <c r="D6436" s="1" t="s">
        <v>131</v>
      </c>
      <c r="E6436" s="1">
        <v>8</v>
      </c>
      <c r="F6436" s="1" t="s">
        <v>36</v>
      </c>
      <c r="G6436" s="1">
        <v>0</v>
      </c>
      <c r="H6436" s="3">
        <v>0</v>
      </c>
      <c r="I6436" s="1">
        <v>3.9587500000000002</v>
      </c>
    </row>
    <row r="6437" spans="1:9" x14ac:dyDescent="0.25">
      <c r="A6437" s="1">
        <v>2600031024</v>
      </c>
      <c r="B6437" s="1" t="s">
        <v>4116</v>
      </c>
      <c r="C6437" s="1" t="s">
        <v>130</v>
      </c>
      <c r="D6437" s="1" t="s">
        <v>131</v>
      </c>
      <c r="E6437" s="1">
        <v>2</v>
      </c>
      <c r="F6437" s="1" t="s">
        <v>36</v>
      </c>
      <c r="G6437" s="1">
        <v>0</v>
      </c>
      <c r="H6437" s="1">
        <v>0</v>
      </c>
      <c r="I6437" s="1">
        <v>48</v>
      </c>
    </row>
    <row r="6438" spans="1:9" x14ac:dyDescent="0.25">
      <c r="A6438" s="1">
        <v>2600031028</v>
      </c>
      <c r="B6438" s="1" t="s">
        <v>4117</v>
      </c>
      <c r="C6438" s="1" t="s">
        <v>130</v>
      </c>
      <c r="D6438" s="1" t="s">
        <v>131</v>
      </c>
      <c r="E6438" s="3">
        <v>2</v>
      </c>
      <c r="F6438" s="1" t="s">
        <v>36</v>
      </c>
      <c r="G6438" s="1">
        <v>0</v>
      </c>
      <c r="H6438" s="1">
        <v>0</v>
      </c>
      <c r="I6438" s="1">
        <v>84.83</v>
      </c>
    </row>
    <row r="6439" spans="1:9" x14ac:dyDescent="0.25">
      <c r="A6439" s="1">
        <v>2600031029</v>
      </c>
      <c r="B6439" s="1" t="s">
        <v>4118</v>
      </c>
      <c r="C6439" s="1" t="s">
        <v>130</v>
      </c>
      <c r="D6439" s="1" t="s">
        <v>131</v>
      </c>
      <c r="E6439" s="3">
        <v>1</v>
      </c>
      <c r="F6439" s="1" t="s">
        <v>36</v>
      </c>
      <c r="G6439" s="1">
        <v>0</v>
      </c>
      <c r="H6439" s="1">
        <v>0</v>
      </c>
      <c r="I6439" s="1">
        <v>22.89</v>
      </c>
    </row>
    <row r="6440" spans="1:9" x14ac:dyDescent="0.25">
      <c r="A6440" s="1">
        <v>2600031039</v>
      </c>
      <c r="B6440" s="1" t="s">
        <v>4119</v>
      </c>
      <c r="C6440" s="1" t="s">
        <v>130</v>
      </c>
      <c r="D6440" s="1" t="s">
        <v>131</v>
      </c>
      <c r="E6440" s="3">
        <v>20</v>
      </c>
      <c r="F6440" s="1" t="s">
        <v>3382</v>
      </c>
      <c r="G6440" s="1">
        <v>0</v>
      </c>
      <c r="H6440" s="1">
        <v>0</v>
      </c>
      <c r="I6440" s="1">
        <v>6.5674999999999999</v>
      </c>
    </row>
    <row r="6441" spans="1:9" x14ac:dyDescent="0.25">
      <c r="A6441" s="1">
        <v>2600031074</v>
      </c>
      <c r="B6441" s="1" t="s">
        <v>4120</v>
      </c>
      <c r="C6441" s="1" t="s">
        <v>130</v>
      </c>
      <c r="D6441" s="1" t="s">
        <v>131</v>
      </c>
      <c r="E6441" s="3">
        <v>1</v>
      </c>
      <c r="F6441" s="1" t="s">
        <v>36</v>
      </c>
      <c r="G6441" s="1">
        <v>0</v>
      </c>
      <c r="H6441" s="1">
        <v>0</v>
      </c>
      <c r="I6441" s="3">
        <v>14.09</v>
      </c>
    </row>
    <row r="6442" spans="1:9" x14ac:dyDescent="0.25">
      <c r="A6442" s="1">
        <v>2600031075</v>
      </c>
      <c r="B6442" s="1" t="s">
        <v>4121</v>
      </c>
      <c r="C6442" s="1" t="s">
        <v>130</v>
      </c>
      <c r="D6442" s="1" t="s">
        <v>131</v>
      </c>
      <c r="E6442" s="3">
        <v>3</v>
      </c>
      <c r="F6442" s="1" t="s">
        <v>36</v>
      </c>
      <c r="G6442" s="1">
        <v>0</v>
      </c>
      <c r="H6442" s="1">
        <v>0</v>
      </c>
      <c r="I6442" s="3">
        <v>17.276667</v>
      </c>
    </row>
    <row r="6443" spans="1:9" x14ac:dyDescent="0.25">
      <c r="A6443" s="1">
        <v>2600031076</v>
      </c>
      <c r="B6443" s="1" t="s">
        <v>4122</v>
      </c>
      <c r="C6443" s="1" t="s">
        <v>130</v>
      </c>
      <c r="D6443" s="1" t="s">
        <v>131</v>
      </c>
      <c r="E6443" s="3">
        <v>3</v>
      </c>
      <c r="F6443" s="1" t="s">
        <v>36</v>
      </c>
      <c r="G6443" s="1">
        <v>0</v>
      </c>
      <c r="H6443" s="1">
        <v>0</v>
      </c>
      <c r="I6443" s="1">
        <v>28.65</v>
      </c>
    </row>
    <row r="6444" spans="1:9" x14ac:dyDescent="0.25">
      <c r="A6444" s="1">
        <v>2600031134</v>
      </c>
      <c r="B6444" s="1" t="s">
        <v>4123</v>
      </c>
      <c r="C6444" s="1" t="s">
        <v>130</v>
      </c>
      <c r="D6444" s="1" t="s">
        <v>131</v>
      </c>
      <c r="E6444" s="3">
        <v>2</v>
      </c>
      <c r="F6444" s="1" t="s">
        <v>36</v>
      </c>
      <c r="G6444" s="1">
        <v>0</v>
      </c>
      <c r="H6444" s="1">
        <v>0</v>
      </c>
      <c r="I6444" s="1">
        <v>11.015000000000001</v>
      </c>
    </row>
    <row r="6445" spans="1:9" x14ac:dyDescent="0.25">
      <c r="A6445" s="1">
        <v>2600031192</v>
      </c>
      <c r="B6445" s="1" t="s">
        <v>4124</v>
      </c>
      <c r="C6445" s="1" t="s">
        <v>130</v>
      </c>
      <c r="D6445" s="1" t="s">
        <v>131</v>
      </c>
      <c r="E6445" s="1">
        <v>1</v>
      </c>
      <c r="F6445" s="1" t="s">
        <v>36</v>
      </c>
      <c r="G6445" s="1">
        <v>0</v>
      </c>
      <c r="H6445" s="1">
        <v>0</v>
      </c>
      <c r="I6445" s="1">
        <v>364.4</v>
      </c>
    </row>
    <row r="6446" spans="1:9" x14ac:dyDescent="0.25">
      <c r="A6446" s="1">
        <v>2600031212</v>
      </c>
      <c r="B6446" s="1" t="s">
        <v>4125</v>
      </c>
      <c r="C6446" s="1" t="s">
        <v>130</v>
      </c>
      <c r="D6446" s="1" t="s">
        <v>131</v>
      </c>
      <c r="E6446" s="1">
        <v>3</v>
      </c>
      <c r="F6446" s="1" t="s">
        <v>36</v>
      </c>
      <c r="G6446" s="1">
        <v>0</v>
      </c>
      <c r="H6446" s="1">
        <v>0</v>
      </c>
      <c r="I6446" s="1">
        <v>374.28</v>
      </c>
    </row>
    <row r="6447" spans="1:9" x14ac:dyDescent="0.25">
      <c r="A6447" s="1">
        <v>2600031291</v>
      </c>
      <c r="B6447" s="1" t="s">
        <v>4126</v>
      </c>
      <c r="C6447" s="1" t="s">
        <v>130</v>
      </c>
      <c r="D6447" s="1" t="s">
        <v>131</v>
      </c>
      <c r="E6447" s="1">
        <v>1</v>
      </c>
      <c r="F6447" s="1" t="s">
        <v>36</v>
      </c>
      <c r="G6447" s="1">
        <v>0</v>
      </c>
      <c r="H6447" s="1">
        <v>0</v>
      </c>
      <c r="I6447" s="1">
        <v>112.78</v>
      </c>
    </row>
    <row r="6448" spans="1:9" x14ac:dyDescent="0.25">
      <c r="A6448" s="1">
        <v>2600031353</v>
      </c>
      <c r="B6448" s="1" t="s">
        <v>4127</v>
      </c>
      <c r="C6448" s="1" t="s">
        <v>130</v>
      </c>
      <c r="D6448" s="1" t="s">
        <v>131</v>
      </c>
      <c r="E6448" s="1">
        <v>1</v>
      </c>
      <c r="F6448" s="1" t="s">
        <v>36</v>
      </c>
      <c r="G6448" s="1">
        <v>0</v>
      </c>
      <c r="H6448" s="1">
        <v>0</v>
      </c>
      <c r="I6448" s="1">
        <v>53.43</v>
      </c>
    </row>
    <row r="6449" spans="1:9" x14ac:dyDescent="0.25">
      <c r="A6449" s="1">
        <v>2600031401</v>
      </c>
      <c r="B6449" s="1" t="s">
        <v>4128</v>
      </c>
      <c r="C6449" s="1" t="s">
        <v>130</v>
      </c>
      <c r="D6449" s="1" t="s">
        <v>131</v>
      </c>
      <c r="E6449" s="1">
        <v>25</v>
      </c>
      <c r="F6449" s="1" t="s">
        <v>36</v>
      </c>
      <c r="G6449" s="1">
        <v>0</v>
      </c>
      <c r="H6449" s="1">
        <v>0</v>
      </c>
      <c r="I6449" s="1">
        <v>0.4</v>
      </c>
    </row>
    <row r="6450" spans="1:9" x14ac:dyDescent="0.25">
      <c r="A6450" s="1">
        <v>2600031458</v>
      </c>
      <c r="B6450" s="1" t="s">
        <v>4129</v>
      </c>
      <c r="C6450" s="1" t="s">
        <v>130</v>
      </c>
      <c r="D6450" s="1" t="s">
        <v>131</v>
      </c>
      <c r="E6450" s="1">
        <v>2</v>
      </c>
      <c r="F6450" s="1" t="s">
        <v>36</v>
      </c>
      <c r="G6450" s="1">
        <v>0</v>
      </c>
      <c r="H6450" s="1">
        <v>0</v>
      </c>
      <c r="I6450" s="3">
        <v>901.28499999999997</v>
      </c>
    </row>
    <row r="6451" spans="1:9" x14ac:dyDescent="0.25">
      <c r="A6451" s="1">
        <v>2600031522</v>
      </c>
      <c r="B6451" s="1" t="s">
        <v>4130</v>
      </c>
      <c r="C6451" s="1" t="s">
        <v>130</v>
      </c>
      <c r="D6451" s="1" t="s">
        <v>131</v>
      </c>
      <c r="E6451" s="1">
        <v>3</v>
      </c>
      <c r="F6451" s="1" t="s">
        <v>36</v>
      </c>
      <c r="G6451" s="1">
        <v>0</v>
      </c>
      <c r="H6451" s="1">
        <v>0</v>
      </c>
      <c r="I6451" s="1">
        <v>56.496667000000002</v>
      </c>
    </row>
    <row r="6452" spans="1:9" x14ac:dyDescent="0.25">
      <c r="A6452" s="1">
        <v>2600031584</v>
      </c>
      <c r="B6452" s="1" t="s">
        <v>4131</v>
      </c>
      <c r="C6452" s="1" t="s">
        <v>130</v>
      </c>
      <c r="D6452" s="1" t="s">
        <v>131</v>
      </c>
      <c r="E6452" s="1">
        <v>3</v>
      </c>
      <c r="F6452" s="1" t="s">
        <v>36</v>
      </c>
      <c r="G6452" s="1">
        <v>0</v>
      </c>
      <c r="H6452" s="1">
        <v>0</v>
      </c>
      <c r="I6452" s="1">
        <v>49.966667000000001</v>
      </c>
    </row>
    <row r="6453" spans="1:9" x14ac:dyDescent="0.25">
      <c r="A6453" s="1">
        <v>2600031631</v>
      </c>
      <c r="B6453" s="1" t="s">
        <v>4132</v>
      </c>
      <c r="C6453" s="1" t="s">
        <v>130</v>
      </c>
      <c r="D6453" s="1" t="s">
        <v>131</v>
      </c>
      <c r="E6453" s="1">
        <v>3</v>
      </c>
      <c r="F6453" s="1" t="s">
        <v>36</v>
      </c>
      <c r="G6453" s="1">
        <v>0</v>
      </c>
      <c r="H6453" s="1">
        <v>0</v>
      </c>
      <c r="I6453" s="1">
        <v>53.376666999999998</v>
      </c>
    </row>
    <row r="6454" spans="1:9" x14ac:dyDescent="0.25">
      <c r="A6454" s="1">
        <v>2600031659</v>
      </c>
      <c r="B6454" s="1" t="s">
        <v>4133</v>
      </c>
      <c r="C6454" s="1" t="s">
        <v>130</v>
      </c>
      <c r="D6454" s="1" t="s">
        <v>131</v>
      </c>
      <c r="E6454" s="1">
        <v>1</v>
      </c>
      <c r="F6454" s="1" t="s">
        <v>36</v>
      </c>
      <c r="G6454" s="1">
        <v>0</v>
      </c>
      <c r="H6454" s="1">
        <v>0</v>
      </c>
      <c r="I6454" s="1">
        <v>35</v>
      </c>
    </row>
    <row r="6455" spans="1:9" x14ac:dyDescent="0.25">
      <c r="A6455" s="1">
        <v>2600031668</v>
      </c>
      <c r="B6455" s="1" t="s">
        <v>4134</v>
      </c>
      <c r="C6455" s="1" t="s">
        <v>130</v>
      </c>
      <c r="D6455" s="1" t="s">
        <v>131</v>
      </c>
      <c r="E6455" s="1">
        <v>1</v>
      </c>
      <c r="F6455" s="1" t="s">
        <v>36</v>
      </c>
      <c r="G6455" s="1">
        <v>0</v>
      </c>
      <c r="H6455" s="1">
        <v>0</v>
      </c>
      <c r="I6455" s="1">
        <v>12.7</v>
      </c>
    </row>
    <row r="6456" spans="1:9" x14ac:dyDescent="0.25">
      <c r="A6456" s="1">
        <v>2600031800</v>
      </c>
      <c r="B6456" s="1" t="s">
        <v>4135</v>
      </c>
      <c r="C6456" s="1" t="s">
        <v>130</v>
      </c>
      <c r="D6456" s="1" t="s">
        <v>131</v>
      </c>
      <c r="E6456" s="1">
        <v>1</v>
      </c>
      <c r="F6456" s="1" t="s">
        <v>36</v>
      </c>
      <c r="G6456" s="1">
        <v>0</v>
      </c>
      <c r="H6456" s="1">
        <v>0</v>
      </c>
      <c r="I6456" s="1">
        <v>83.44</v>
      </c>
    </row>
    <row r="6457" spans="1:9" x14ac:dyDescent="0.25">
      <c r="A6457" s="1">
        <v>2600031880</v>
      </c>
      <c r="B6457" s="1" t="s">
        <v>4136</v>
      </c>
      <c r="C6457" s="1" t="s">
        <v>130</v>
      </c>
      <c r="D6457" s="1" t="s">
        <v>131</v>
      </c>
      <c r="E6457" s="3">
        <v>2</v>
      </c>
      <c r="F6457" s="1" t="s">
        <v>36</v>
      </c>
      <c r="G6457" s="1">
        <v>0</v>
      </c>
      <c r="H6457" s="3">
        <v>0</v>
      </c>
      <c r="I6457" s="1">
        <v>28.67</v>
      </c>
    </row>
    <row r="6458" spans="1:9" x14ac:dyDescent="0.25">
      <c r="A6458" s="1">
        <v>2600031947</v>
      </c>
      <c r="B6458" s="1" t="s">
        <v>4137</v>
      </c>
      <c r="C6458" s="1" t="s">
        <v>130</v>
      </c>
      <c r="D6458" s="1" t="s">
        <v>131</v>
      </c>
      <c r="E6458" s="3">
        <v>3</v>
      </c>
      <c r="F6458" s="1" t="s">
        <v>36</v>
      </c>
      <c r="G6458" s="1">
        <v>0</v>
      </c>
      <c r="H6458" s="1">
        <v>0</v>
      </c>
      <c r="I6458" s="1">
        <v>44.573332999999998</v>
      </c>
    </row>
    <row r="6459" spans="1:9" x14ac:dyDescent="0.25">
      <c r="A6459" s="1">
        <v>2600031948</v>
      </c>
      <c r="B6459" s="1" t="s">
        <v>4138</v>
      </c>
      <c r="C6459" s="1" t="s">
        <v>130</v>
      </c>
      <c r="D6459" s="1" t="s">
        <v>131</v>
      </c>
      <c r="E6459" s="1">
        <v>12</v>
      </c>
      <c r="F6459" s="1" t="s">
        <v>36</v>
      </c>
      <c r="G6459" s="1">
        <v>0</v>
      </c>
      <c r="H6459" s="1">
        <v>0</v>
      </c>
      <c r="I6459" s="1">
        <v>2.9</v>
      </c>
    </row>
    <row r="6460" spans="1:9" x14ac:dyDescent="0.25">
      <c r="A6460" s="1">
        <v>2600032002</v>
      </c>
      <c r="B6460" s="1" t="s">
        <v>4139</v>
      </c>
      <c r="C6460" s="1" t="s">
        <v>130</v>
      </c>
      <c r="D6460" s="1" t="s">
        <v>131</v>
      </c>
      <c r="E6460" s="1">
        <v>8</v>
      </c>
      <c r="F6460" s="1" t="s">
        <v>36</v>
      </c>
      <c r="G6460" s="1">
        <v>0</v>
      </c>
      <c r="H6460" s="1">
        <v>0</v>
      </c>
      <c r="I6460" s="1">
        <v>90.922499999999999</v>
      </c>
    </row>
    <row r="6461" spans="1:9" x14ac:dyDescent="0.25">
      <c r="A6461" s="1">
        <v>2600032043</v>
      </c>
      <c r="B6461" s="1" t="s">
        <v>4140</v>
      </c>
      <c r="C6461" s="1" t="s">
        <v>130</v>
      </c>
      <c r="D6461" s="1" t="s">
        <v>131</v>
      </c>
      <c r="E6461" s="1">
        <v>45</v>
      </c>
      <c r="F6461" s="1" t="s">
        <v>36</v>
      </c>
      <c r="G6461" s="1">
        <v>0</v>
      </c>
      <c r="H6461" s="1">
        <v>0</v>
      </c>
      <c r="I6461" s="1">
        <v>5.5084439999999999</v>
      </c>
    </row>
    <row r="6462" spans="1:9" x14ac:dyDescent="0.25">
      <c r="A6462" s="1">
        <v>2600032052</v>
      </c>
      <c r="B6462" s="1" t="s">
        <v>4141</v>
      </c>
      <c r="C6462" s="1" t="s">
        <v>130</v>
      </c>
      <c r="D6462" s="1" t="s">
        <v>131</v>
      </c>
      <c r="E6462" s="1">
        <v>59</v>
      </c>
      <c r="F6462" s="1" t="s">
        <v>36</v>
      </c>
      <c r="G6462" s="1">
        <v>0</v>
      </c>
      <c r="H6462" s="3">
        <v>0</v>
      </c>
      <c r="I6462" s="1">
        <v>1.1293219999999999</v>
      </c>
    </row>
    <row r="6463" spans="1:9" x14ac:dyDescent="0.25">
      <c r="A6463" s="1">
        <v>2600032082</v>
      </c>
      <c r="B6463" s="1" t="s">
        <v>4142</v>
      </c>
      <c r="C6463" s="1" t="s">
        <v>130</v>
      </c>
      <c r="D6463" s="1" t="s">
        <v>131</v>
      </c>
      <c r="E6463" s="1">
        <v>84</v>
      </c>
      <c r="F6463" s="1" t="s">
        <v>36</v>
      </c>
      <c r="G6463" s="1">
        <v>0</v>
      </c>
      <c r="H6463" s="1">
        <v>0</v>
      </c>
      <c r="I6463" s="1">
        <v>12.637857</v>
      </c>
    </row>
    <row r="6464" spans="1:9" x14ac:dyDescent="0.25">
      <c r="A6464" s="1">
        <v>2600032098</v>
      </c>
      <c r="B6464" s="1" t="s">
        <v>4143</v>
      </c>
      <c r="C6464" s="1" t="s">
        <v>130</v>
      </c>
      <c r="D6464" s="1" t="s">
        <v>131</v>
      </c>
      <c r="E6464" s="3">
        <v>500</v>
      </c>
      <c r="F6464" s="1" t="s">
        <v>36</v>
      </c>
      <c r="G6464" s="1">
        <v>0</v>
      </c>
      <c r="H6464" s="1">
        <v>0</v>
      </c>
      <c r="I6464" s="1">
        <v>0.22842000000000001</v>
      </c>
    </row>
    <row r="6465" spans="1:9" x14ac:dyDescent="0.25">
      <c r="A6465" s="1">
        <v>2600032117</v>
      </c>
      <c r="B6465" s="1" t="s">
        <v>4144</v>
      </c>
      <c r="C6465" s="1" t="s">
        <v>130</v>
      </c>
      <c r="D6465" s="1" t="s">
        <v>131</v>
      </c>
      <c r="E6465" s="3">
        <v>2</v>
      </c>
      <c r="F6465" s="1" t="s">
        <v>36</v>
      </c>
      <c r="G6465" s="1">
        <v>0</v>
      </c>
      <c r="H6465" s="1">
        <v>0</v>
      </c>
      <c r="I6465" s="1">
        <v>10.705</v>
      </c>
    </row>
    <row r="6466" spans="1:9" x14ac:dyDescent="0.25">
      <c r="A6466" s="1">
        <v>2600032122</v>
      </c>
      <c r="B6466" s="1" t="s">
        <v>4145</v>
      </c>
      <c r="C6466" s="1" t="s">
        <v>130</v>
      </c>
      <c r="D6466" s="1" t="s">
        <v>131</v>
      </c>
      <c r="E6466" s="3">
        <v>5</v>
      </c>
      <c r="F6466" s="1" t="s">
        <v>36</v>
      </c>
      <c r="G6466" s="1">
        <v>0</v>
      </c>
      <c r="H6466" s="1">
        <v>0</v>
      </c>
      <c r="I6466" s="1">
        <v>1.75</v>
      </c>
    </row>
    <row r="6467" spans="1:9" x14ac:dyDescent="0.25">
      <c r="A6467" s="1">
        <v>2600032161</v>
      </c>
      <c r="B6467" s="1" t="s">
        <v>4146</v>
      </c>
      <c r="C6467" s="1" t="s">
        <v>130</v>
      </c>
      <c r="D6467" s="1" t="s">
        <v>131</v>
      </c>
      <c r="E6467" s="1">
        <v>100</v>
      </c>
      <c r="F6467" s="1" t="s">
        <v>36</v>
      </c>
      <c r="G6467" s="1">
        <v>0</v>
      </c>
      <c r="H6467" s="1">
        <v>0</v>
      </c>
      <c r="I6467" s="1">
        <v>0.127</v>
      </c>
    </row>
    <row r="6468" spans="1:9" x14ac:dyDescent="0.25">
      <c r="A6468" s="1">
        <v>2600032165</v>
      </c>
      <c r="B6468" s="1" t="s">
        <v>4147</v>
      </c>
      <c r="C6468" s="1" t="s">
        <v>130</v>
      </c>
      <c r="D6468" s="1" t="s">
        <v>131</v>
      </c>
      <c r="E6468" s="3">
        <v>4</v>
      </c>
      <c r="F6468" s="1" t="s">
        <v>36</v>
      </c>
      <c r="G6468" s="1">
        <v>0</v>
      </c>
      <c r="H6468" s="1">
        <v>0</v>
      </c>
      <c r="I6468" s="1">
        <v>3.81</v>
      </c>
    </row>
    <row r="6469" spans="1:9" x14ac:dyDescent="0.25">
      <c r="A6469" s="1">
        <v>2600032234</v>
      </c>
      <c r="B6469" s="1" t="s">
        <v>4148</v>
      </c>
      <c r="C6469" s="1" t="s">
        <v>130</v>
      </c>
      <c r="D6469" s="1" t="s">
        <v>131</v>
      </c>
      <c r="E6469" s="3">
        <v>1</v>
      </c>
      <c r="F6469" s="1" t="s">
        <v>36</v>
      </c>
      <c r="G6469" s="1">
        <v>0</v>
      </c>
      <c r="H6469" s="1">
        <v>0</v>
      </c>
      <c r="I6469" s="1">
        <v>28.18</v>
      </c>
    </row>
    <row r="6470" spans="1:9" x14ac:dyDescent="0.25">
      <c r="A6470" s="1">
        <v>2600032261</v>
      </c>
      <c r="B6470" s="1" t="s">
        <v>4149</v>
      </c>
      <c r="C6470" s="1" t="s">
        <v>130</v>
      </c>
      <c r="D6470" s="1" t="s">
        <v>131</v>
      </c>
      <c r="E6470" s="1">
        <v>2</v>
      </c>
      <c r="F6470" s="1" t="s">
        <v>36</v>
      </c>
      <c r="G6470" s="1">
        <v>0</v>
      </c>
      <c r="H6470" s="1">
        <v>0</v>
      </c>
      <c r="I6470" s="1">
        <v>11.445</v>
      </c>
    </row>
    <row r="6471" spans="1:9" x14ac:dyDescent="0.25">
      <c r="A6471" s="1">
        <v>2600032276</v>
      </c>
      <c r="B6471" s="1" t="s">
        <v>4150</v>
      </c>
      <c r="C6471" s="1" t="s">
        <v>130</v>
      </c>
      <c r="D6471" s="1" t="s">
        <v>131</v>
      </c>
      <c r="E6471" s="3">
        <v>4</v>
      </c>
      <c r="F6471" s="1" t="s">
        <v>36</v>
      </c>
      <c r="G6471" s="1">
        <v>0</v>
      </c>
      <c r="H6471" s="1">
        <v>0</v>
      </c>
      <c r="I6471" s="1">
        <v>8</v>
      </c>
    </row>
    <row r="6472" spans="1:9" x14ac:dyDescent="0.25">
      <c r="A6472" s="1">
        <v>2600032305</v>
      </c>
      <c r="B6472" s="1" t="s">
        <v>4151</v>
      </c>
      <c r="C6472" s="1" t="s">
        <v>130</v>
      </c>
      <c r="D6472" s="1" t="s">
        <v>131</v>
      </c>
      <c r="E6472" s="3">
        <v>2</v>
      </c>
      <c r="F6472" s="1" t="s">
        <v>36</v>
      </c>
      <c r="G6472" s="1">
        <v>0</v>
      </c>
      <c r="H6472" s="1">
        <v>0</v>
      </c>
      <c r="I6472" s="1">
        <v>12.71</v>
      </c>
    </row>
    <row r="6473" spans="1:9" x14ac:dyDescent="0.25">
      <c r="A6473" s="1">
        <v>2600032339</v>
      </c>
      <c r="B6473" s="1" t="s">
        <v>4152</v>
      </c>
      <c r="C6473" s="1" t="s">
        <v>130</v>
      </c>
      <c r="D6473" s="1" t="s">
        <v>131</v>
      </c>
      <c r="E6473" s="1">
        <v>2</v>
      </c>
      <c r="F6473" s="1" t="s">
        <v>36</v>
      </c>
      <c r="G6473" s="1">
        <v>0</v>
      </c>
      <c r="H6473" s="1">
        <v>0</v>
      </c>
      <c r="I6473" s="1">
        <v>330.51</v>
      </c>
    </row>
    <row r="6474" spans="1:9" x14ac:dyDescent="0.25">
      <c r="A6474" s="1">
        <v>2600032370</v>
      </c>
      <c r="B6474" s="1" t="s">
        <v>4153</v>
      </c>
      <c r="C6474" s="1" t="s">
        <v>130</v>
      </c>
      <c r="D6474" s="1" t="s">
        <v>131</v>
      </c>
      <c r="E6474" s="1">
        <v>500</v>
      </c>
      <c r="F6474" s="1" t="s">
        <v>36</v>
      </c>
      <c r="G6474" s="1">
        <v>0</v>
      </c>
      <c r="H6474" s="1">
        <v>0</v>
      </c>
      <c r="I6474" s="1">
        <v>0.17127999999999999</v>
      </c>
    </row>
    <row r="6475" spans="1:9" x14ac:dyDescent="0.25">
      <c r="A6475" s="1">
        <v>2600032419</v>
      </c>
      <c r="B6475" s="1" t="s">
        <v>4154</v>
      </c>
      <c r="C6475" s="1" t="s">
        <v>130</v>
      </c>
      <c r="D6475" s="1" t="s">
        <v>131</v>
      </c>
      <c r="E6475" s="1">
        <v>20</v>
      </c>
      <c r="F6475" s="1" t="s">
        <v>36</v>
      </c>
      <c r="G6475" s="1">
        <v>0</v>
      </c>
      <c r="H6475" s="1">
        <v>0</v>
      </c>
      <c r="I6475" s="1">
        <v>0.70399999999999996</v>
      </c>
    </row>
    <row r="6476" spans="1:9" x14ac:dyDescent="0.25">
      <c r="A6476" s="1">
        <v>2600032430</v>
      </c>
      <c r="B6476" s="1" t="s">
        <v>4155</v>
      </c>
      <c r="C6476" s="1" t="s">
        <v>130</v>
      </c>
      <c r="D6476" s="1" t="s">
        <v>131</v>
      </c>
      <c r="E6476" s="1">
        <v>5</v>
      </c>
      <c r="F6476" s="1" t="s">
        <v>36</v>
      </c>
      <c r="G6476" s="1">
        <v>0</v>
      </c>
      <c r="H6476" s="1">
        <v>0</v>
      </c>
      <c r="I6476" s="1">
        <v>204.18</v>
      </c>
    </row>
    <row r="6477" spans="1:9" x14ac:dyDescent="0.25">
      <c r="A6477" s="1">
        <v>2600032431</v>
      </c>
      <c r="B6477" s="1" t="s">
        <v>4156</v>
      </c>
      <c r="C6477" s="1" t="s">
        <v>130</v>
      </c>
      <c r="D6477" s="1" t="s">
        <v>131</v>
      </c>
      <c r="E6477" s="1">
        <v>5</v>
      </c>
      <c r="F6477" s="1" t="s">
        <v>36</v>
      </c>
      <c r="G6477" s="1">
        <v>0</v>
      </c>
      <c r="H6477" s="1">
        <v>0</v>
      </c>
      <c r="I6477" s="1">
        <v>204.178</v>
      </c>
    </row>
    <row r="6478" spans="1:9" x14ac:dyDescent="0.25">
      <c r="A6478" s="1">
        <v>2600032449</v>
      </c>
      <c r="B6478" s="1" t="s">
        <v>4157</v>
      </c>
      <c r="C6478" s="1" t="s">
        <v>130</v>
      </c>
      <c r="D6478" s="1" t="s">
        <v>131</v>
      </c>
      <c r="E6478" s="1">
        <v>1</v>
      </c>
      <c r="F6478" s="1" t="s">
        <v>36</v>
      </c>
      <c r="G6478" s="1">
        <v>0</v>
      </c>
      <c r="H6478" s="1">
        <v>0</v>
      </c>
      <c r="I6478" s="1">
        <v>16.53</v>
      </c>
    </row>
    <row r="6479" spans="1:9" x14ac:dyDescent="0.25">
      <c r="A6479" s="1">
        <v>2600032487</v>
      </c>
      <c r="B6479" s="1" t="s">
        <v>4158</v>
      </c>
      <c r="C6479" s="1" t="s">
        <v>130</v>
      </c>
      <c r="D6479" s="1" t="s">
        <v>131</v>
      </c>
      <c r="E6479" s="1">
        <v>3</v>
      </c>
      <c r="F6479" s="1" t="s">
        <v>36</v>
      </c>
      <c r="G6479" s="1">
        <v>0</v>
      </c>
      <c r="H6479" s="1">
        <v>0</v>
      </c>
      <c r="I6479" s="1">
        <v>154.686667</v>
      </c>
    </row>
    <row r="6480" spans="1:9" x14ac:dyDescent="0.25">
      <c r="A6480" s="1">
        <v>2600032515</v>
      </c>
      <c r="B6480" s="1" t="s">
        <v>4159</v>
      </c>
      <c r="C6480" s="1" t="s">
        <v>130</v>
      </c>
      <c r="D6480" s="1" t="s">
        <v>131</v>
      </c>
      <c r="E6480" s="1">
        <v>3</v>
      </c>
      <c r="F6480" s="1" t="s">
        <v>36</v>
      </c>
      <c r="G6480" s="1">
        <v>0</v>
      </c>
      <c r="H6480" s="1">
        <v>0</v>
      </c>
      <c r="I6480" s="1">
        <v>35.943333000000003</v>
      </c>
    </row>
    <row r="6481" spans="1:9" x14ac:dyDescent="0.25">
      <c r="A6481" s="1">
        <v>2600032528</v>
      </c>
      <c r="B6481" s="1" t="s">
        <v>4160</v>
      </c>
      <c r="C6481" s="1" t="s">
        <v>130</v>
      </c>
      <c r="D6481" s="1" t="s">
        <v>131</v>
      </c>
      <c r="E6481" s="1">
        <v>7</v>
      </c>
      <c r="F6481" s="1" t="s">
        <v>36</v>
      </c>
      <c r="G6481" s="1">
        <v>0</v>
      </c>
      <c r="H6481" s="1">
        <v>0</v>
      </c>
      <c r="I6481" s="1">
        <v>100.825714</v>
      </c>
    </row>
    <row r="6482" spans="1:9" x14ac:dyDescent="0.25">
      <c r="A6482" s="1">
        <v>2600032537</v>
      </c>
      <c r="B6482" s="1" t="s">
        <v>4161</v>
      </c>
      <c r="C6482" s="1" t="s">
        <v>130</v>
      </c>
      <c r="D6482" s="1" t="s">
        <v>131</v>
      </c>
      <c r="E6482" s="1">
        <v>2</v>
      </c>
      <c r="F6482" s="1" t="s">
        <v>36</v>
      </c>
      <c r="G6482" s="1">
        <v>0</v>
      </c>
      <c r="H6482" s="1">
        <v>0</v>
      </c>
      <c r="I6482" s="1">
        <v>742.36500000000001</v>
      </c>
    </row>
    <row r="6483" spans="1:9" x14ac:dyDescent="0.25">
      <c r="A6483" s="1">
        <v>2600032553</v>
      </c>
      <c r="B6483" s="1" t="s">
        <v>4162</v>
      </c>
      <c r="C6483" s="1" t="s">
        <v>130</v>
      </c>
      <c r="D6483" s="1" t="s">
        <v>131</v>
      </c>
      <c r="E6483" s="1">
        <v>8</v>
      </c>
      <c r="F6483" s="1" t="s">
        <v>36</v>
      </c>
      <c r="G6483" s="1">
        <v>0</v>
      </c>
      <c r="H6483" s="1">
        <v>0</v>
      </c>
      <c r="I6483" s="1">
        <v>4.4275000000000002</v>
      </c>
    </row>
    <row r="6484" spans="1:9" x14ac:dyDescent="0.25">
      <c r="A6484" s="1">
        <v>2600032562</v>
      </c>
      <c r="B6484" s="1" t="s">
        <v>4163</v>
      </c>
      <c r="C6484" s="1" t="s">
        <v>130</v>
      </c>
      <c r="D6484" s="1" t="s">
        <v>131</v>
      </c>
      <c r="E6484" s="1">
        <v>1</v>
      </c>
      <c r="F6484" s="1" t="s">
        <v>36</v>
      </c>
      <c r="G6484" s="1">
        <v>0</v>
      </c>
      <c r="H6484" s="1">
        <v>0</v>
      </c>
      <c r="I6484" s="1">
        <v>40.9</v>
      </c>
    </row>
    <row r="6485" spans="1:9" x14ac:dyDescent="0.25">
      <c r="A6485" s="1">
        <v>2600032568</v>
      </c>
      <c r="B6485" s="1" t="s">
        <v>4164</v>
      </c>
      <c r="C6485" s="1" t="s">
        <v>130</v>
      </c>
      <c r="D6485" s="1" t="s">
        <v>131</v>
      </c>
      <c r="E6485" s="1">
        <v>500</v>
      </c>
      <c r="F6485" s="1" t="s">
        <v>36</v>
      </c>
      <c r="G6485" s="1">
        <v>0</v>
      </c>
      <c r="H6485" s="1">
        <v>0</v>
      </c>
      <c r="I6485" s="1">
        <v>0.22842000000000001</v>
      </c>
    </row>
    <row r="6486" spans="1:9" x14ac:dyDescent="0.25">
      <c r="A6486" s="1">
        <v>2600032608</v>
      </c>
      <c r="B6486" s="1" t="s">
        <v>4165</v>
      </c>
      <c r="C6486" s="1" t="s">
        <v>130</v>
      </c>
      <c r="D6486" s="1" t="s">
        <v>131</v>
      </c>
      <c r="E6486" s="1">
        <v>1</v>
      </c>
      <c r="F6486" s="1" t="s">
        <v>36</v>
      </c>
      <c r="G6486" s="1">
        <v>0</v>
      </c>
      <c r="H6486" s="1">
        <v>0</v>
      </c>
      <c r="I6486" s="3">
        <v>72.03</v>
      </c>
    </row>
    <row r="6487" spans="1:9" x14ac:dyDescent="0.25">
      <c r="A6487" s="1">
        <v>2600032621</v>
      </c>
      <c r="B6487" s="1" t="s">
        <v>4166</v>
      </c>
      <c r="C6487" s="1" t="s">
        <v>130</v>
      </c>
      <c r="D6487" s="1" t="s">
        <v>131</v>
      </c>
      <c r="E6487" s="1">
        <v>6</v>
      </c>
      <c r="F6487" s="1" t="s">
        <v>36</v>
      </c>
      <c r="G6487" s="1">
        <v>0</v>
      </c>
      <c r="H6487" s="1">
        <v>0</v>
      </c>
      <c r="I6487" s="1">
        <v>26.288333000000002</v>
      </c>
    </row>
    <row r="6488" spans="1:9" x14ac:dyDescent="0.25">
      <c r="A6488" s="1">
        <v>2600032741</v>
      </c>
      <c r="B6488" s="1" t="s">
        <v>4167</v>
      </c>
      <c r="C6488" s="1" t="s">
        <v>130</v>
      </c>
      <c r="D6488" s="1" t="s">
        <v>131</v>
      </c>
      <c r="E6488" s="1">
        <v>4</v>
      </c>
      <c r="F6488" s="1" t="s">
        <v>36</v>
      </c>
      <c r="G6488" s="1">
        <v>0</v>
      </c>
      <c r="H6488" s="1">
        <v>0</v>
      </c>
      <c r="I6488" s="3">
        <v>15</v>
      </c>
    </row>
    <row r="6489" spans="1:9" x14ac:dyDescent="0.25">
      <c r="A6489" s="1">
        <v>2600032772</v>
      </c>
      <c r="B6489" s="1" t="s">
        <v>4168</v>
      </c>
      <c r="C6489" s="1" t="s">
        <v>130</v>
      </c>
      <c r="D6489" s="1" t="s">
        <v>131</v>
      </c>
      <c r="E6489" s="1">
        <v>1</v>
      </c>
      <c r="F6489" s="1" t="s">
        <v>36</v>
      </c>
      <c r="G6489" s="1">
        <v>0</v>
      </c>
      <c r="H6489" s="1">
        <v>0</v>
      </c>
      <c r="I6489" s="3">
        <v>4.41</v>
      </c>
    </row>
    <row r="6490" spans="1:9" x14ac:dyDescent="0.25">
      <c r="A6490" s="1">
        <v>2600032775</v>
      </c>
      <c r="B6490" s="1" t="s">
        <v>4169</v>
      </c>
      <c r="C6490" s="1" t="s">
        <v>130</v>
      </c>
      <c r="D6490" s="1" t="s">
        <v>131</v>
      </c>
      <c r="E6490" s="1">
        <v>16</v>
      </c>
      <c r="F6490" s="1" t="s">
        <v>36</v>
      </c>
      <c r="G6490" s="1">
        <v>0</v>
      </c>
      <c r="H6490" s="1">
        <v>0</v>
      </c>
      <c r="I6490" s="1">
        <v>5.6018749999999997</v>
      </c>
    </row>
    <row r="6491" spans="1:9" x14ac:dyDescent="0.25">
      <c r="A6491" s="1">
        <v>2600032789</v>
      </c>
      <c r="B6491" s="1" t="s">
        <v>4170</v>
      </c>
      <c r="C6491" s="1" t="s">
        <v>130</v>
      </c>
      <c r="D6491" s="1" t="s">
        <v>131</v>
      </c>
      <c r="E6491" s="1">
        <v>2</v>
      </c>
      <c r="F6491" s="1" t="s">
        <v>3382</v>
      </c>
      <c r="G6491" s="1">
        <v>0</v>
      </c>
      <c r="H6491" s="1">
        <v>0</v>
      </c>
      <c r="I6491" s="1">
        <v>61.185000000000002</v>
      </c>
    </row>
    <row r="6492" spans="1:9" x14ac:dyDescent="0.25">
      <c r="A6492" s="1">
        <v>2600032802</v>
      </c>
      <c r="B6492" s="1" t="s">
        <v>4171</v>
      </c>
      <c r="C6492" s="1" t="s">
        <v>130</v>
      </c>
      <c r="D6492" s="1" t="s">
        <v>131</v>
      </c>
      <c r="E6492" s="1">
        <v>1</v>
      </c>
      <c r="F6492" s="1" t="s">
        <v>36</v>
      </c>
      <c r="G6492" s="1">
        <v>0</v>
      </c>
      <c r="H6492" s="1">
        <v>0</v>
      </c>
      <c r="I6492" s="1">
        <v>241.52</v>
      </c>
    </row>
    <row r="6493" spans="1:9" x14ac:dyDescent="0.25">
      <c r="A6493" s="1">
        <v>2600032820</v>
      </c>
      <c r="B6493" s="1" t="s">
        <v>4172</v>
      </c>
      <c r="C6493" s="1" t="s">
        <v>130</v>
      </c>
      <c r="D6493" s="1" t="s">
        <v>131</v>
      </c>
      <c r="E6493" s="1">
        <v>1</v>
      </c>
      <c r="F6493" s="1" t="s">
        <v>36</v>
      </c>
      <c r="G6493" s="1">
        <v>0</v>
      </c>
      <c r="H6493" s="1">
        <v>0</v>
      </c>
      <c r="I6493" s="1">
        <v>32.72</v>
      </c>
    </row>
    <row r="6494" spans="1:9" x14ac:dyDescent="0.25">
      <c r="A6494" s="1">
        <v>2600032879</v>
      </c>
      <c r="B6494" s="1" t="s">
        <v>4173</v>
      </c>
      <c r="C6494" s="1" t="s">
        <v>130</v>
      </c>
      <c r="D6494" s="1" t="s">
        <v>131</v>
      </c>
      <c r="E6494" s="1">
        <v>2</v>
      </c>
      <c r="F6494" s="1" t="s">
        <v>36</v>
      </c>
      <c r="G6494" s="1">
        <v>0</v>
      </c>
      <c r="H6494" s="1">
        <v>0</v>
      </c>
      <c r="I6494" s="1">
        <v>154.61500000000001</v>
      </c>
    </row>
    <row r="6495" spans="1:9" x14ac:dyDescent="0.25">
      <c r="A6495" s="1">
        <v>2600032919</v>
      </c>
      <c r="B6495" s="1" t="s">
        <v>4174</v>
      </c>
      <c r="C6495" s="1" t="s">
        <v>130</v>
      </c>
      <c r="D6495" s="1" t="s">
        <v>131</v>
      </c>
      <c r="E6495" s="1">
        <v>5</v>
      </c>
      <c r="F6495" s="1" t="s">
        <v>36</v>
      </c>
      <c r="G6495" s="1">
        <v>0</v>
      </c>
      <c r="H6495" s="1">
        <v>0</v>
      </c>
      <c r="I6495" s="1">
        <v>21.186</v>
      </c>
    </row>
    <row r="6496" spans="1:9" x14ac:dyDescent="0.25">
      <c r="A6496" s="1">
        <v>2600032964</v>
      </c>
      <c r="B6496" s="1" t="s">
        <v>4175</v>
      </c>
      <c r="C6496" s="1" t="s">
        <v>130</v>
      </c>
      <c r="D6496" s="1" t="s">
        <v>131</v>
      </c>
      <c r="E6496" s="1">
        <v>1</v>
      </c>
      <c r="F6496" s="1" t="s">
        <v>36</v>
      </c>
      <c r="G6496" s="1">
        <v>0</v>
      </c>
      <c r="H6496" s="1">
        <v>0</v>
      </c>
      <c r="I6496" s="3">
        <v>6.5</v>
      </c>
    </row>
    <row r="6497" spans="1:9" x14ac:dyDescent="0.25">
      <c r="A6497">
        <v>2600033033</v>
      </c>
      <c r="B6497" t="s">
        <v>4176</v>
      </c>
      <c r="C6497" t="s">
        <v>130</v>
      </c>
      <c r="D6497" t="s">
        <v>131</v>
      </c>
      <c r="E6497" s="2">
        <v>2</v>
      </c>
      <c r="F6497" t="s">
        <v>3382</v>
      </c>
      <c r="G6497">
        <v>0</v>
      </c>
      <c r="H6497">
        <v>0</v>
      </c>
      <c r="I6497" s="2">
        <v>1689.54</v>
      </c>
    </row>
    <row r="6498" spans="1:9" x14ac:dyDescent="0.25">
      <c r="A6498" s="1">
        <v>2600033053</v>
      </c>
      <c r="B6498" s="1" t="s">
        <v>4177</v>
      </c>
      <c r="C6498" s="1" t="s">
        <v>130</v>
      </c>
      <c r="D6498" s="1" t="s">
        <v>131</v>
      </c>
      <c r="E6498" s="1">
        <v>4</v>
      </c>
      <c r="F6498" s="1" t="s">
        <v>36</v>
      </c>
      <c r="G6498" s="1">
        <v>0</v>
      </c>
      <c r="H6498" s="1">
        <v>0</v>
      </c>
      <c r="I6498" s="3">
        <v>1.1875</v>
      </c>
    </row>
    <row r="6499" spans="1:9" x14ac:dyDescent="0.25">
      <c r="A6499" s="1">
        <v>2600033070</v>
      </c>
      <c r="B6499" s="1" t="s">
        <v>4178</v>
      </c>
      <c r="C6499" s="1" t="s">
        <v>130</v>
      </c>
      <c r="D6499" s="1" t="s">
        <v>131</v>
      </c>
      <c r="E6499" s="1">
        <v>1</v>
      </c>
      <c r="F6499" s="1" t="s">
        <v>36</v>
      </c>
      <c r="G6499" s="1">
        <v>0</v>
      </c>
      <c r="H6499" s="1">
        <v>0</v>
      </c>
      <c r="I6499" s="3">
        <v>44.07</v>
      </c>
    </row>
    <row r="6500" spans="1:9" x14ac:dyDescent="0.25">
      <c r="A6500" s="1">
        <v>2600033079</v>
      </c>
      <c r="B6500" s="1" t="s">
        <v>4179</v>
      </c>
      <c r="C6500" s="1" t="s">
        <v>130</v>
      </c>
      <c r="D6500" s="1" t="s">
        <v>131</v>
      </c>
      <c r="E6500" s="1">
        <v>1</v>
      </c>
      <c r="F6500" s="1" t="s">
        <v>36</v>
      </c>
      <c r="G6500" s="1">
        <v>0</v>
      </c>
      <c r="H6500" s="1">
        <v>0</v>
      </c>
      <c r="I6500" s="3">
        <v>8.6300000000000008</v>
      </c>
    </row>
    <row r="6501" spans="1:9" x14ac:dyDescent="0.25">
      <c r="A6501" s="1">
        <v>2600033080</v>
      </c>
      <c r="B6501" s="1" t="s">
        <v>4180</v>
      </c>
      <c r="C6501" s="1" t="s">
        <v>130</v>
      </c>
      <c r="D6501" s="1" t="s">
        <v>131</v>
      </c>
      <c r="E6501" s="1">
        <v>0</v>
      </c>
      <c r="F6501" s="1" t="s">
        <v>36</v>
      </c>
      <c r="G6501" s="1">
        <v>0</v>
      </c>
      <c r="H6501" s="1">
        <v>3</v>
      </c>
      <c r="I6501" s="3">
        <v>0</v>
      </c>
    </row>
    <row r="6502" spans="1:9" x14ac:dyDescent="0.25">
      <c r="A6502">
        <v>2600033088</v>
      </c>
      <c r="B6502" t="s">
        <v>4181</v>
      </c>
      <c r="C6502" t="s">
        <v>130</v>
      </c>
      <c r="D6502" t="s">
        <v>131</v>
      </c>
      <c r="E6502" s="2">
        <v>2</v>
      </c>
      <c r="F6502" t="s">
        <v>36</v>
      </c>
      <c r="G6502">
        <v>0</v>
      </c>
      <c r="H6502">
        <v>0</v>
      </c>
      <c r="I6502">
        <v>945.63</v>
      </c>
    </row>
    <row r="6503" spans="1:9" x14ac:dyDescent="0.25">
      <c r="A6503" s="1">
        <v>2600033121</v>
      </c>
      <c r="B6503" s="1" t="s">
        <v>4182</v>
      </c>
      <c r="C6503" s="1" t="s">
        <v>130</v>
      </c>
      <c r="D6503" s="1" t="s">
        <v>131</v>
      </c>
      <c r="E6503" s="1">
        <v>2</v>
      </c>
      <c r="F6503" s="1" t="s">
        <v>36</v>
      </c>
      <c r="G6503" s="1">
        <v>0</v>
      </c>
      <c r="H6503" s="1">
        <v>0</v>
      </c>
      <c r="I6503" s="1">
        <v>220.34</v>
      </c>
    </row>
    <row r="6504" spans="1:9" x14ac:dyDescent="0.25">
      <c r="A6504" s="1">
        <v>2600033138</v>
      </c>
      <c r="B6504" s="1" t="s">
        <v>4183</v>
      </c>
      <c r="C6504" s="1" t="s">
        <v>130</v>
      </c>
      <c r="D6504" s="1" t="s">
        <v>131</v>
      </c>
      <c r="E6504" s="1">
        <v>10</v>
      </c>
      <c r="F6504" s="1" t="s">
        <v>36</v>
      </c>
      <c r="G6504" s="1">
        <v>0</v>
      </c>
      <c r="H6504" s="1">
        <v>0</v>
      </c>
      <c r="I6504" s="1">
        <v>1.2709999999999999</v>
      </c>
    </row>
    <row r="6505" spans="1:9" x14ac:dyDescent="0.25">
      <c r="A6505" s="1">
        <v>2600033164</v>
      </c>
      <c r="B6505" s="1" t="s">
        <v>4184</v>
      </c>
      <c r="C6505" s="1" t="s">
        <v>130</v>
      </c>
      <c r="D6505" s="1" t="s">
        <v>131</v>
      </c>
      <c r="E6505" s="1">
        <v>12</v>
      </c>
      <c r="F6505" s="1" t="s">
        <v>36</v>
      </c>
      <c r="G6505" s="1">
        <v>0</v>
      </c>
      <c r="H6505" s="1">
        <v>0</v>
      </c>
      <c r="I6505" s="1">
        <v>9.3925000000000001</v>
      </c>
    </row>
    <row r="6506" spans="1:9" x14ac:dyDescent="0.25">
      <c r="A6506" s="1">
        <v>2600033177</v>
      </c>
      <c r="B6506" s="1" t="s">
        <v>4185</v>
      </c>
      <c r="C6506" s="1" t="s">
        <v>130</v>
      </c>
      <c r="D6506" s="1" t="s">
        <v>131</v>
      </c>
      <c r="E6506" s="1">
        <v>1</v>
      </c>
      <c r="F6506" s="1" t="s">
        <v>36</v>
      </c>
      <c r="G6506" s="1">
        <v>0</v>
      </c>
      <c r="H6506" s="1">
        <v>0</v>
      </c>
      <c r="I6506" s="1">
        <v>207.01</v>
      </c>
    </row>
    <row r="6507" spans="1:9" x14ac:dyDescent="0.25">
      <c r="A6507" s="1">
        <v>2600033208</v>
      </c>
      <c r="B6507" s="1" t="s">
        <v>4186</v>
      </c>
      <c r="C6507" s="1" t="s">
        <v>130</v>
      </c>
      <c r="D6507" s="1" t="s">
        <v>131</v>
      </c>
      <c r="E6507" s="1">
        <v>6</v>
      </c>
      <c r="F6507" s="1" t="s">
        <v>36</v>
      </c>
      <c r="G6507" s="1">
        <v>0</v>
      </c>
      <c r="H6507" s="1">
        <v>0</v>
      </c>
      <c r="I6507" s="1">
        <v>14.86</v>
      </c>
    </row>
    <row r="6508" spans="1:9" x14ac:dyDescent="0.25">
      <c r="A6508" s="1">
        <v>2600033317</v>
      </c>
      <c r="B6508" s="1" t="s">
        <v>4187</v>
      </c>
      <c r="C6508" s="1" t="s">
        <v>130</v>
      </c>
      <c r="D6508" s="1" t="s">
        <v>131</v>
      </c>
      <c r="E6508" s="1">
        <v>1</v>
      </c>
      <c r="F6508" s="1" t="s">
        <v>36</v>
      </c>
      <c r="G6508" s="1">
        <v>0</v>
      </c>
      <c r="H6508" s="1">
        <v>0</v>
      </c>
      <c r="I6508" s="1">
        <v>109.41</v>
      </c>
    </row>
    <row r="6509" spans="1:9" x14ac:dyDescent="0.25">
      <c r="A6509" s="1">
        <v>2600033318</v>
      </c>
      <c r="B6509" s="1" t="s">
        <v>4188</v>
      </c>
      <c r="C6509" s="1" t="s">
        <v>130</v>
      </c>
      <c r="D6509" s="1" t="s">
        <v>131</v>
      </c>
      <c r="E6509" s="1">
        <v>3</v>
      </c>
      <c r="F6509" s="1" t="s">
        <v>36</v>
      </c>
      <c r="G6509" s="1">
        <v>0</v>
      </c>
      <c r="H6509" s="1">
        <v>0</v>
      </c>
      <c r="I6509" s="1">
        <v>45.9</v>
      </c>
    </row>
    <row r="6510" spans="1:9" x14ac:dyDescent="0.25">
      <c r="A6510" s="1">
        <v>2600033341</v>
      </c>
      <c r="B6510" s="1" t="s">
        <v>4189</v>
      </c>
      <c r="C6510" s="1" t="s">
        <v>130</v>
      </c>
      <c r="D6510" s="1" t="s">
        <v>131</v>
      </c>
      <c r="E6510" s="1">
        <v>1</v>
      </c>
      <c r="F6510" s="1" t="s">
        <v>36</v>
      </c>
      <c r="G6510" s="1">
        <v>0</v>
      </c>
      <c r="H6510" s="1">
        <v>0</v>
      </c>
      <c r="I6510" s="1">
        <v>10</v>
      </c>
    </row>
    <row r="6511" spans="1:9" x14ac:dyDescent="0.25">
      <c r="A6511" s="1">
        <v>2600033344</v>
      </c>
      <c r="B6511" s="1" t="s">
        <v>4190</v>
      </c>
      <c r="C6511" s="1" t="s">
        <v>130</v>
      </c>
      <c r="D6511" s="1" t="s">
        <v>131</v>
      </c>
      <c r="E6511" s="1">
        <v>4</v>
      </c>
      <c r="F6511" s="1" t="s">
        <v>36</v>
      </c>
      <c r="G6511" s="1">
        <v>0</v>
      </c>
      <c r="H6511" s="1">
        <v>0</v>
      </c>
      <c r="I6511" s="1">
        <v>44.914999999999999</v>
      </c>
    </row>
    <row r="6512" spans="1:9" x14ac:dyDescent="0.25">
      <c r="A6512" s="1">
        <v>2600033347</v>
      </c>
      <c r="B6512" s="1" t="s">
        <v>4191</v>
      </c>
      <c r="C6512" s="1" t="s">
        <v>130</v>
      </c>
      <c r="D6512" s="1" t="s">
        <v>131</v>
      </c>
      <c r="E6512" s="1">
        <v>8</v>
      </c>
      <c r="F6512" s="1" t="s">
        <v>36</v>
      </c>
      <c r="G6512" s="1">
        <v>0</v>
      </c>
      <c r="H6512" s="1">
        <v>0</v>
      </c>
      <c r="I6512" s="1">
        <v>4.24</v>
      </c>
    </row>
    <row r="6513" spans="1:9" x14ac:dyDescent="0.25">
      <c r="A6513" s="1">
        <v>2600033536</v>
      </c>
      <c r="B6513" s="1" t="s">
        <v>4192</v>
      </c>
      <c r="C6513" s="1" t="s">
        <v>130</v>
      </c>
      <c r="D6513" s="1" t="s">
        <v>131</v>
      </c>
      <c r="E6513" s="1">
        <v>20</v>
      </c>
      <c r="F6513" s="1" t="s">
        <v>36</v>
      </c>
      <c r="G6513" s="1">
        <v>0</v>
      </c>
      <c r="H6513" s="1">
        <v>0</v>
      </c>
      <c r="I6513" s="1">
        <v>0.39400000000000002</v>
      </c>
    </row>
    <row r="6514" spans="1:9" x14ac:dyDescent="0.25">
      <c r="A6514" s="1">
        <v>2600033543</v>
      </c>
      <c r="B6514" s="1" t="s">
        <v>4193</v>
      </c>
      <c r="C6514" s="1" t="s">
        <v>130</v>
      </c>
      <c r="D6514" s="1" t="s">
        <v>131</v>
      </c>
      <c r="E6514" s="1">
        <v>30</v>
      </c>
      <c r="F6514" s="1" t="s">
        <v>36</v>
      </c>
      <c r="G6514" s="1">
        <v>0</v>
      </c>
      <c r="H6514" s="1">
        <v>0</v>
      </c>
      <c r="I6514" s="1">
        <v>0.49566700000000002</v>
      </c>
    </row>
    <row r="6515" spans="1:9" x14ac:dyDescent="0.25">
      <c r="A6515" s="1">
        <v>2600033553</v>
      </c>
      <c r="B6515" s="1" t="s">
        <v>4194</v>
      </c>
      <c r="C6515" s="1" t="s">
        <v>130</v>
      </c>
      <c r="D6515" s="1" t="s">
        <v>131</v>
      </c>
      <c r="E6515" s="1">
        <v>4</v>
      </c>
      <c r="F6515" s="1" t="s">
        <v>36</v>
      </c>
      <c r="G6515" s="1">
        <v>0</v>
      </c>
      <c r="H6515" s="1">
        <v>0</v>
      </c>
      <c r="I6515" s="1">
        <v>3.8149999999999999</v>
      </c>
    </row>
    <row r="6516" spans="1:9" x14ac:dyDescent="0.25">
      <c r="A6516" s="1">
        <v>2600033556</v>
      </c>
      <c r="B6516" s="1" t="s">
        <v>4195</v>
      </c>
      <c r="C6516" s="1" t="s">
        <v>130</v>
      </c>
      <c r="D6516" s="1" t="s">
        <v>131</v>
      </c>
      <c r="E6516" s="1">
        <v>15</v>
      </c>
      <c r="F6516" s="1" t="s">
        <v>36</v>
      </c>
      <c r="G6516" s="1">
        <v>0</v>
      </c>
      <c r="H6516" s="1">
        <v>0</v>
      </c>
      <c r="I6516" s="1">
        <v>36.83</v>
      </c>
    </row>
    <row r="6517" spans="1:9" x14ac:dyDescent="0.25">
      <c r="A6517" s="1">
        <v>2600033607</v>
      </c>
      <c r="B6517" s="1" t="s">
        <v>4196</v>
      </c>
      <c r="C6517" s="1" t="s">
        <v>130</v>
      </c>
      <c r="D6517" s="1" t="s">
        <v>131</v>
      </c>
      <c r="E6517" s="1">
        <v>1</v>
      </c>
      <c r="F6517" s="1" t="s">
        <v>36</v>
      </c>
      <c r="G6517" s="1">
        <v>0</v>
      </c>
      <c r="H6517" s="1">
        <v>0</v>
      </c>
      <c r="I6517" s="1">
        <v>51.63</v>
      </c>
    </row>
    <row r="6518" spans="1:9" x14ac:dyDescent="0.25">
      <c r="A6518" s="1">
        <v>2600033618</v>
      </c>
      <c r="B6518" s="1" t="s">
        <v>4197</v>
      </c>
      <c r="C6518" s="1" t="s">
        <v>130</v>
      </c>
      <c r="D6518" s="1" t="s">
        <v>131</v>
      </c>
      <c r="E6518" s="1">
        <v>0</v>
      </c>
      <c r="F6518" s="1" t="s">
        <v>36</v>
      </c>
      <c r="G6518" s="1">
        <v>0</v>
      </c>
      <c r="H6518" s="1">
        <v>40</v>
      </c>
      <c r="I6518" s="1">
        <v>0.38</v>
      </c>
    </row>
    <row r="6519" spans="1:9" x14ac:dyDescent="0.25">
      <c r="A6519" s="1">
        <v>2600033652</v>
      </c>
      <c r="B6519" s="1" t="s">
        <v>4198</v>
      </c>
      <c r="C6519" s="1" t="s">
        <v>130</v>
      </c>
      <c r="D6519" s="1" t="s">
        <v>131</v>
      </c>
      <c r="E6519" s="1">
        <v>1</v>
      </c>
      <c r="F6519" s="1" t="s">
        <v>36</v>
      </c>
      <c r="G6519" s="1">
        <v>0</v>
      </c>
      <c r="H6519" s="1">
        <v>0</v>
      </c>
      <c r="I6519" s="1">
        <v>120.8</v>
      </c>
    </row>
    <row r="6520" spans="1:9" x14ac:dyDescent="0.25">
      <c r="A6520" s="1">
        <v>2600033655</v>
      </c>
      <c r="B6520" s="1" t="s">
        <v>4199</v>
      </c>
      <c r="C6520" s="1" t="s">
        <v>130</v>
      </c>
      <c r="D6520" s="1" t="s">
        <v>131</v>
      </c>
      <c r="E6520" s="1">
        <v>2</v>
      </c>
      <c r="F6520" s="1" t="s">
        <v>36</v>
      </c>
      <c r="G6520" s="1">
        <v>0</v>
      </c>
      <c r="H6520" s="1">
        <v>0</v>
      </c>
      <c r="I6520" s="1">
        <v>58.17</v>
      </c>
    </row>
    <row r="6521" spans="1:9" x14ac:dyDescent="0.25">
      <c r="A6521" s="1">
        <v>2600033728</v>
      </c>
      <c r="B6521" s="1" t="s">
        <v>4200</v>
      </c>
      <c r="C6521" s="1" t="s">
        <v>130</v>
      </c>
      <c r="D6521" s="1" t="s">
        <v>131</v>
      </c>
      <c r="E6521" s="1">
        <v>6</v>
      </c>
      <c r="F6521" s="1" t="s">
        <v>36</v>
      </c>
      <c r="G6521" s="1">
        <v>0</v>
      </c>
      <c r="H6521" s="1">
        <v>0</v>
      </c>
      <c r="I6521" s="1">
        <v>22.03</v>
      </c>
    </row>
    <row r="6522" spans="1:9" x14ac:dyDescent="0.25">
      <c r="A6522" s="1">
        <v>2600033767</v>
      </c>
      <c r="B6522" s="1" t="s">
        <v>4201</v>
      </c>
      <c r="C6522" s="1" t="s">
        <v>130</v>
      </c>
      <c r="D6522" s="1" t="s">
        <v>131</v>
      </c>
      <c r="E6522" s="1">
        <v>2</v>
      </c>
      <c r="F6522" s="1" t="s">
        <v>36</v>
      </c>
      <c r="G6522" s="1">
        <v>0</v>
      </c>
      <c r="H6522" s="1">
        <v>0</v>
      </c>
      <c r="I6522" s="1">
        <v>66.010000000000005</v>
      </c>
    </row>
    <row r="6523" spans="1:9" x14ac:dyDescent="0.25">
      <c r="A6523" s="1">
        <v>2600033811</v>
      </c>
      <c r="B6523" s="1" t="s">
        <v>4202</v>
      </c>
      <c r="C6523" s="1" t="s">
        <v>130</v>
      </c>
      <c r="D6523" s="1" t="s">
        <v>131</v>
      </c>
      <c r="E6523" s="1">
        <v>4</v>
      </c>
      <c r="F6523" s="1" t="s">
        <v>3218</v>
      </c>
      <c r="G6523" s="1">
        <v>0</v>
      </c>
      <c r="H6523" s="1">
        <v>0</v>
      </c>
      <c r="I6523" s="1">
        <v>17.565000000000001</v>
      </c>
    </row>
    <row r="6524" spans="1:9" x14ac:dyDescent="0.25">
      <c r="A6524" s="1">
        <v>2600033822</v>
      </c>
      <c r="B6524" s="1" t="s">
        <v>4203</v>
      </c>
      <c r="C6524" s="1" t="s">
        <v>130</v>
      </c>
      <c r="D6524" s="1" t="s">
        <v>131</v>
      </c>
      <c r="E6524" s="1">
        <v>48</v>
      </c>
      <c r="F6524" s="1" t="s">
        <v>36</v>
      </c>
      <c r="G6524" s="1">
        <v>0</v>
      </c>
      <c r="H6524" s="1">
        <v>0</v>
      </c>
      <c r="I6524" s="1">
        <v>2.1185420000000001</v>
      </c>
    </row>
    <row r="6525" spans="1:9" x14ac:dyDescent="0.25">
      <c r="A6525" s="1">
        <v>2600033860</v>
      </c>
      <c r="B6525" s="1" t="s">
        <v>4204</v>
      </c>
      <c r="C6525" s="1" t="s">
        <v>130</v>
      </c>
      <c r="D6525" s="1" t="s">
        <v>131</v>
      </c>
      <c r="E6525" s="1">
        <v>2</v>
      </c>
      <c r="F6525" s="1" t="s">
        <v>36</v>
      </c>
      <c r="G6525" s="1">
        <v>0</v>
      </c>
      <c r="H6525" s="1">
        <v>0</v>
      </c>
      <c r="I6525" s="1">
        <v>29.66</v>
      </c>
    </row>
    <row r="6526" spans="1:9" x14ac:dyDescent="0.25">
      <c r="A6526" s="1">
        <v>2600033977</v>
      </c>
      <c r="B6526" s="1" t="s">
        <v>4205</v>
      </c>
      <c r="C6526" s="1" t="s">
        <v>130</v>
      </c>
      <c r="D6526" s="1" t="s">
        <v>131</v>
      </c>
      <c r="E6526" s="1">
        <v>8</v>
      </c>
      <c r="F6526" s="1" t="s">
        <v>36</v>
      </c>
      <c r="G6526" s="1">
        <v>0</v>
      </c>
      <c r="H6526" s="1">
        <v>0</v>
      </c>
      <c r="I6526" s="1">
        <v>0.68</v>
      </c>
    </row>
    <row r="6527" spans="1:9" x14ac:dyDescent="0.25">
      <c r="A6527" s="1">
        <v>2600034009</v>
      </c>
      <c r="B6527" s="1" t="s">
        <v>4206</v>
      </c>
      <c r="C6527" s="1" t="s">
        <v>130</v>
      </c>
      <c r="D6527" s="1" t="s">
        <v>131</v>
      </c>
      <c r="E6527" s="1">
        <v>1</v>
      </c>
      <c r="F6527" s="1" t="s">
        <v>36</v>
      </c>
      <c r="G6527" s="1">
        <v>0</v>
      </c>
      <c r="H6527" s="1">
        <v>0</v>
      </c>
      <c r="I6527" s="1">
        <v>104.01</v>
      </c>
    </row>
    <row r="6528" spans="1:9" x14ac:dyDescent="0.25">
      <c r="A6528" s="1">
        <v>2600034041</v>
      </c>
      <c r="B6528" s="1" t="s">
        <v>4207</v>
      </c>
      <c r="C6528" s="1" t="s">
        <v>130</v>
      </c>
      <c r="D6528" s="1" t="s">
        <v>131</v>
      </c>
      <c r="E6528" s="1">
        <v>2</v>
      </c>
      <c r="F6528" s="1" t="s">
        <v>36</v>
      </c>
      <c r="G6528" s="1">
        <v>0</v>
      </c>
      <c r="H6528" s="1">
        <v>0</v>
      </c>
      <c r="I6528" s="1">
        <v>7.74</v>
      </c>
    </row>
    <row r="6529" spans="1:9" x14ac:dyDescent="0.25">
      <c r="A6529" s="1">
        <v>2600034061</v>
      </c>
      <c r="B6529" s="1" t="s">
        <v>4208</v>
      </c>
      <c r="C6529" s="1" t="s">
        <v>130</v>
      </c>
      <c r="D6529" s="1" t="s">
        <v>131</v>
      </c>
      <c r="E6529" s="1">
        <v>1</v>
      </c>
      <c r="F6529" s="1" t="s">
        <v>36</v>
      </c>
      <c r="G6529" s="1">
        <v>0</v>
      </c>
      <c r="H6529" s="1">
        <v>0</v>
      </c>
      <c r="I6529" s="1">
        <v>31.19</v>
      </c>
    </row>
    <row r="6530" spans="1:9" x14ac:dyDescent="0.25">
      <c r="A6530" s="1">
        <v>2600034062</v>
      </c>
      <c r="B6530" s="1" t="s">
        <v>4209</v>
      </c>
      <c r="C6530" s="1" t="s">
        <v>130</v>
      </c>
      <c r="D6530" s="1" t="s">
        <v>131</v>
      </c>
      <c r="E6530" s="1">
        <v>2</v>
      </c>
      <c r="F6530" s="1" t="s">
        <v>36</v>
      </c>
      <c r="G6530" s="1">
        <v>0</v>
      </c>
      <c r="H6530" s="1">
        <v>0</v>
      </c>
      <c r="I6530" s="1">
        <v>147.62</v>
      </c>
    </row>
    <row r="6531" spans="1:9" x14ac:dyDescent="0.25">
      <c r="A6531" s="1">
        <v>2600034066</v>
      </c>
      <c r="B6531" s="1" t="s">
        <v>4210</v>
      </c>
      <c r="C6531" s="1" t="s">
        <v>130</v>
      </c>
      <c r="D6531" s="1" t="s">
        <v>131</v>
      </c>
      <c r="E6531" s="1">
        <v>2</v>
      </c>
      <c r="F6531" s="1" t="s">
        <v>36</v>
      </c>
      <c r="G6531" s="1">
        <v>0</v>
      </c>
      <c r="H6531" s="1">
        <v>0</v>
      </c>
      <c r="I6531" s="3">
        <v>0.125</v>
      </c>
    </row>
    <row r="6532" spans="1:9" x14ac:dyDescent="0.25">
      <c r="A6532" s="1">
        <v>2600034088</v>
      </c>
      <c r="B6532" s="1" t="s">
        <v>4211</v>
      </c>
      <c r="C6532" s="1" t="s">
        <v>130</v>
      </c>
      <c r="D6532" s="1" t="s">
        <v>131</v>
      </c>
      <c r="E6532" s="1">
        <v>14</v>
      </c>
      <c r="F6532" s="1" t="s">
        <v>36</v>
      </c>
      <c r="G6532" s="1">
        <v>0</v>
      </c>
      <c r="H6532" s="1">
        <v>0</v>
      </c>
      <c r="I6532" s="1">
        <v>22.387857</v>
      </c>
    </row>
    <row r="6533" spans="1:9" x14ac:dyDescent="0.25">
      <c r="A6533" s="1">
        <v>2600034108</v>
      </c>
      <c r="B6533" s="1" t="s">
        <v>4212</v>
      </c>
      <c r="C6533" s="1" t="s">
        <v>130</v>
      </c>
      <c r="D6533" s="1" t="s">
        <v>131</v>
      </c>
      <c r="E6533" s="1">
        <v>1</v>
      </c>
      <c r="F6533" s="1" t="s">
        <v>36</v>
      </c>
      <c r="G6533" s="1">
        <v>0</v>
      </c>
      <c r="H6533" s="1">
        <v>0</v>
      </c>
      <c r="I6533" s="1">
        <v>194.92</v>
      </c>
    </row>
    <row r="6534" spans="1:9" x14ac:dyDescent="0.25">
      <c r="A6534" s="1">
        <v>2600034157</v>
      </c>
      <c r="B6534" s="1" t="s">
        <v>4213</v>
      </c>
      <c r="C6534" s="1" t="s">
        <v>130</v>
      </c>
      <c r="D6534" s="1" t="s">
        <v>131</v>
      </c>
      <c r="E6534" s="1">
        <v>19</v>
      </c>
      <c r="F6534" s="1" t="s">
        <v>36</v>
      </c>
      <c r="G6534" s="1">
        <v>0</v>
      </c>
      <c r="H6534" s="1">
        <v>0</v>
      </c>
      <c r="I6534" s="1">
        <v>57.477367999999998</v>
      </c>
    </row>
    <row r="6535" spans="1:9" x14ac:dyDescent="0.25">
      <c r="A6535" s="1">
        <v>2600034159</v>
      </c>
      <c r="B6535" s="1" t="s">
        <v>4214</v>
      </c>
      <c r="C6535" s="1" t="s">
        <v>130</v>
      </c>
      <c r="D6535" s="1" t="s">
        <v>131</v>
      </c>
      <c r="E6535" s="1">
        <v>1</v>
      </c>
      <c r="F6535" s="1" t="s">
        <v>36</v>
      </c>
      <c r="G6535" s="1">
        <v>0</v>
      </c>
      <c r="H6535" s="1">
        <v>0</v>
      </c>
      <c r="I6535" s="1">
        <v>10.17</v>
      </c>
    </row>
    <row r="6536" spans="1:9" x14ac:dyDescent="0.25">
      <c r="A6536" s="1">
        <v>2600034181</v>
      </c>
      <c r="B6536" s="1" t="s">
        <v>4215</v>
      </c>
      <c r="C6536" s="1" t="s">
        <v>130</v>
      </c>
      <c r="D6536" s="1" t="s">
        <v>131</v>
      </c>
      <c r="E6536" s="1">
        <v>4</v>
      </c>
      <c r="F6536" s="1" t="s">
        <v>36</v>
      </c>
      <c r="G6536" s="1">
        <v>0</v>
      </c>
      <c r="H6536" s="1">
        <v>0</v>
      </c>
      <c r="I6536" s="1">
        <v>68.692499999999995</v>
      </c>
    </row>
    <row r="6537" spans="1:9" x14ac:dyDescent="0.25">
      <c r="A6537" s="1">
        <v>2600034268</v>
      </c>
      <c r="B6537" s="1" t="s">
        <v>4216</v>
      </c>
      <c r="C6537" s="1" t="s">
        <v>130</v>
      </c>
      <c r="D6537" s="1" t="s">
        <v>131</v>
      </c>
      <c r="E6537" s="1">
        <v>3</v>
      </c>
      <c r="F6537" s="1" t="s">
        <v>36</v>
      </c>
      <c r="G6537" s="1">
        <v>0</v>
      </c>
      <c r="H6537" s="1">
        <v>0</v>
      </c>
      <c r="I6537" s="1">
        <v>20.593333000000001</v>
      </c>
    </row>
    <row r="6538" spans="1:9" x14ac:dyDescent="0.25">
      <c r="A6538" s="1">
        <v>2600034364</v>
      </c>
      <c r="B6538" s="1" t="s">
        <v>4217</v>
      </c>
      <c r="C6538" s="1" t="s">
        <v>130</v>
      </c>
      <c r="D6538" s="1" t="s">
        <v>131</v>
      </c>
      <c r="E6538" s="1">
        <v>4</v>
      </c>
      <c r="F6538" s="1" t="s">
        <v>36</v>
      </c>
      <c r="G6538" s="1">
        <v>0</v>
      </c>
      <c r="H6538" s="1">
        <v>0</v>
      </c>
      <c r="I6538" s="1">
        <v>142.44</v>
      </c>
    </row>
    <row r="6539" spans="1:9" x14ac:dyDescent="0.25">
      <c r="A6539" s="1">
        <v>2600034365</v>
      </c>
      <c r="B6539" s="1" t="s">
        <v>4218</v>
      </c>
      <c r="C6539" s="1" t="s">
        <v>130</v>
      </c>
      <c r="D6539" s="1" t="s">
        <v>131</v>
      </c>
      <c r="E6539" s="1">
        <v>4</v>
      </c>
      <c r="F6539" s="1" t="s">
        <v>36</v>
      </c>
      <c r="G6539" s="1">
        <v>0</v>
      </c>
      <c r="H6539" s="1">
        <v>0</v>
      </c>
      <c r="I6539" s="3">
        <v>3151.4450000000002</v>
      </c>
    </row>
    <row r="6540" spans="1:9" x14ac:dyDescent="0.25">
      <c r="A6540" s="1">
        <v>2600034406</v>
      </c>
      <c r="B6540" s="1" t="s">
        <v>4219</v>
      </c>
      <c r="C6540" s="1" t="s">
        <v>130</v>
      </c>
      <c r="D6540" s="1" t="s">
        <v>131</v>
      </c>
      <c r="E6540" s="1">
        <v>10</v>
      </c>
      <c r="F6540" s="1" t="s">
        <v>36</v>
      </c>
      <c r="G6540" s="1">
        <v>0</v>
      </c>
      <c r="H6540" s="1">
        <v>0</v>
      </c>
      <c r="I6540" s="1">
        <v>35.145000000000003</v>
      </c>
    </row>
    <row r="6541" spans="1:9" x14ac:dyDescent="0.25">
      <c r="A6541" s="1">
        <v>2600034458</v>
      </c>
      <c r="B6541" s="1" t="s">
        <v>4220</v>
      </c>
      <c r="C6541" s="1" t="s">
        <v>130</v>
      </c>
      <c r="D6541" s="1" t="s">
        <v>131</v>
      </c>
      <c r="E6541" s="1">
        <v>1</v>
      </c>
      <c r="F6541" s="1" t="s">
        <v>36</v>
      </c>
      <c r="G6541" s="1">
        <v>0</v>
      </c>
      <c r="H6541" s="1">
        <v>0</v>
      </c>
      <c r="I6541" s="1">
        <v>59.32</v>
      </c>
    </row>
    <row r="6542" spans="1:9" x14ac:dyDescent="0.25">
      <c r="A6542" s="1">
        <v>2600034479</v>
      </c>
      <c r="B6542" s="1" t="s">
        <v>4221</v>
      </c>
      <c r="C6542" s="1" t="s">
        <v>130</v>
      </c>
      <c r="D6542" s="1" t="s">
        <v>131</v>
      </c>
      <c r="E6542" s="1">
        <v>20</v>
      </c>
      <c r="F6542" s="1" t="s">
        <v>36</v>
      </c>
      <c r="G6542" s="1">
        <v>0</v>
      </c>
      <c r="H6542" s="1">
        <v>0</v>
      </c>
      <c r="I6542" s="1">
        <v>1</v>
      </c>
    </row>
    <row r="6543" spans="1:9" x14ac:dyDescent="0.25">
      <c r="A6543" s="1">
        <v>2600034521</v>
      </c>
      <c r="B6543" s="1" t="s">
        <v>4222</v>
      </c>
      <c r="C6543" s="1" t="s">
        <v>130</v>
      </c>
      <c r="D6543" s="1" t="s">
        <v>131</v>
      </c>
      <c r="E6543" s="1">
        <v>2</v>
      </c>
      <c r="F6543" s="1" t="s">
        <v>36</v>
      </c>
      <c r="G6543" s="1">
        <v>0</v>
      </c>
      <c r="H6543" s="1">
        <v>0</v>
      </c>
      <c r="I6543" s="1">
        <v>10.46</v>
      </c>
    </row>
    <row r="6544" spans="1:9" x14ac:dyDescent="0.25">
      <c r="A6544" s="1">
        <v>2600034600</v>
      </c>
      <c r="B6544" s="1" t="s">
        <v>4223</v>
      </c>
      <c r="C6544" s="1" t="s">
        <v>130</v>
      </c>
      <c r="D6544" s="1" t="s">
        <v>131</v>
      </c>
      <c r="E6544" s="1">
        <v>7</v>
      </c>
      <c r="F6544" s="1" t="s">
        <v>36</v>
      </c>
      <c r="G6544" s="1">
        <v>0</v>
      </c>
      <c r="H6544" s="1">
        <v>0</v>
      </c>
      <c r="I6544" s="1">
        <v>194.95142899999999</v>
      </c>
    </row>
    <row r="6545" spans="1:9" x14ac:dyDescent="0.25">
      <c r="A6545" s="1">
        <v>2600034603</v>
      </c>
      <c r="B6545" s="1" t="s">
        <v>4224</v>
      </c>
      <c r="C6545" s="1" t="s">
        <v>130</v>
      </c>
      <c r="D6545" s="1" t="s">
        <v>131</v>
      </c>
      <c r="E6545" s="1">
        <v>5</v>
      </c>
      <c r="F6545" s="1" t="s">
        <v>36</v>
      </c>
      <c r="G6545" s="1">
        <v>0</v>
      </c>
      <c r="H6545" s="1">
        <v>0</v>
      </c>
      <c r="I6545" s="1">
        <v>63.414000000000001</v>
      </c>
    </row>
    <row r="6546" spans="1:9" x14ac:dyDescent="0.25">
      <c r="A6546" s="1">
        <v>2600034837</v>
      </c>
      <c r="B6546" s="1" t="s">
        <v>4225</v>
      </c>
      <c r="C6546" s="1" t="s">
        <v>130</v>
      </c>
      <c r="D6546" s="1" t="s">
        <v>131</v>
      </c>
      <c r="E6546" s="1">
        <v>15</v>
      </c>
      <c r="F6546" s="1" t="s">
        <v>36</v>
      </c>
      <c r="G6546" s="1">
        <v>0</v>
      </c>
      <c r="H6546" s="1">
        <v>0</v>
      </c>
      <c r="I6546" s="1">
        <v>0.85133300000000001</v>
      </c>
    </row>
    <row r="6547" spans="1:9" x14ac:dyDescent="0.25">
      <c r="A6547" s="1">
        <v>2600034866</v>
      </c>
      <c r="B6547" s="1" t="s">
        <v>4226</v>
      </c>
      <c r="C6547" s="1" t="s">
        <v>130</v>
      </c>
      <c r="D6547" s="1" t="s">
        <v>131</v>
      </c>
      <c r="E6547" s="1">
        <v>1</v>
      </c>
      <c r="F6547" s="1" t="s">
        <v>36</v>
      </c>
      <c r="G6547" s="1">
        <v>0</v>
      </c>
      <c r="H6547" s="1">
        <v>0</v>
      </c>
      <c r="I6547" s="3">
        <v>1270.1199999999999</v>
      </c>
    </row>
    <row r="6548" spans="1:9" x14ac:dyDescent="0.25">
      <c r="A6548" s="1">
        <v>2600034873</v>
      </c>
      <c r="B6548" s="1" t="s">
        <v>4227</v>
      </c>
      <c r="C6548" s="1" t="s">
        <v>130</v>
      </c>
      <c r="D6548" s="1" t="s">
        <v>131</v>
      </c>
      <c r="E6548" s="1">
        <v>1</v>
      </c>
      <c r="F6548" s="1" t="s">
        <v>36</v>
      </c>
      <c r="G6548" s="1">
        <v>0</v>
      </c>
      <c r="H6548" s="3">
        <v>0</v>
      </c>
      <c r="I6548" s="1">
        <v>658.15</v>
      </c>
    </row>
    <row r="6549" spans="1:9" x14ac:dyDescent="0.25">
      <c r="A6549" s="1">
        <v>2600034876</v>
      </c>
      <c r="B6549" s="1" t="s">
        <v>4228</v>
      </c>
      <c r="C6549" s="1" t="s">
        <v>130</v>
      </c>
      <c r="D6549" s="1" t="s">
        <v>131</v>
      </c>
      <c r="E6549" s="1">
        <v>2</v>
      </c>
      <c r="F6549" s="1" t="s">
        <v>36</v>
      </c>
      <c r="G6549" s="1">
        <v>0</v>
      </c>
      <c r="H6549" s="1">
        <v>0</v>
      </c>
      <c r="I6549" s="1">
        <v>574.69500000000005</v>
      </c>
    </row>
    <row r="6550" spans="1:9" x14ac:dyDescent="0.25">
      <c r="A6550" s="1">
        <v>2600034882</v>
      </c>
      <c r="B6550" s="1" t="s">
        <v>4229</v>
      </c>
      <c r="C6550" s="1" t="s">
        <v>130</v>
      </c>
      <c r="D6550" s="1" t="s">
        <v>131</v>
      </c>
      <c r="E6550" s="1">
        <v>8</v>
      </c>
      <c r="F6550" s="1" t="s">
        <v>36</v>
      </c>
      <c r="G6550" s="1">
        <v>0</v>
      </c>
      <c r="H6550" s="1">
        <v>0</v>
      </c>
      <c r="I6550" s="1">
        <v>60.462499999999999</v>
      </c>
    </row>
    <row r="6551" spans="1:9" x14ac:dyDescent="0.25">
      <c r="A6551" s="1">
        <v>2600034885</v>
      </c>
      <c r="B6551" s="1" t="s">
        <v>4230</v>
      </c>
      <c r="C6551" s="1" t="s">
        <v>130</v>
      </c>
      <c r="D6551" s="1" t="s">
        <v>131</v>
      </c>
      <c r="E6551" s="1">
        <v>2</v>
      </c>
      <c r="F6551" s="1" t="s">
        <v>36</v>
      </c>
      <c r="G6551" s="1">
        <v>0</v>
      </c>
      <c r="H6551" s="1">
        <v>0</v>
      </c>
      <c r="I6551" s="1">
        <v>66.004999999999995</v>
      </c>
    </row>
    <row r="6552" spans="1:9" x14ac:dyDescent="0.25">
      <c r="A6552" s="1">
        <v>2600034966</v>
      </c>
      <c r="B6552" s="1" t="s">
        <v>4231</v>
      </c>
      <c r="C6552" s="1" t="s">
        <v>130</v>
      </c>
      <c r="D6552" s="1" t="s">
        <v>131</v>
      </c>
      <c r="E6552" s="1">
        <v>34</v>
      </c>
      <c r="F6552" s="1" t="s">
        <v>36</v>
      </c>
      <c r="G6552" s="1">
        <v>0</v>
      </c>
      <c r="H6552" s="1">
        <v>0</v>
      </c>
      <c r="I6552" s="1">
        <v>9.7550000000000008</v>
      </c>
    </row>
    <row r="6553" spans="1:9" x14ac:dyDescent="0.25">
      <c r="A6553" s="1">
        <v>2600034983</v>
      </c>
      <c r="B6553" s="1" t="s">
        <v>4232</v>
      </c>
      <c r="C6553" s="1" t="s">
        <v>130</v>
      </c>
      <c r="D6553" s="1" t="s">
        <v>131</v>
      </c>
      <c r="E6553" s="1">
        <v>16</v>
      </c>
      <c r="F6553" s="1" t="s">
        <v>36</v>
      </c>
      <c r="G6553" s="1">
        <v>0</v>
      </c>
      <c r="H6553" s="1">
        <v>0</v>
      </c>
      <c r="I6553" s="1">
        <v>11.376250000000001</v>
      </c>
    </row>
    <row r="6554" spans="1:9" x14ac:dyDescent="0.25">
      <c r="A6554" s="1">
        <v>2600034984</v>
      </c>
      <c r="B6554" s="1" t="s">
        <v>4233</v>
      </c>
      <c r="C6554" s="1" t="s">
        <v>130</v>
      </c>
      <c r="D6554" s="1" t="s">
        <v>131</v>
      </c>
      <c r="E6554" s="1">
        <v>22</v>
      </c>
      <c r="F6554" s="1" t="s">
        <v>36</v>
      </c>
      <c r="G6554" s="1">
        <v>0</v>
      </c>
      <c r="H6554" s="1">
        <v>0</v>
      </c>
      <c r="I6554" s="1">
        <v>12.797727</v>
      </c>
    </row>
    <row r="6555" spans="1:9" x14ac:dyDescent="0.25">
      <c r="A6555" s="1">
        <v>2600034986</v>
      </c>
      <c r="B6555" s="1" t="s">
        <v>4234</v>
      </c>
      <c r="C6555" s="1" t="s">
        <v>130</v>
      </c>
      <c r="D6555" s="1" t="s">
        <v>131</v>
      </c>
      <c r="E6555" s="1">
        <v>10</v>
      </c>
      <c r="F6555" s="1" t="s">
        <v>36</v>
      </c>
      <c r="G6555" s="1">
        <v>0</v>
      </c>
      <c r="H6555" s="1">
        <v>0</v>
      </c>
      <c r="I6555" s="1">
        <v>13.654</v>
      </c>
    </row>
    <row r="6556" spans="1:9" x14ac:dyDescent="0.25">
      <c r="A6556" s="1">
        <v>2600034996</v>
      </c>
      <c r="B6556" s="1" t="s">
        <v>4235</v>
      </c>
      <c r="C6556" s="1" t="s">
        <v>130</v>
      </c>
      <c r="D6556" s="1" t="s">
        <v>131</v>
      </c>
      <c r="E6556" s="1">
        <v>16</v>
      </c>
      <c r="F6556" s="1" t="s">
        <v>36</v>
      </c>
      <c r="G6556" s="1">
        <v>0</v>
      </c>
      <c r="H6556" s="1">
        <v>0</v>
      </c>
      <c r="I6556" s="1">
        <v>17.036874999999998</v>
      </c>
    </row>
    <row r="6557" spans="1:9" x14ac:dyDescent="0.25">
      <c r="A6557" s="1">
        <v>2600034998</v>
      </c>
      <c r="B6557" s="1" t="s">
        <v>4236</v>
      </c>
      <c r="C6557" s="1" t="s">
        <v>130</v>
      </c>
      <c r="D6557" s="1" t="s">
        <v>131</v>
      </c>
      <c r="E6557" s="1">
        <v>10</v>
      </c>
      <c r="F6557" s="1" t="s">
        <v>36</v>
      </c>
      <c r="G6557" s="1">
        <v>0</v>
      </c>
      <c r="H6557" s="1">
        <v>0</v>
      </c>
      <c r="I6557" s="1">
        <v>12.798</v>
      </c>
    </row>
    <row r="6558" spans="1:9" x14ac:dyDescent="0.25">
      <c r="A6558" s="1">
        <v>2600035039</v>
      </c>
      <c r="B6558" s="1" t="s">
        <v>4237</v>
      </c>
      <c r="C6558" s="1" t="s">
        <v>130</v>
      </c>
      <c r="D6558" s="1" t="s">
        <v>131</v>
      </c>
      <c r="E6558" s="1">
        <v>4</v>
      </c>
      <c r="F6558" s="1" t="s">
        <v>36</v>
      </c>
      <c r="G6558" s="1">
        <v>0</v>
      </c>
      <c r="H6558" s="1">
        <v>0</v>
      </c>
      <c r="I6558" s="1">
        <v>3.0674999999999999</v>
      </c>
    </row>
    <row r="6559" spans="1:9" x14ac:dyDescent="0.25">
      <c r="A6559" s="1">
        <v>2600035073</v>
      </c>
      <c r="B6559" s="1" t="s">
        <v>4238</v>
      </c>
      <c r="C6559" s="1" t="s">
        <v>130</v>
      </c>
      <c r="D6559" s="1" t="s">
        <v>131</v>
      </c>
      <c r="E6559" s="1">
        <v>1</v>
      </c>
      <c r="F6559" s="1" t="s">
        <v>36</v>
      </c>
      <c r="G6559" s="1">
        <v>0</v>
      </c>
      <c r="H6559" s="1">
        <v>0</v>
      </c>
      <c r="I6559" s="1">
        <v>45</v>
      </c>
    </row>
    <row r="6560" spans="1:9" x14ac:dyDescent="0.25">
      <c r="A6560" s="1">
        <v>2600035083</v>
      </c>
      <c r="B6560" s="1" t="s">
        <v>4239</v>
      </c>
      <c r="C6560" s="1" t="s">
        <v>130</v>
      </c>
      <c r="D6560" s="1" t="s">
        <v>131</v>
      </c>
      <c r="E6560" s="1">
        <v>1</v>
      </c>
      <c r="F6560" s="1" t="s">
        <v>36</v>
      </c>
      <c r="G6560" s="1">
        <v>0</v>
      </c>
      <c r="H6560" s="1">
        <v>0</v>
      </c>
      <c r="I6560" s="1">
        <v>222.46</v>
      </c>
    </row>
    <row r="6561" spans="1:9" x14ac:dyDescent="0.25">
      <c r="A6561" s="1">
        <v>2600035095</v>
      </c>
      <c r="B6561" s="1" t="s">
        <v>4240</v>
      </c>
      <c r="C6561" s="1" t="s">
        <v>130</v>
      </c>
      <c r="D6561" s="1" t="s">
        <v>131</v>
      </c>
      <c r="E6561" s="1">
        <v>4</v>
      </c>
      <c r="F6561" s="1" t="s">
        <v>36</v>
      </c>
      <c r="G6561" s="1">
        <v>0</v>
      </c>
      <c r="H6561" s="1">
        <v>0</v>
      </c>
      <c r="I6561" s="1">
        <v>101.22499999999999</v>
      </c>
    </row>
    <row r="6562" spans="1:9" x14ac:dyDescent="0.25">
      <c r="A6562" s="1">
        <v>2600035123</v>
      </c>
      <c r="B6562" s="1" t="s">
        <v>4241</v>
      </c>
      <c r="C6562" s="1" t="s">
        <v>130</v>
      </c>
      <c r="D6562" s="1" t="s">
        <v>131</v>
      </c>
      <c r="E6562" s="1">
        <v>2</v>
      </c>
      <c r="F6562" s="1" t="s">
        <v>36</v>
      </c>
      <c r="G6562" s="1">
        <v>0</v>
      </c>
      <c r="H6562" s="1">
        <v>0</v>
      </c>
      <c r="I6562" s="1">
        <v>21.19</v>
      </c>
    </row>
    <row r="6563" spans="1:9" x14ac:dyDescent="0.25">
      <c r="A6563" s="1">
        <v>2600035146</v>
      </c>
      <c r="B6563" s="1" t="s">
        <v>4242</v>
      </c>
      <c r="C6563" s="1" t="s">
        <v>130</v>
      </c>
      <c r="D6563" s="1" t="s">
        <v>131</v>
      </c>
      <c r="E6563" s="1">
        <v>2</v>
      </c>
      <c r="F6563" s="1" t="s">
        <v>36</v>
      </c>
      <c r="G6563" s="1">
        <v>0</v>
      </c>
      <c r="H6563" s="1">
        <v>0</v>
      </c>
      <c r="I6563" s="1">
        <v>25.16</v>
      </c>
    </row>
    <row r="6564" spans="1:9" x14ac:dyDescent="0.25">
      <c r="A6564" s="1">
        <v>2600035148</v>
      </c>
      <c r="B6564" s="1" t="s">
        <v>4243</v>
      </c>
      <c r="C6564" s="1" t="s">
        <v>130</v>
      </c>
      <c r="D6564" s="1" t="s">
        <v>131</v>
      </c>
      <c r="E6564" s="1">
        <v>1</v>
      </c>
      <c r="F6564" s="1" t="s">
        <v>36</v>
      </c>
      <c r="G6564" s="1">
        <v>0</v>
      </c>
      <c r="H6564" s="1">
        <v>0</v>
      </c>
      <c r="I6564" s="1">
        <v>576.27</v>
      </c>
    </row>
    <row r="6565" spans="1:9" x14ac:dyDescent="0.25">
      <c r="A6565" s="1">
        <v>2600035149</v>
      </c>
      <c r="B6565" s="1" t="s">
        <v>4244</v>
      </c>
      <c r="C6565" s="1" t="s">
        <v>130</v>
      </c>
      <c r="D6565" s="1" t="s">
        <v>131</v>
      </c>
      <c r="E6565" s="1">
        <v>8</v>
      </c>
      <c r="F6565" s="1" t="s">
        <v>36</v>
      </c>
      <c r="G6565" s="1">
        <v>0</v>
      </c>
      <c r="H6565" s="1">
        <v>0</v>
      </c>
      <c r="I6565" s="1">
        <v>16.5</v>
      </c>
    </row>
    <row r="6566" spans="1:9" x14ac:dyDescent="0.25">
      <c r="A6566" s="1">
        <v>2600035151</v>
      </c>
      <c r="B6566" s="1" t="s">
        <v>4245</v>
      </c>
      <c r="C6566" s="1" t="s">
        <v>130</v>
      </c>
      <c r="D6566" s="1" t="s">
        <v>131</v>
      </c>
      <c r="E6566" s="1">
        <v>5</v>
      </c>
      <c r="F6566" s="1" t="s">
        <v>36</v>
      </c>
      <c r="G6566" s="1">
        <v>0</v>
      </c>
      <c r="H6566" s="1">
        <v>0</v>
      </c>
      <c r="I6566" s="1">
        <v>0.35599999999999998</v>
      </c>
    </row>
    <row r="6567" spans="1:9" x14ac:dyDescent="0.25">
      <c r="A6567" s="1">
        <v>2600035154</v>
      </c>
      <c r="B6567" s="1" t="s">
        <v>4246</v>
      </c>
      <c r="C6567" s="1" t="s">
        <v>130</v>
      </c>
      <c r="D6567" s="1" t="s">
        <v>131</v>
      </c>
      <c r="E6567" s="1">
        <v>48</v>
      </c>
      <c r="F6567" s="1" t="s">
        <v>36</v>
      </c>
      <c r="G6567" s="1">
        <v>0</v>
      </c>
      <c r="H6567" s="1">
        <v>0</v>
      </c>
      <c r="I6567" s="1">
        <v>0.18979199999999999</v>
      </c>
    </row>
    <row r="6568" spans="1:9" x14ac:dyDescent="0.25">
      <c r="A6568" s="1">
        <v>2600035158</v>
      </c>
      <c r="B6568" s="1" t="s">
        <v>4247</v>
      </c>
      <c r="C6568" s="1" t="s">
        <v>130</v>
      </c>
      <c r="D6568" s="1" t="s">
        <v>131</v>
      </c>
      <c r="E6568" s="1">
        <v>4</v>
      </c>
      <c r="F6568" s="1" t="s">
        <v>36</v>
      </c>
      <c r="G6568" s="1">
        <v>0</v>
      </c>
      <c r="H6568" s="1">
        <v>0</v>
      </c>
      <c r="I6568" s="1">
        <v>68</v>
      </c>
    </row>
    <row r="6569" spans="1:9" x14ac:dyDescent="0.25">
      <c r="A6569" s="1">
        <v>2600035162</v>
      </c>
      <c r="B6569" s="1" t="s">
        <v>4248</v>
      </c>
      <c r="C6569" s="1" t="s">
        <v>130</v>
      </c>
      <c r="D6569" s="1" t="s">
        <v>131</v>
      </c>
      <c r="E6569" s="1">
        <v>1</v>
      </c>
      <c r="F6569" s="1" t="s">
        <v>36</v>
      </c>
      <c r="G6569" s="1">
        <v>0</v>
      </c>
      <c r="H6569" s="1">
        <v>0</v>
      </c>
      <c r="I6569" s="1">
        <v>4.79</v>
      </c>
    </row>
    <row r="6570" spans="1:9" x14ac:dyDescent="0.25">
      <c r="A6570" s="1">
        <v>2600035163</v>
      </c>
      <c r="B6570" s="1" t="s">
        <v>4249</v>
      </c>
      <c r="C6570" s="1" t="s">
        <v>130</v>
      </c>
      <c r="D6570" s="1" t="s">
        <v>131</v>
      </c>
      <c r="E6570" s="1">
        <v>2</v>
      </c>
      <c r="F6570" s="1" t="s">
        <v>36</v>
      </c>
      <c r="G6570" s="1">
        <v>0</v>
      </c>
      <c r="H6570" s="1">
        <v>0</v>
      </c>
      <c r="I6570" s="1">
        <v>4.76</v>
      </c>
    </row>
    <row r="6571" spans="1:9" x14ac:dyDescent="0.25">
      <c r="A6571" s="1">
        <v>2600035164</v>
      </c>
      <c r="B6571" s="1" t="s">
        <v>4250</v>
      </c>
      <c r="C6571" s="1" t="s">
        <v>130</v>
      </c>
      <c r="D6571" s="1" t="s">
        <v>131</v>
      </c>
      <c r="E6571" s="1">
        <v>1</v>
      </c>
      <c r="F6571" s="1" t="s">
        <v>3382</v>
      </c>
      <c r="G6571" s="1">
        <v>0</v>
      </c>
      <c r="H6571" s="1">
        <v>0</v>
      </c>
      <c r="I6571" s="1">
        <v>12.71</v>
      </c>
    </row>
    <row r="6572" spans="1:9" x14ac:dyDescent="0.25">
      <c r="A6572" s="1">
        <v>2600035165</v>
      </c>
      <c r="B6572" s="1" t="s">
        <v>4251</v>
      </c>
      <c r="C6572" s="1" t="s">
        <v>130</v>
      </c>
      <c r="D6572" s="1" t="s">
        <v>131</v>
      </c>
      <c r="E6572" s="1">
        <v>21</v>
      </c>
      <c r="F6572" s="1" t="s">
        <v>36</v>
      </c>
      <c r="G6572" s="1">
        <v>0</v>
      </c>
      <c r="H6572" s="1">
        <v>0</v>
      </c>
      <c r="I6572" s="1">
        <v>1.1000000000000001</v>
      </c>
    </row>
    <row r="6573" spans="1:9" x14ac:dyDescent="0.25">
      <c r="A6573" s="1">
        <v>2600035167</v>
      </c>
      <c r="B6573" s="1" t="s">
        <v>4252</v>
      </c>
      <c r="C6573" s="1" t="s">
        <v>130</v>
      </c>
      <c r="D6573" s="1" t="s">
        <v>131</v>
      </c>
      <c r="E6573" s="1">
        <v>1</v>
      </c>
      <c r="F6573" s="1" t="s">
        <v>36</v>
      </c>
      <c r="G6573" s="1">
        <v>0</v>
      </c>
      <c r="H6573" s="1">
        <v>0</v>
      </c>
      <c r="I6573" s="1">
        <v>211.87</v>
      </c>
    </row>
    <row r="6574" spans="1:9" x14ac:dyDescent="0.25">
      <c r="A6574" s="1">
        <v>2600035216</v>
      </c>
      <c r="B6574" s="1" t="s">
        <v>4253</v>
      </c>
      <c r="C6574" s="1" t="s">
        <v>130</v>
      </c>
      <c r="D6574" s="1" t="s">
        <v>131</v>
      </c>
      <c r="E6574" s="1">
        <v>1</v>
      </c>
      <c r="F6574" s="1" t="s">
        <v>36</v>
      </c>
      <c r="G6574" s="1">
        <v>0</v>
      </c>
      <c r="H6574" s="1">
        <v>0</v>
      </c>
      <c r="I6574" s="1">
        <v>11.53</v>
      </c>
    </row>
    <row r="6575" spans="1:9" x14ac:dyDescent="0.25">
      <c r="A6575" s="1">
        <v>2600035217</v>
      </c>
      <c r="B6575" s="1" t="s">
        <v>4254</v>
      </c>
      <c r="C6575" s="1" t="s">
        <v>130</v>
      </c>
      <c r="D6575" s="1" t="s">
        <v>131</v>
      </c>
      <c r="E6575" s="1">
        <v>1</v>
      </c>
      <c r="F6575" s="1" t="s">
        <v>36</v>
      </c>
      <c r="G6575" s="1">
        <v>0</v>
      </c>
      <c r="H6575" s="1">
        <v>0</v>
      </c>
      <c r="I6575" s="1">
        <v>9.41</v>
      </c>
    </row>
    <row r="6576" spans="1:9" x14ac:dyDescent="0.25">
      <c r="A6576" s="1">
        <v>2600035218</v>
      </c>
      <c r="B6576" s="1" t="s">
        <v>4255</v>
      </c>
      <c r="C6576" s="1" t="s">
        <v>130</v>
      </c>
      <c r="D6576" s="1" t="s">
        <v>131</v>
      </c>
      <c r="E6576" s="1">
        <v>1</v>
      </c>
      <c r="F6576" s="1" t="s">
        <v>36</v>
      </c>
      <c r="G6576" s="1">
        <v>0</v>
      </c>
      <c r="H6576" s="1">
        <v>0</v>
      </c>
      <c r="I6576" s="1">
        <v>45.76</v>
      </c>
    </row>
    <row r="6577" spans="1:9" x14ac:dyDescent="0.25">
      <c r="A6577" s="1">
        <v>2600035240</v>
      </c>
      <c r="B6577" s="1" t="s">
        <v>4256</v>
      </c>
      <c r="C6577" s="1" t="s">
        <v>130</v>
      </c>
      <c r="D6577" s="1" t="s">
        <v>131</v>
      </c>
      <c r="E6577" s="1">
        <v>8</v>
      </c>
      <c r="F6577" s="1" t="s">
        <v>1015</v>
      </c>
      <c r="G6577" s="1">
        <v>0</v>
      </c>
      <c r="H6577" s="1">
        <v>0</v>
      </c>
      <c r="I6577" s="1">
        <v>59.5</v>
      </c>
    </row>
    <row r="6578" spans="1:9" x14ac:dyDescent="0.25">
      <c r="A6578" s="1">
        <v>2600035298</v>
      </c>
      <c r="B6578" s="1" t="s">
        <v>4257</v>
      </c>
      <c r="C6578" s="1" t="s">
        <v>130</v>
      </c>
      <c r="D6578" s="1" t="s">
        <v>131</v>
      </c>
      <c r="E6578" s="1">
        <v>3</v>
      </c>
      <c r="F6578" s="1" t="s">
        <v>36</v>
      </c>
      <c r="G6578" s="1">
        <v>0</v>
      </c>
      <c r="H6578" s="1">
        <v>0</v>
      </c>
      <c r="I6578" s="1">
        <v>210</v>
      </c>
    </row>
    <row r="6579" spans="1:9" x14ac:dyDescent="0.25">
      <c r="A6579" s="1">
        <v>2600035339</v>
      </c>
      <c r="B6579" s="1" t="s">
        <v>4258</v>
      </c>
      <c r="C6579" s="1" t="s">
        <v>130</v>
      </c>
      <c r="D6579" s="1" t="s">
        <v>131</v>
      </c>
      <c r="E6579" s="1">
        <v>6</v>
      </c>
      <c r="F6579" s="1" t="s">
        <v>36</v>
      </c>
      <c r="G6579" s="1">
        <v>0</v>
      </c>
      <c r="H6579" s="1">
        <v>0</v>
      </c>
      <c r="I6579" s="1">
        <v>2.5933329999999999</v>
      </c>
    </row>
    <row r="6580" spans="1:9" x14ac:dyDescent="0.25">
      <c r="A6580" s="1">
        <v>2600035340</v>
      </c>
      <c r="B6580" s="1" t="s">
        <v>4259</v>
      </c>
      <c r="C6580" s="1" t="s">
        <v>130</v>
      </c>
      <c r="D6580" s="1" t="s">
        <v>131</v>
      </c>
      <c r="E6580" s="1">
        <v>12</v>
      </c>
      <c r="F6580" s="1" t="s">
        <v>36</v>
      </c>
      <c r="G6580" s="1">
        <v>0</v>
      </c>
      <c r="H6580" s="1">
        <v>0</v>
      </c>
      <c r="I6580" s="1">
        <v>3.24</v>
      </c>
    </row>
    <row r="6581" spans="1:9" x14ac:dyDescent="0.25">
      <c r="A6581" s="1">
        <v>2600035425</v>
      </c>
      <c r="B6581" s="1" t="s">
        <v>4260</v>
      </c>
      <c r="C6581" s="1" t="s">
        <v>130</v>
      </c>
      <c r="D6581" s="1" t="s">
        <v>131</v>
      </c>
      <c r="E6581" s="1">
        <v>3</v>
      </c>
      <c r="F6581" s="1" t="s">
        <v>36</v>
      </c>
      <c r="G6581" s="1">
        <v>0</v>
      </c>
      <c r="H6581" s="1">
        <v>0</v>
      </c>
      <c r="I6581" s="1">
        <v>39.746667000000002</v>
      </c>
    </row>
    <row r="6582" spans="1:9" x14ac:dyDescent="0.25">
      <c r="A6582" s="1">
        <v>2600035439</v>
      </c>
      <c r="B6582" s="1" t="s">
        <v>4261</v>
      </c>
      <c r="C6582" s="1" t="s">
        <v>130</v>
      </c>
      <c r="D6582" s="1" t="s">
        <v>131</v>
      </c>
      <c r="E6582" s="1">
        <v>1</v>
      </c>
      <c r="F6582" s="1" t="s">
        <v>36</v>
      </c>
      <c r="G6582" s="1">
        <v>0</v>
      </c>
      <c r="H6582" s="1">
        <v>0</v>
      </c>
      <c r="I6582" s="3">
        <v>3.66</v>
      </c>
    </row>
    <row r="6583" spans="1:9" x14ac:dyDescent="0.25">
      <c r="A6583" s="1">
        <v>2600035455</v>
      </c>
      <c r="B6583" s="1" t="s">
        <v>4262</v>
      </c>
      <c r="C6583" s="1" t="s">
        <v>130</v>
      </c>
      <c r="D6583" s="1" t="s">
        <v>131</v>
      </c>
      <c r="E6583" s="1">
        <v>2</v>
      </c>
      <c r="F6583" s="1" t="s">
        <v>36</v>
      </c>
      <c r="G6583" s="1">
        <v>0</v>
      </c>
      <c r="H6583" s="1">
        <v>0</v>
      </c>
      <c r="I6583" s="3">
        <v>288.92</v>
      </c>
    </row>
    <row r="6584" spans="1:9" x14ac:dyDescent="0.25">
      <c r="A6584" s="1">
        <v>2600035477</v>
      </c>
      <c r="B6584" s="1" t="s">
        <v>4263</v>
      </c>
      <c r="C6584" s="1" t="s">
        <v>130</v>
      </c>
      <c r="D6584" s="1" t="s">
        <v>131</v>
      </c>
      <c r="E6584" s="1">
        <v>14</v>
      </c>
      <c r="F6584" s="1" t="s">
        <v>36</v>
      </c>
      <c r="G6584" s="1">
        <v>0</v>
      </c>
      <c r="H6584" s="1">
        <v>0</v>
      </c>
      <c r="I6584" s="3">
        <v>5.58</v>
      </c>
    </row>
    <row r="6585" spans="1:9" x14ac:dyDescent="0.25">
      <c r="A6585" s="1">
        <v>2600035495</v>
      </c>
      <c r="B6585" s="1" t="s">
        <v>4264</v>
      </c>
      <c r="C6585" s="1" t="s">
        <v>130</v>
      </c>
      <c r="D6585" s="1" t="s">
        <v>131</v>
      </c>
      <c r="E6585" s="1">
        <v>1</v>
      </c>
      <c r="F6585" s="1" t="s">
        <v>36</v>
      </c>
      <c r="G6585" s="1">
        <v>0</v>
      </c>
      <c r="H6585" s="1">
        <v>0</v>
      </c>
      <c r="I6585" s="3">
        <v>831.63</v>
      </c>
    </row>
    <row r="6586" spans="1:9" x14ac:dyDescent="0.25">
      <c r="A6586" s="1">
        <v>2600035547</v>
      </c>
      <c r="B6586" s="1" t="s">
        <v>4265</v>
      </c>
      <c r="C6586" s="1" t="s">
        <v>130</v>
      </c>
      <c r="D6586" s="1" t="s">
        <v>131</v>
      </c>
      <c r="E6586" s="1">
        <v>2</v>
      </c>
      <c r="F6586" s="1" t="s">
        <v>36</v>
      </c>
      <c r="G6586" s="1">
        <v>0</v>
      </c>
      <c r="H6586" s="1">
        <v>0</v>
      </c>
      <c r="I6586" s="1">
        <v>127.12</v>
      </c>
    </row>
    <row r="6587" spans="1:9" x14ac:dyDescent="0.25">
      <c r="A6587" s="1">
        <v>2600035551</v>
      </c>
      <c r="B6587" s="1" t="s">
        <v>4266</v>
      </c>
      <c r="C6587" s="1" t="s">
        <v>130</v>
      </c>
      <c r="D6587" s="1" t="s">
        <v>131</v>
      </c>
      <c r="E6587" s="1">
        <v>10</v>
      </c>
      <c r="F6587" s="1" t="s">
        <v>36</v>
      </c>
      <c r="G6587" s="1">
        <v>0</v>
      </c>
      <c r="H6587" s="1">
        <v>0</v>
      </c>
      <c r="I6587" s="1">
        <v>1.02</v>
      </c>
    </row>
    <row r="6588" spans="1:9" x14ac:dyDescent="0.25">
      <c r="A6588" s="1">
        <v>2600035553</v>
      </c>
      <c r="B6588" s="1" t="s">
        <v>4267</v>
      </c>
      <c r="C6588" s="1" t="s">
        <v>130</v>
      </c>
      <c r="D6588" s="1" t="s">
        <v>131</v>
      </c>
      <c r="E6588" s="1">
        <v>5</v>
      </c>
      <c r="F6588" s="1" t="s">
        <v>36</v>
      </c>
      <c r="G6588" s="1">
        <v>0</v>
      </c>
      <c r="H6588" s="1">
        <v>0</v>
      </c>
      <c r="I6588" s="1">
        <v>39.83</v>
      </c>
    </row>
    <row r="6589" spans="1:9" x14ac:dyDescent="0.25">
      <c r="A6589" s="1">
        <v>2600035571</v>
      </c>
      <c r="B6589" s="1" t="s">
        <v>4268</v>
      </c>
      <c r="C6589" s="1" t="s">
        <v>130</v>
      </c>
      <c r="D6589" s="1" t="s">
        <v>131</v>
      </c>
      <c r="E6589" s="1">
        <v>8</v>
      </c>
      <c r="F6589" s="1" t="s">
        <v>36</v>
      </c>
      <c r="G6589" s="1">
        <v>0</v>
      </c>
      <c r="H6589" s="1">
        <v>0</v>
      </c>
      <c r="I6589" s="1">
        <v>77.465000000000003</v>
      </c>
    </row>
    <row r="6590" spans="1:9" x14ac:dyDescent="0.25">
      <c r="A6590" s="1">
        <v>2600035576</v>
      </c>
      <c r="B6590" s="1" t="s">
        <v>4269</v>
      </c>
      <c r="C6590" s="1" t="s">
        <v>130</v>
      </c>
      <c r="D6590" s="1" t="s">
        <v>131</v>
      </c>
      <c r="E6590" s="1">
        <v>2</v>
      </c>
      <c r="F6590" s="1" t="s">
        <v>36</v>
      </c>
      <c r="G6590" s="1">
        <v>0</v>
      </c>
      <c r="H6590" s="1">
        <v>0</v>
      </c>
      <c r="I6590" s="1">
        <v>100.78</v>
      </c>
    </row>
    <row r="6591" spans="1:9" x14ac:dyDescent="0.25">
      <c r="A6591" s="1">
        <v>2600035635</v>
      </c>
      <c r="B6591" s="1" t="s">
        <v>4270</v>
      </c>
      <c r="C6591" s="1" t="s">
        <v>130</v>
      </c>
      <c r="D6591" s="1" t="s">
        <v>131</v>
      </c>
      <c r="E6591" s="1">
        <v>24</v>
      </c>
      <c r="F6591" s="1" t="s">
        <v>36</v>
      </c>
      <c r="G6591" s="1">
        <v>0</v>
      </c>
      <c r="H6591" s="1">
        <v>0</v>
      </c>
      <c r="I6591" s="1">
        <v>0.3</v>
      </c>
    </row>
    <row r="6592" spans="1:9" x14ac:dyDescent="0.25">
      <c r="A6592" s="1">
        <v>2600035661</v>
      </c>
      <c r="B6592" s="1" t="s">
        <v>4271</v>
      </c>
      <c r="C6592" s="1" t="s">
        <v>130</v>
      </c>
      <c r="D6592" s="1" t="s">
        <v>131</v>
      </c>
      <c r="E6592" s="1">
        <v>1</v>
      </c>
      <c r="F6592" s="1" t="s">
        <v>36</v>
      </c>
      <c r="G6592" s="1">
        <v>0</v>
      </c>
      <c r="H6592" s="1">
        <v>0</v>
      </c>
      <c r="I6592" s="1">
        <v>6.57</v>
      </c>
    </row>
    <row r="6593" spans="1:9" x14ac:dyDescent="0.25">
      <c r="A6593" s="1">
        <v>2600035679</v>
      </c>
      <c r="B6593" s="1" t="s">
        <v>4272</v>
      </c>
      <c r="C6593" s="1" t="s">
        <v>130</v>
      </c>
      <c r="D6593" s="1" t="s">
        <v>131</v>
      </c>
      <c r="E6593" s="1">
        <v>2</v>
      </c>
      <c r="F6593" s="1" t="s">
        <v>36</v>
      </c>
      <c r="G6593" s="1">
        <v>0</v>
      </c>
      <c r="H6593" s="1">
        <v>0</v>
      </c>
      <c r="I6593" s="1">
        <v>24.905000000000001</v>
      </c>
    </row>
    <row r="6594" spans="1:9" x14ac:dyDescent="0.25">
      <c r="A6594" s="1">
        <v>2600035684</v>
      </c>
      <c r="B6594" s="1" t="s">
        <v>4273</v>
      </c>
      <c r="C6594" s="1" t="s">
        <v>130</v>
      </c>
      <c r="D6594" s="1" t="s">
        <v>131</v>
      </c>
      <c r="E6594" s="1">
        <v>30</v>
      </c>
      <c r="F6594" s="1" t="s">
        <v>36</v>
      </c>
      <c r="G6594" s="1">
        <v>0</v>
      </c>
      <c r="H6594" s="1">
        <v>0</v>
      </c>
      <c r="I6594" s="1">
        <v>1</v>
      </c>
    </row>
    <row r="6595" spans="1:9" x14ac:dyDescent="0.25">
      <c r="A6595" s="1">
        <v>2600035694</v>
      </c>
      <c r="B6595" s="1" t="s">
        <v>4274</v>
      </c>
      <c r="C6595" s="1" t="s">
        <v>130</v>
      </c>
      <c r="D6595" s="1" t="s">
        <v>131</v>
      </c>
      <c r="E6595" s="1">
        <v>10</v>
      </c>
      <c r="F6595" s="1" t="s">
        <v>36</v>
      </c>
      <c r="G6595" s="1">
        <v>0</v>
      </c>
      <c r="H6595" s="1">
        <v>0</v>
      </c>
      <c r="I6595" s="1">
        <v>17.175000000000001</v>
      </c>
    </row>
    <row r="6596" spans="1:9" x14ac:dyDescent="0.25">
      <c r="A6596" s="1">
        <v>2600035721</v>
      </c>
      <c r="B6596" s="1" t="s">
        <v>4275</v>
      </c>
      <c r="C6596" s="1" t="s">
        <v>130</v>
      </c>
      <c r="D6596" s="1" t="s">
        <v>131</v>
      </c>
      <c r="E6596" s="1">
        <v>5</v>
      </c>
      <c r="F6596" s="1" t="s">
        <v>36</v>
      </c>
      <c r="G6596" s="1">
        <v>0</v>
      </c>
      <c r="H6596" s="1">
        <v>0</v>
      </c>
      <c r="I6596" s="1">
        <v>1.69</v>
      </c>
    </row>
    <row r="6597" spans="1:9" x14ac:dyDescent="0.25">
      <c r="A6597" s="1">
        <v>2600035722</v>
      </c>
      <c r="B6597" s="1" t="s">
        <v>4276</v>
      </c>
      <c r="C6597" s="1" t="s">
        <v>130</v>
      </c>
      <c r="D6597" s="1" t="s">
        <v>131</v>
      </c>
      <c r="E6597" s="1">
        <v>5</v>
      </c>
      <c r="F6597" s="1" t="s">
        <v>36</v>
      </c>
      <c r="G6597" s="1">
        <v>0</v>
      </c>
      <c r="H6597" s="1">
        <v>0</v>
      </c>
      <c r="I6597" s="1">
        <v>0.85399999999999998</v>
      </c>
    </row>
    <row r="6598" spans="1:9" x14ac:dyDescent="0.25">
      <c r="A6598" s="1">
        <v>2600035723</v>
      </c>
      <c r="B6598" s="1" t="s">
        <v>4277</v>
      </c>
      <c r="C6598" s="1" t="s">
        <v>130</v>
      </c>
      <c r="D6598" s="1" t="s">
        <v>131</v>
      </c>
      <c r="E6598" s="1">
        <v>1</v>
      </c>
      <c r="F6598" s="1" t="s">
        <v>36</v>
      </c>
      <c r="G6598" s="1">
        <v>0</v>
      </c>
      <c r="H6598" s="1">
        <v>0</v>
      </c>
      <c r="I6598" s="1">
        <v>4.8600000000000003</v>
      </c>
    </row>
    <row r="6599" spans="1:9" x14ac:dyDescent="0.25">
      <c r="A6599" s="1">
        <v>2600035731</v>
      </c>
      <c r="B6599" s="1" t="s">
        <v>4278</v>
      </c>
      <c r="C6599" s="1" t="s">
        <v>130</v>
      </c>
      <c r="D6599" s="1" t="s">
        <v>131</v>
      </c>
      <c r="E6599" s="1">
        <v>3</v>
      </c>
      <c r="F6599" s="1" t="s">
        <v>36</v>
      </c>
      <c r="G6599" s="1">
        <v>0</v>
      </c>
      <c r="H6599" s="1">
        <v>0</v>
      </c>
      <c r="I6599" s="1">
        <v>72.03</v>
      </c>
    </row>
    <row r="6600" spans="1:9" x14ac:dyDescent="0.25">
      <c r="A6600" s="1">
        <v>2600035733</v>
      </c>
      <c r="B6600" s="1" t="s">
        <v>4279</v>
      </c>
      <c r="C6600" s="1" t="s">
        <v>130</v>
      </c>
      <c r="D6600" s="1" t="s">
        <v>131</v>
      </c>
      <c r="E6600" s="1">
        <v>2</v>
      </c>
      <c r="F6600" s="1" t="s">
        <v>36</v>
      </c>
      <c r="G6600" s="1">
        <v>0</v>
      </c>
      <c r="H6600" s="1">
        <v>0</v>
      </c>
      <c r="I6600" s="1">
        <v>6.61</v>
      </c>
    </row>
    <row r="6601" spans="1:9" x14ac:dyDescent="0.25">
      <c r="A6601" s="1">
        <v>2600035734</v>
      </c>
      <c r="B6601" s="1" t="s">
        <v>4280</v>
      </c>
      <c r="C6601" s="1" t="s">
        <v>130</v>
      </c>
      <c r="D6601" s="1" t="s">
        <v>131</v>
      </c>
      <c r="E6601" s="1">
        <v>1</v>
      </c>
      <c r="F6601" s="1" t="s">
        <v>36</v>
      </c>
      <c r="G6601" s="1">
        <v>0</v>
      </c>
      <c r="H6601" s="1">
        <v>0</v>
      </c>
      <c r="I6601" s="1">
        <v>100.88</v>
      </c>
    </row>
    <row r="6602" spans="1:9" x14ac:dyDescent="0.25">
      <c r="A6602" s="1">
        <v>2600035735</v>
      </c>
      <c r="B6602" s="1" t="s">
        <v>4281</v>
      </c>
      <c r="C6602" s="1" t="s">
        <v>130</v>
      </c>
      <c r="D6602" s="1" t="s">
        <v>131</v>
      </c>
      <c r="E6602" s="1">
        <v>1</v>
      </c>
      <c r="F6602" s="1" t="s">
        <v>36</v>
      </c>
      <c r="G6602" s="1">
        <v>0</v>
      </c>
      <c r="H6602" s="1">
        <v>0</v>
      </c>
      <c r="I6602" s="1">
        <v>177.97</v>
      </c>
    </row>
    <row r="6603" spans="1:9" x14ac:dyDescent="0.25">
      <c r="A6603" s="1">
        <v>2600035736</v>
      </c>
      <c r="B6603" s="1" t="s">
        <v>4282</v>
      </c>
      <c r="C6603" s="1" t="s">
        <v>130</v>
      </c>
      <c r="D6603" s="1" t="s">
        <v>131</v>
      </c>
      <c r="E6603" s="1">
        <v>1</v>
      </c>
      <c r="F6603" s="1" t="s">
        <v>36</v>
      </c>
      <c r="G6603" s="1">
        <v>0</v>
      </c>
      <c r="H6603" s="1">
        <v>0</v>
      </c>
      <c r="I6603" s="1">
        <v>266.95</v>
      </c>
    </row>
    <row r="6604" spans="1:9" x14ac:dyDescent="0.25">
      <c r="A6604" s="1">
        <v>2600035737</v>
      </c>
      <c r="B6604" s="1" t="s">
        <v>4283</v>
      </c>
      <c r="C6604" s="1" t="s">
        <v>130</v>
      </c>
      <c r="D6604" s="1" t="s">
        <v>131</v>
      </c>
      <c r="E6604" s="1">
        <v>1</v>
      </c>
      <c r="F6604" s="1" t="s">
        <v>36</v>
      </c>
      <c r="G6604" s="1">
        <v>0</v>
      </c>
      <c r="H6604" s="1">
        <v>0</v>
      </c>
      <c r="I6604" s="1">
        <v>57.37</v>
      </c>
    </row>
    <row r="6605" spans="1:9" x14ac:dyDescent="0.25">
      <c r="A6605" s="1">
        <v>2600035740</v>
      </c>
      <c r="B6605" s="1" t="s">
        <v>4284</v>
      </c>
      <c r="C6605" s="1" t="s">
        <v>130</v>
      </c>
      <c r="D6605" s="1" t="s">
        <v>131</v>
      </c>
      <c r="E6605" s="1">
        <v>1</v>
      </c>
      <c r="F6605" s="1" t="s">
        <v>36</v>
      </c>
      <c r="G6605" s="1">
        <v>0</v>
      </c>
      <c r="H6605" s="1">
        <v>0</v>
      </c>
      <c r="I6605" s="1">
        <v>116.95</v>
      </c>
    </row>
    <row r="6606" spans="1:9" x14ac:dyDescent="0.25">
      <c r="A6606" s="1">
        <v>2600035745</v>
      </c>
      <c r="B6606" s="1" t="s">
        <v>4285</v>
      </c>
      <c r="C6606" s="1" t="s">
        <v>130</v>
      </c>
      <c r="D6606" s="1" t="s">
        <v>131</v>
      </c>
      <c r="E6606" s="1">
        <v>4</v>
      </c>
      <c r="F6606" s="1" t="s">
        <v>36</v>
      </c>
      <c r="G6606" s="1">
        <v>0</v>
      </c>
      <c r="H6606" s="1">
        <v>15</v>
      </c>
      <c r="I6606" s="1">
        <v>27.085000000000001</v>
      </c>
    </row>
    <row r="6607" spans="1:9" x14ac:dyDescent="0.25">
      <c r="A6607" s="1">
        <v>2600035747</v>
      </c>
      <c r="B6607" s="1" t="s">
        <v>4286</v>
      </c>
      <c r="C6607" s="1" t="s">
        <v>582</v>
      </c>
      <c r="D6607" s="1" t="s">
        <v>583</v>
      </c>
      <c r="E6607" s="1">
        <v>1</v>
      </c>
      <c r="F6607" s="1" t="s">
        <v>36</v>
      </c>
      <c r="G6607" s="1">
        <v>0</v>
      </c>
      <c r="H6607" s="1">
        <v>0</v>
      </c>
      <c r="I6607" s="1">
        <v>585.66</v>
      </c>
    </row>
    <row r="6608" spans="1:9" x14ac:dyDescent="0.25">
      <c r="A6608" s="1">
        <v>2600035748</v>
      </c>
      <c r="B6608" s="1" t="s">
        <v>4287</v>
      </c>
      <c r="C6608" s="1" t="s">
        <v>582</v>
      </c>
      <c r="D6608" s="1" t="s">
        <v>583</v>
      </c>
      <c r="E6608" s="1">
        <v>1</v>
      </c>
      <c r="F6608" s="1" t="s">
        <v>36</v>
      </c>
      <c r="G6608" s="1">
        <v>0</v>
      </c>
      <c r="H6608" s="1">
        <v>0</v>
      </c>
      <c r="I6608" s="3">
        <v>3446.84</v>
      </c>
    </row>
    <row r="6609" spans="1:9" x14ac:dyDescent="0.25">
      <c r="A6609" s="1">
        <v>2600035749</v>
      </c>
      <c r="B6609" s="1" t="s">
        <v>4288</v>
      </c>
      <c r="C6609" s="1" t="s">
        <v>582</v>
      </c>
      <c r="D6609" s="1" t="s">
        <v>583</v>
      </c>
      <c r="E6609" s="1">
        <v>1</v>
      </c>
      <c r="F6609" s="1" t="s">
        <v>36</v>
      </c>
      <c r="G6609" s="1">
        <v>0</v>
      </c>
      <c r="H6609" s="1">
        <v>0</v>
      </c>
      <c r="I6609" s="3">
        <v>1372.64</v>
      </c>
    </row>
    <row r="6610" spans="1:9" x14ac:dyDescent="0.25">
      <c r="A6610" s="1">
        <v>2600040001</v>
      </c>
      <c r="B6610" s="1" t="s">
        <v>4289</v>
      </c>
      <c r="C6610" s="1" t="s">
        <v>167</v>
      </c>
      <c r="D6610" s="1" t="s">
        <v>168</v>
      </c>
      <c r="E6610" s="3">
        <v>1930</v>
      </c>
      <c r="F6610" s="1" t="s">
        <v>36</v>
      </c>
      <c r="G6610" s="1">
        <v>0</v>
      </c>
      <c r="H6610" s="1">
        <v>0</v>
      </c>
      <c r="I6610" s="1">
        <v>5.7903419999999999</v>
      </c>
    </row>
    <row r="6611" spans="1:9" x14ac:dyDescent="0.25">
      <c r="A6611" s="1">
        <v>2600040006</v>
      </c>
      <c r="B6611" s="1" t="s">
        <v>4290</v>
      </c>
      <c r="C6611" s="1" t="s">
        <v>130</v>
      </c>
      <c r="D6611" s="1" t="s">
        <v>131</v>
      </c>
      <c r="E6611" s="1">
        <v>1</v>
      </c>
      <c r="F6611" s="1" t="s">
        <v>89</v>
      </c>
      <c r="G6611" s="1">
        <v>0</v>
      </c>
      <c r="H6611" s="1">
        <v>0</v>
      </c>
      <c r="I6611" s="1">
        <v>20.34</v>
      </c>
    </row>
    <row r="6612" spans="1:9" x14ac:dyDescent="0.25">
      <c r="A6612" s="1">
        <v>2600040043</v>
      </c>
      <c r="B6612" s="1" t="s">
        <v>4291</v>
      </c>
      <c r="C6612" s="1" t="s">
        <v>130</v>
      </c>
      <c r="D6612" s="1" t="s">
        <v>131</v>
      </c>
      <c r="E6612" s="1">
        <v>3</v>
      </c>
      <c r="F6612" s="1" t="s">
        <v>36</v>
      </c>
      <c r="G6612" s="3">
        <v>0</v>
      </c>
      <c r="H6612" s="1">
        <v>0</v>
      </c>
      <c r="I6612" s="1">
        <v>5.62</v>
      </c>
    </row>
    <row r="6613" spans="1:9" x14ac:dyDescent="0.25">
      <c r="A6613" s="1">
        <v>2600040086</v>
      </c>
      <c r="B6613" s="1" t="s">
        <v>4292</v>
      </c>
      <c r="C6613" s="1" t="s">
        <v>130</v>
      </c>
      <c r="D6613" s="1" t="s">
        <v>131</v>
      </c>
      <c r="E6613" s="1">
        <v>3</v>
      </c>
      <c r="F6613" s="1" t="s">
        <v>36</v>
      </c>
      <c r="G6613" s="1">
        <v>0</v>
      </c>
      <c r="H6613" s="1">
        <v>0</v>
      </c>
      <c r="I6613" s="1">
        <v>13.813333</v>
      </c>
    </row>
    <row r="6614" spans="1:9" x14ac:dyDescent="0.25">
      <c r="A6614" s="1">
        <v>2600040087</v>
      </c>
      <c r="B6614" s="1" t="s">
        <v>4293</v>
      </c>
      <c r="C6614" s="1" t="s">
        <v>130</v>
      </c>
      <c r="D6614" s="1" t="s">
        <v>131</v>
      </c>
      <c r="E6614" s="1">
        <v>4</v>
      </c>
      <c r="F6614" s="1" t="s">
        <v>36</v>
      </c>
      <c r="G6614" s="1">
        <v>0</v>
      </c>
      <c r="H6614" s="1">
        <v>0</v>
      </c>
      <c r="I6614" s="1">
        <v>41.6</v>
      </c>
    </row>
    <row r="6615" spans="1:9" x14ac:dyDescent="0.25">
      <c r="A6615" s="1">
        <v>2600040088</v>
      </c>
      <c r="B6615" s="1" t="s">
        <v>4294</v>
      </c>
      <c r="C6615" s="1" t="s">
        <v>130</v>
      </c>
      <c r="D6615" s="1" t="s">
        <v>131</v>
      </c>
      <c r="E6615" s="3">
        <v>9000</v>
      </c>
      <c r="F6615" s="1" t="s">
        <v>36</v>
      </c>
      <c r="G6615" s="1">
        <v>0</v>
      </c>
      <c r="H6615" s="1">
        <v>0</v>
      </c>
      <c r="I6615" s="1">
        <v>0.12128</v>
      </c>
    </row>
    <row r="6616" spans="1:9" x14ac:dyDescent="0.25">
      <c r="A6616" s="1">
        <v>2600040088</v>
      </c>
      <c r="B6616" s="1" t="s">
        <v>4294</v>
      </c>
      <c r="C6616" s="1" t="s">
        <v>167</v>
      </c>
      <c r="D6616" s="1" t="s">
        <v>168</v>
      </c>
      <c r="E6616" s="1">
        <v>50</v>
      </c>
      <c r="F6616" s="1" t="s">
        <v>36</v>
      </c>
      <c r="G6616" s="1">
        <v>0</v>
      </c>
      <c r="H6616" s="1">
        <v>0</v>
      </c>
      <c r="I6616" s="1">
        <v>0.12920000000000001</v>
      </c>
    </row>
    <row r="6617" spans="1:9" x14ac:dyDescent="0.25">
      <c r="A6617" s="1">
        <v>2600040091</v>
      </c>
      <c r="B6617" s="1" t="s">
        <v>4295</v>
      </c>
      <c r="C6617" s="1" t="s">
        <v>130</v>
      </c>
      <c r="D6617" s="1" t="s">
        <v>131</v>
      </c>
      <c r="E6617" s="1">
        <v>4</v>
      </c>
      <c r="F6617" s="1" t="s">
        <v>36</v>
      </c>
      <c r="G6617" s="1">
        <v>0</v>
      </c>
      <c r="H6617" s="1">
        <v>0</v>
      </c>
      <c r="I6617" s="1">
        <v>5.6150000000000002</v>
      </c>
    </row>
    <row r="6618" spans="1:9" x14ac:dyDescent="0.25">
      <c r="A6618" s="1">
        <v>2600040117</v>
      </c>
      <c r="B6618" s="1" t="s">
        <v>4296</v>
      </c>
      <c r="C6618" s="1" t="s">
        <v>130</v>
      </c>
      <c r="D6618" s="1" t="s">
        <v>131</v>
      </c>
      <c r="E6618" s="1">
        <v>30</v>
      </c>
      <c r="F6618" s="1" t="s">
        <v>36</v>
      </c>
      <c r="G6618" s="1">
        <v>0</v>
      </c>
      <c r="H6618" s="1">
        <v>0</v>
      </c>
      <c r="I6618" s="1">
        <v>0.33900000000000002</v>
      </c>
    </row>
    <row r="6619" spans="1:9" x14ac:dyDescent="0.25">
      <c r="A6619" s="1">
        <v>2600040125</v>
      </c>
      <c r="B6619" s="1" t="s">
        <v>4297</v>
      </c>
      <c r="C6619" s="1" t="s">
        <v>130</v>
      </c>
      <c r="D6619" s="1" t="s">
        <v>131</v>
      </c>
      <c r="E6619" s="1">
        <v>108.5</v>
      </c>
      <c r="F6619" s="1" t="s">
        <v>89</v>
      </c>
      <c r="G6619" s="1">
        <v>0</v>
      </c>
      <c r="H6619" s="1">
        <v>0</v>
      </c>
      <c r="I6619" s="1">
        <v>26.695575999999999</v>
      </c>
    </row>
    <row r="6620" spans="1:9" x14ac:dyDescent="0.25">
      <c r="A6620" s="1">
        <v>2600040148</v>
      </c>
      <c r="B6620" s="1" t="s">
        <v>4298</v>
      </c>
      <c r="C6620" s="1" t="s">
        <v>130</v>
      </c>
      <c r="D6620" s="1" t="s">
        <v>131</v>
      </c>
      <c r="E6620" s="1">
        <v>24</v>
      </c>
      <c r="F6620" s="1" t="s">
        <v>1015</v>
      </c>
      <c r="G6620" s="1">
        <v>0</v>
      </c>
      <c r="H6620" s="1">
        <v>0</v>
      </c>
      <c r="I6620" s="1">
        <v>1.964167</v>
      </c>
    </row>
    <row r="6621" spans="1:9" x14ac:dyDescent="0.25">
      <c r="A6621" s="1">
        <v>2600040191</v>
      </c>
      <c r="B6621" s="1" t="s">
        <v>4299</v>
      </c>
      <c r="C6621" s="1" t="s">
        <v>130</v>
      </c>
      <c r="D6621" s="1" t="s">
        <v>131</v>
      </c>
      <c r="E6621" s="1">
        <v>1</v>
      </c>
      <c r="F6621" s="1" t="s">
        <v>36</v>
      </c>
      <c r="G6621" s="1">
        <v>0</v>
      </c>
      <c r="H6621" s="1">
        <v>0</v>
      </c>
      <c r="I6621" s="1">
        <v>104.36</v>
      </c>
    </row>
    <row r="6622" spans="1:9" x14ac:dyDescent="0.25">
      <c r="A6622" s="1">
        <v>2600040203</v>
      </c>
      <c r="B6622" s="1" t="s">
        <v>4300</v>
      </c>
      <c r="C6622" s="1" t="s">
        <v>130</v>
      </c>
      <c r="D6622" s="1" t="s">
        <v>131</v>
      </c>
      <c r="E6622" s="1">
        <v>1</v>
      </c>
      <c r="F6622" s="1" t="s">
        <v>36</v>
      </c>
      <c r="G6622" s="1">
        <v>0</v>
      </c>
      <c r="H6622" s="1">
        <v>0</v>
      </c>
      <c r="I6622" s="1">
        <v>94</v>
      </c>
    </row>
    <row r="6623" spans="1:9" x14ac:dyDescent="0.25">
      <c r="A6623" s="1">
        <v>2600040215</v>
      </c>
      <c r="B6623" s="1" t="s">
        <v>4301</v>
      </c>
      <c r="C6623" s="1" t="s">
        <v>130</v>
      </c>
      <c r="D6623" s="1" t="s">
        <v>131</v>
      </c>
      <c r="E6623" s="1">
        <v>6</v>
      </c>
      <c r="F6623" s="1" t="s">
        <v>36</v>
      </c>
      <c r="G6623" s="1">
        <v>0</v>
      </c>
      <c r="H6623" s="1">
        <v>0</v>
      </c>
      <c r="I6623" s="1">
        <v>14.501666999999999</v>
      </c>
    </row>
    <row r="6624" spans="1:9" x14ac:dyDescent="0.25">
      <c r="A6624" s="1">
        <v>2600040224</v>
      </c>
      <c r="B6624" s="1" t="s">
        <v>4302</v>
      </c>
      <c r="C6624" s="1" t="s">
        <v>130</v>
      </c>
      <c r="D6624" s="1" t="s">
        <v>131</v>
      </c>
      <c r="E6624" s="1">
        <v>25</v>
      </c>
      <c r="F6624" s="1" t="s">
        <v>36</v>
      </c>
      <c r="G6624" s="1">
        <v>0</v>
      </c>
      <c r="H6624" s="1">
        <v>0</v>
      </c>
      <c r="I6624" s="1">
        <v>5.8296000000000001</v>
      </c>
    </row>
    <row r="6625" spans="1:9" x14ac:dyDescent="0.25">
      <c r="A6625" s="1">
        <v>2600040244</v>
      </c>
      <c r="B6625" s="1" t="s">
        <v>4303</v>
      </c>
      <c r="C6625" s="1" t="s">
        <v>130</v>
      </c>
      <c r="D6625" s="1" t="s">
        <v>131</v>
      </c>
      <c r="E6625" s="3">
        <v>7171</v>
      </c>
      <c r="F6625" s="1" t="s">
        <v>36</v>
      </c>
      <c r="G6625" s="1">
        <v>0</v>
      </c>
      <c r="H6625" s="1">
        <v>0</v>
      </c>
      <c r="I6625" s="1">
        <v>0.46599200000000002</v>
      </c>
    </row>
    <row r="6626" spans="1:9" x14ac:dyDescent="0.25">
      <c r="A6626" s="1">
        <v>2600040255</v>
      </c>
      <c r="B6626" s="1" t="s">
        <v>4304</v>
      </c>
      <c r="C6626" s="1" t="s">
        <v>130</v>
      </c>
      <c r="D6626" s="1" t="s">
        <v>131</v>
      </c>
      <c r="E6626" s="1">
        <v>23</v>
      </c>
      <c r="F6626" s="1" t="s">
        <v>3218</v>
      </c>
      <c r="G6626" s="1">
        <v>0</v>
      </c>
      <c r="H6626" s="1">
        <v>0</v>
      </c>
      <c r="I6626" s="1">
        <v>6.4117389999999999</v>
      </c>
    </row>
    <row r="6627" spans="1:9" x14ac:dyDescent="0.25">
      <c r="A6627" s="1">
        <v>2600040267</v>
      </c>
      <c r="B6627" s="1" t="s">
        <v>4305</v>
      </c>
      <c r="C6627" s="1" t="s">
        <v>130</v>
      </c>
      <c r="D6627" s="1" t="s">
        <v>131</v>
      </c>
      <c r="E6627" s="1">
        <v>4</v>
      </c>
      <c r="F6627" s="1" t="s">
        <v>36</v>
      </c>
      <c r="G6627" s="1">
        <v>0</v>
      </c>
      <c r="H6627" s="1">
        <v>0</v>
      </c>
      <c r="I6627" s="1">
        <v>7.2</v>
      </c>
    </row>
    <row r="6628" spans="1:9" x14ac:dyDescent="0.25">
      <c r="A6628" s="1">
        <v>2600040268</v>
      </c>
      <c r="B6628" s="1" t="s">
        <v>4306</v>
      </c>
      <c r="C6628" s="1" t="s">
        <v>130</v>
      </c>
      <c r="D6628" s="1" t="s">
        <v>131</v>
      </c>
      <c r="E6628" s="1">
        <v>8</v>
      </c>
      <c r="F6628" s="1" t="s">
        <v>36</v>
      </c>
      <c r="G6628" s="1">
        <v>0</v>
      </c>
      <c r="H6628" s="1">
        <v>0</v>
      </c>
      <c r="I6628" s="1">
        <v>0.85</v>
      </c>
    </row>
    <row r="6629" spans="1:9" x14ac:dyDescent="0.25">
      <c r="A6629" s="1">
        <v>2600040279</v>
      </c>
      <c r="B6629" s="1" t="s">
        <v>4307</v>
      </c>
      <c r="C6629" s="1" t="s">
        <v>130</v>
      </c>
      <c r="D6629" s="1" t="s">
        <v>131</v>
      </c>
      <c r="E6629" s="1">
        <v>13</v>
      </c>
      <c r="F6629" s="1" t="s">
        <v>36</v>
      </c>
      <c r="G6629" s="1">
        <v>0</v>
      </c>
      <c r="H6629" s="1">
        <v>0</v>
      </c>
      <c r="I6629" s="1">
        <v>25.42</v>
      </c>
    </row>
    <row r="6630" spans="1:9" x14ac:dyDescent="0.25">
      <c r="A6630" s="1">
        <v>2600040298</v>
      </c>
      <c r="B6630" s="1" t="s">
        <v>4308</v>
      </c>
      <c r="C6630" s="1" t="s">
        <v>130</v>
      </c>
      <c r="D6630" s="1" t="s">
        <v>131</v>
      </c>
      <c r="E6630" s="1">
        <v>3</v>
      </c>
      <c r="F6630" s="1" t="s">
        <v>36</v>
      </c>
      <c r="G6630" s="1">
        <v>0</v>
      </c>
      <c r="H6630" s="1">
        <v>0</v>
      </c>
      <c r="I6630" s="1">
        <v>13.65</v>
      </c>
    </row>
    <row r="6631" spans="1:9" x14ac:dyDescent="0.25">
      <c r="A6631" s="1">
        <v>2600040326</v>
      </c>
      <c r="B6631" s="1" t="s">
        <v>4309</v>
      </c>
      <c r="C6631" s="1" t="s">
        <v>130</v>
      </c>
      <c r="D6631" s="1" t="s">
        <v>131</v>
      </c>
      <c r="E6631" s="1">
        <v>2</v>
      </c>
      <c r="F6631" s="1" t="s">
        <v>36</v>
      </c>
      <c r="G6631" s="1">
        <v>0</v>
      </c>
      <c r="H6631" s="1">
        <v>0</v>
      </c>
      <c r="I6631" s="1">
        <v>4.5</v>
      </c>
    </row>
    <row r="6632" spans="1:9" x14ac:dyDescent="0.25">
      <c r="A6632" s="1">
        <v>2600040410</v>
      </c>
      <c r="B6632" s="1" t="s">
        <v>4310</v>
      </c>
      <c r="C6632" s="1" t="s">
        <v>130</v>
      </c>
      <c r="D6632" s="1" t="s">
        <v>131</v>
      </c>
      <c r="E6632" s="1">
        <v>6</v>
      </c>
      <c r="F6632" s="1" t="s">
        <v>36</v>
      </c>
      <c r="G6632" s="1">
        <v>0</v>
      </c>
      <c r="H6632" s="1">
        <v>0</v>
      </c>
      <c r="I6632" s="1">
        <v>1.1100000000000001</v>
      </c>
    </row>
    <row r="6633" spans="1:9" x14ac:dyDescent="0.25">
      <c r="A6633" s="1">
        <v>2600040411</v>
      </c>
      <c r="B6633" s="1" t="s">
        <v>4311</v>
      </c>
      <c r="C6633" s="1" t="s">
        <v>130</v>
      </c>
      <c r="D6633" s="1" t="s">
        <v>131</v>
      </c>
      <c r="E6633" s="1">
        <v>2</v>
      </c>
      <c r="F6633" s="1" t="s">
        <v>36</v>
      </c>
      <c r="G6633" s="1">
        <v>0</v>
      </c>
      <c r="H6633" s="1">
        <v>0</v>
      </c>
      <c r="I6633" s="1">
        <v>1.63</v>
      </c>
    </row>
    <row r="6634" spans="1:9" x14ac:dyDescent="0.25">
      <c r="A6634" s="1">
        <v>2600040428</v>
      </c>
      <c r="B6634" s="1" t="s">
        <v>4312</v>
      </c>
      <c r="C6634" s="1" t="s">
        <v>130</v>
      </c>
      <c r="D6634" s="1" t="s">
        <v>131</v>
      </c>
      <c r="E6634" s="1">
        <v>6</v>
      </c>
      <c r="F6634" s="1" t="s">
        <v>36</v>
      </c>
      <c r="G6634" s="1">
        <v>0</v>
      </c>
      <c r="H6634" s="1">
        <v>0</v>
      </c>
      <c r="I6634" s="1">
        <v>4.0616669999999999</v>
      </c>
    </row>
    <row r="6635" spans="1:9" x14ac:dyDescent="0.25">
      <c r="A6635" s="1">
        <v>2600040439</v>
      </c>
      <c r="B6635" s="1" t="s">
        <v>4313</v>
      </c>
      <c r="C6635" s="1" t="s">
        <v>130</v>
      </c>
      <c r="D6635" s="1" t="s">
        <v>131</v>
      </c>
      <c r="E6635" s="1">
        <v>14</v>
      </c>
      <c r="F6635" s="1" t="s">
        <v>36</v>
      </c>
      <c r="G6635" s="1">
        <v>0</v>
      </c>
      <c r="H6635" s="1">
        <v>0</v>
      </c>
      <c r="I6635" s="1">
        <v>3.39</v>
      </c>
    </row>
    <row r="6636" spans="1:9" x14ac:dyDescent="0.25">
      <c r="A6636" s="1">
        <v>2600040474</v>
      </c>
      <c r="B6636" s="1" t="s">
        <v>4314</v>
      </c>
      <c r="C6636" s="1" t="s">
        <v>130</v>
      </c>
      <c r="D6636" s="1" t="s">
        <v>131</v>
      </c>
      <c r="E6636" s="1">
        <v>3</v>
      </c>
      <c r="F6636" s="1" t="s">
        <v>4315</v>
      </c>
      <c r="G6636" s="1">
        <v>0</v>
      </c>
      <c r="H6636" s="1">
        <v>0</v>
      </c>
      <c r="I6636" s="1">
        <v>26.95</v>
      </c>
    </row>
    <row r="6637" spans="1:9" x14ac:dyDescent="0.25">
      <c r="A6637" s="1">
        <v>2600040482</v>
      </c>
      <c r="B6637" s="1" t="s">
        <v>4316</v>
      </c>
      <c r="C6637" s="1" t="s">
        <v>130</v>
      </c>
      <c r="D6637" s="1" t="s">
        <v>131</v>
      </c>
      <c r="E6637" s="1">
        <v>1</v>
      </c>
      <c r="F6637" s="1" t="s">
        <v>36</v>
      </c>
      <c r="G6637" s="1">
        <v>0</v>
      </c>
      <c r="H6637" s="1">
        <v>0</v>
      </c>
      <c r="I6637" s="1">
        <v>212.02</v>
      </c>
    </row>
    <row r="6638" spans="1:9" x14ac:dyDescent="0.25">
      <c r="A6638" s="1">
        <v>2600040490</v>
      </c>
      <c r="B6638" s="1" t="s">
        <v>4317</v>
      </c>
      <c r="C6638" s="1" t="s">
        <v>130</v>
      </c>
      <c r="D6638" s="1" t="s">
        <v>131</v>
      </c>
      <c r="E6638" s="1">
        <v>25</v>
      </c>
      <c r="F6638" s="1" t="s">
        <v>36</v>
      </c>
      <c r="G6638" s="1">
        <v>0</v>
      </c>
      <c r="H6638" s="1">
        <v>0</v>
      </c>
      <c r="I6638" s="1">
        <v>12.4</v>
      </c>
    </row>
    <row r="6639" spans="1:9" x14ac:dyDescent="0.25">
      <c r="A6639" s="1">
        <v>2600040500</v>
      </c>
      <c r="B6639" s="1" t="s">
        <v>4318</v>
      </c>
      <c r="C6639" s="1" t="s">
        <v>130</v>
      </c>
      <c r="D6639" s="1" t="s">
        <v>131</v>
      </c>
      <c r="E6639" s="1">
        <v>0.25</v>
      </c>
      <c r="F6639" s="1" t="s">
        <v>3209</v>
      </c>
      <c r="G6639" s="1">
        <v>0</v>
      </c>
      <c r="H6639" s="1">
        <v>0</v>
      </c>
      <c r="I6639" s="1">
        <v>101.68</v>
      </c>
    </row>
    <row r="6640" spans="1:9" x14ac:dyDescent="0.25">
      <c r="A6640" s="1">
        <v>2600040509</v>
      </c>
      <c r="B6640" s="1" t="s">
        <v>4319</v>
      </c>
      <c r="C6640" s="1" t="s">
        <v>130</v>
      </c>
      <c r="D6640" s="1" t="s">
        <v>131</v>
      </c>
      <c r="E6640" s="1">
        <v>1</v>
      </c>
      <c r="F6640" s="1" t="s">
        <v>36</v>
      </c>
      <c r="G6640" s="1">
        <v>0</v>
      </c>
      <c r="H6640" s="1">
        <v>0</v>
      </c>
      <c r="I6640" s="1">
        <v>20.98</v>
      </c>
    </row>
    <row r="6641" spans="1:9" x14ac:dyDescent="0.25">
      <c r="A6641" s="1">
        <v>2600040523</v>
      </c>
      <c r="B6641" s="1" t="s">
        <v>4320</v>
      </c>
      <c r="C6641" s="1" t="s">
        <v>130</v>
      </c>
      <c r="D6641" s="1" t="s">
        <v>131</v>
      </c>
      <c r="E6641" s="1">
        <v>2</v>
      </c>
      <c r="F6641" s="1" t="s">
        <v>36</v>
      </c>
      <c r="G6641" s="1">
        <v>0</v>
      </c>
      <c r="H6641" s="1">
        <v>0</v>
      </c>
      <c r="I6641" s="1">
        <v>42.445</v>
      </c>
    </row>
    <row r="6642" spans="1:9" x14ac:dyDescent="0.25">
      <c r="A6642" s="1">
        <v>2600040536</v>
      </c>
      <c r="B6642" s="1" t="s">
        <v>4321</v>
      </c>
      <c r="C6642" s="1" t="s">
        <v>130</v>
      </c>
      <c r="D6642" s="1" t="s">
        <v>131</v>
      </c>
      <c r="E6642" s="1">
        <v>1</v>
      </c>
      <c r="F6642" s="1" t="s">
        <v>36</v>
      </c>
      <c r="G6642" s="1">
        <v>0</v>
      </c>
      <c r="H6642" s="1">
        <v>0</v>
      </c>
      <c r="I6642" s="1">
        <v>120</v>
      </c>
    </row>
    <row r="6643" spans="1:9" x14ac:dyDescent="0.25">
      <c r="A6643" s="1">
        <v>2600040541</v>
      </c>
      <c r="B6643" s="1" t="s">
        <v>4322</v>
      </c>
      <c r="C6643" s="1" t="s">
        <v>130</v>
      </c>
      <c r="D6643" s="1" t="s">
        <v>131</v>
      </c>
      <c r="E6643" s="1">
        <v>8</v>
      </c>
      <c r="F6643" s="1" t="s">
        <v>3209</v>
      </c>
      <c r="G6643" s="1">
        <v>0</v>
      </c>
      <c r="H6643" s="1">
        <v>0</v>
      </c>
      <c r="I6643" s="1">
        <v>12.25</v>
      </c>
    </row>
    <row r="6644" spans="1:9" x14ac:dyDescent="0.25">
      <c r="A6644" s="1">
        <v>2600040559</v>
      </c>
      <c r="B6644" s="1" t="s">
        <v>4323</v>
      </c>
      <c r="C6644" s="1" t="s">
        <v>130</v>
      </c>
      <c r="D6644" s="1" t="s">
        <v>131</v>
      </c>
      <c r="E6644" s="1">
        <v>6</v>
      </c>
      <c r="F6644" s="1" t="s">
        <v>36</v>
      </c>
      <c r="G6644" s="1">
        <v>0</v>
      </c>
      <c r="H6644" s="1">
        <v>0</v>
      </c>
      <c r="I6644" s="1">
        <v>15.78</v>
      </c>
    </row>
    <row r="6645" spans="1:9" x14ac:dyDescent="0.25">
      <c r="A6645" s="1">
        <v>2600040560</v>
      </c>
      <c r="B6645" s="1" t="s">
        <v>4324</v>
      </c>
      <c r="C6645" s="1" t="s">
        <v>130</v>
      </c>
      <c r="D6645" s="1" t="s">
        <v>131</v>
      </c>
      <c r="E6645" s="1">
        <v>1</v>
      </c>
      <c r="F6645" s="1" t="s">
        <v>36</v>
      </c>
      <c r="G6645" s="1">
        <v>0</v>
      </c>
      <c r="H6645" s="1">
        <v>0</v>
      </c>
      <c r="I6645" s="1">
        <v>93.22</v>
      </c>
    </row>
    <row r="6646" spans="1:9" x14ac:dyDescent="0.25">
      <c r="A6646" s="1">
        <v>2600040567</v>
      </c>
      <c r="B6646" s="1" t="s">
        <v>4325</v>
      </c>
      <c r="C6646" s="1" t="s">
        <v>130</v>
      </c>
      <c r="D6646" s="1" t="s">
        <v>131</v>
      </c>
      <c r="E6646" s="1">
        <v>5</v>
      </c>
      <c r="F6646" s="1" t="s">
        <v>36</v>
      </c>
      <c r="G6646" s="1">
        <v>0</v>
      </c>
      <c r="H6646" s="1">
        <v>0</v>
      </c>
      <c r="I6646" s="1">
        <v>3.3639999999999999</v>
      </c>
    </row>
    <row r="6647" spans="1:9" x14ac:dyDescent="0.25">
      <c r="A6647" s="1">
        <v>2600040577</v>
      </c>
      <c r="B6647" s="1" t="s">
        <v>4326</v>
      </c>
      <c r="C6647" s="1" t="s">
        <v>130</v>
      </c>
      <c r="D6647" s="1" t="s">
        <v>131</v>
      </c>
      <c r="E6647" s="1">
        <v>1</v>
      </c>
      <c r="F6647" s="1" t="s">
        <v>36</v>
      </c>
      <c r="G6647" s="1">
        <v>0</v>
      </c>
      <c r="H6647" s="1">
        <v>0</v>
      </c>
      <c r="I6647" s="1">
        <v>117.58</v>
      </c>
    </row>
    <row r="6648" spans="1:9" x14ac:dyDescent="0.25">
      <c r="A6648" s="1">
        <v>2600040597</v>
      </c>
      <c r="B6648" s="1" t="s">
        <v>4327</v>
      </c>
      <c r="C6648" s="1" t="s">
        <v>130</v>
      </c>
      <c r="D6648" s="1" t="s">
        <v>131</v>
      </c>
      <c r="E6648" s="1">
        <v>14</v>
      </c>
      <c r="F6648" s="1" t="s">
        <v>36</v>
      </c>
      <c r="G6648" s="1">
        <v>0</v>
      </c>
      <c r="H6648" s="1">
        <v>0</v>
      </c>
      <c r="I6648" s="1">
        <v>3.39</v>
      </c>
    </row>
    <row r="6649" spans="1:9" x14ac:dyDescent="0.25">
      <c r="A6649" s="1">
        <v>2600040621</v>
      </c>
      <c r="B6649" s="1" t="s">
        <v>4328</v>
      </c>
      <c r="C6649" s="1" t="s">
        <v>130</v>
      </c>
      <c r="D6649" s="1" t="s">
        <v>131</v>
      </c>
      <c r="E6649" s="1">
        <v>2</v>
      </c>
      <c r="F6649" s="1" t="s">
        <v>36</v>
      </c>
      <c r="G6649" s="1">
        <v>0</v>
      </c>
      <c r="H6649" s="1">
        <v>0</v>
      </c>
      <c r="I6649" s="1">
        <v>31.76</v>
      </c>
    </row>
    <row r="6650" spans="1:9" x14ac:dyDescent="0.25">
      <c r="A6650" s="1">
        <v>2600040623</v>
      </c>
      <c r="B6650" s="1" t="s">
        <v>4329</v>
      </c>
      <c r="C6650" s="1" t="s">
        <v>130</v>
      </c>
      <c r="D6650" s="1" t="s">
        <v>131</v>
      </c>
      <c r="E6650" s="1">
        <v>10</v>
      </c>
      <c r="F6650" s="1" t="s">
        <v>36</v>
      </c>
      <c r="G6650" s="1">
        <v>0</v>
      </c>
      <c r="H6650" s="1">
        <v>0</v>
      </c>
      <c r="I6650" s="1">
        <v>1.0169999999999999</v>
      </c>
    </row>
    <row r="6651" spans="1:9" x14ac:dyDescent="0.25">
      <c r="A6651" s="1">
        <v>2600040641</v>
      </c>
      <c r="B6651" s="1" t="s">
        <v>4330</v>
      </c>
      <c r="C6651" s="1" t="s">
        <v>130</v>
      </c>
      <c r="D6651" s="1" t="s">
        <v>131</v>
      </c>
      <c r="E6651" s="1">
        <v>1</v>
      </c>
      <c r="F6651" s="1" t="s">
        <v>36</v>
      </c>
      <c r="G6651" s="1">
        <v>0</v>
      </c>
      <c r="H6651" s="1">
        <v>0</v>
      </c>
      <c r="I6651" s="3">
        <v>108.04</v>
      </c>
    </row>
    <row r="6652" spans="1:9" x14ac:dyDescent="0.25">
      <c r="A6652" s="1">
        <v>2600040661</v>
      </c>
      <c r="B6652" s="1" t="s">
        <v>4331</v>
      </c>
      <c r="C6652" s="1" t="s">
        <v>130</v>
      </c>
      <c r="D6652" s="1" t="s">
        <v>131</v>
      </c>
      <c r="E6652" s="1">
        <v>30</v>
      </c>
      <c r="F6652" s="1" t="s">
        <v>3209</v>
      </c>
      <c r="G6652" s="1">
        <v>0</v>
      </c>
      <c r="H6652" s="1">
        <v>0</v>
      </c>
      <c r="I6652" s="1">
        <v>4.3673330000000004</v>
      </c>
    </row>
    <row r="6653" spans="1:9" x14ac:dyDescent="0.25">
      <c r="A6653" s="1">
        <v>2600040716</v>
      </c>
      <c r="B6653" s="1" t="s">
        <v>4332</v>
      </c>
      <c r="C6653" s="1" t="s">
        <v>130</v>
      </c>
      <c r="D6653" s="1" t="s">
        <v>131</v>
      </c>
      <c r="E6653" s="1">
        <v>20</v>
      </c>
      <c r="F6653" s="1" t="s">
        <v>36</v>
      </c>
      <c r="G6653" s="1">
        <v>0</v>
      </c>
      <c r="H6653" s="1">
        <v>0</v>
      </c>
      <c r="I6653" s="1">
        <v>7.9</v>
      </c>
    </row>
    <row r="6654" spans="1:9" x14ac:dyDescent="0.25">
      <c r="A6654" s="1">
        <v>2600040732</v>
      </c>
      <c r="B6654" s="1" t="s">
        <v>4333</v>
      </c>
      <c r="C6654" s="1" t="s">
        <v>130</v>
      </c>
      <c r="D6654" s="1" t="s">
        <v>131</v>
      </c>
      <c r="E6654" s="1">
        <v>3</v>
      </c>
      <c r="F6654" s="1" t="s">
        <v>36</v>
      </c>
      <c r="G6654" s="1">
        <v>0</v>
      </c>
      <c r="H6654" s="1">
        <v>0</v>
      </c>
      <c r="I6654" s="1">
        <v>1.1433329999999999</v>
      </c>
    </row>
    <row r="6655" spans="1:9" x14ac:dyDescent="0.25">
      <c r="A6655" s="1">
        <v>2600040733</v>
      </c>
      <c r="B6655" s="1" t="s">
        <v>4334</v>
      </c>
      <c r="C6655" s="1" t="s">
        <v>130</v>
      </c>
      <c r="D6655" s="1" t="s">
        <v>131</v>
      </c>
      <c r="E6655" s="1">
        <v>3</v>
      </c>
      <c r="F6655" s="1" t="s">
        <v>36</v>
      </c>
      <c r="G6655" s="1">
        <v>0</v>
      </c>
      <c r="H6655" s="1">
        <v>0</v>
      </c>
      <c r="I6655" s="1">
        <v>2.2566670000000002</v>
      </c>
    </row>
    <row r="6656" spans="1:9" x14ac:dyDescent="0.25">
      <c r="A6656" s="1">
        <v>2600040752</v>
      </c>
      <c r="B6656" s="1" t="s">
        <v>4335</v>
      </c>
      <c r="C6656" s="1" t="s">
        <v>130</v>
      </c>
      <c r="D6656" s="1" t="s">
        <v>131</v>
      </c>
      <c r="E6656" s="1">
        <v>3</v>
      </c>
      <c r="F6656" s="1" t="s">
        <v>36</v>
      </c>
      <c r="G6656" s="1">
        <v>0</v>
      </c>
      <c r="H6656" s="1">
        <v>0</v>
      </c>
      <c r="I6656" s="3">
        <v>4.5</v>
      </c>
    </row>
    <row r="6657" spans="1:9" x14ac:dyDescent="0.25">
      <c r="A6657" s="1">
        <v>2600040764</v>
      </c>
      <c r="B6657" s="1" t="s">
        <v>4336</v>
      </c>
      <c r="C6657" s="1" t="s">
        <v>167</v>
      </c>
      <c r="D6657" s="1" t="s">
        <v>168</v>
      </c>
      <c r="E6657" s="1">
        <v>3</v>
      </c>
      <c r="F6657" s="1" t="s">
        <v>36</v>
      </c>
      <c r="G6657" s="1">
        <v>0</v>
      </c>
      <c r="H6657" s="1">
        <v>0</v>
      </c>
      <c r="I6657" s="1">
        <v>494</v>
      </c>
    </row>
    <row r="6658" spans="1:9" x14ac:dyDescent="0.25">
      <c r="A6658" s="1">
        <v>2600040765</v>
      </c>
      <c r="B6658" s="1" t="s">
        <v>4337</v>
      </c>
      <c r="C6658" s="1" t="s">
        <v>167</v>
      </c>
      <c r="D6658" s="1" t="s">
        <v>168</v>
      </c>
      <c r="E6658" s="1">
        <v>132</v>
      </c>
      <c r="F6658" s="1" t="s">
        <v>36</v>
      </c>
      <c r="G6658" s="1">
        <v>0</v>
      </c>
      <c r="H6658" s="1">
        <v>0</v>
      </c>
      <c r="I6658" s="1">
        <v>18.527954999999999</v>
      </c>
    </row>
    <row r="6659" spans="1:9" x14ac:dyDescent="0.25">
      <c r="A6659" s="1">
        <v>2600040812</v>
      </c>
      <c r="B6659" s="1" t="s">
        <v>4338</v>
      </c>
      <c r="C6659" s="1" t="s">
        <v>130</v>
      </c>
      <c r="D6659" s="1" t="s">
        <v>131</v>
      </c>
      <c r="E6659" s="1">
        <v>4</v>
      </c>
      <c r="F6659" s="1" t="s">
        <v>36</v>
      </c>
      <c r="G6659" s="1">
        <v>0</v>
      </c>
      <c r="H6659" s="1">
        <v>0</v>
      </c>
      <c r="I6659" s="1">
        <v>4.8899999999999997</v>
      </c>
    </row>
    <row r="6660" spans="1:9" x14ac:dyDescent="0.25">
      <c r="A6660" s="1">
        <v>2600040831</v>
      </c>
      <c r="B6660" s="1" t="s">
        <v>4339</v>
      </c>
      <c r="C6660" s="1" t="s">
        <v>167</v>
      </c>
      <c r="D6660" s="1" t="s">
        <v>168</v>
      </c>
      <c r="E6660" s="1">
        <v>5</v>
      </c>
      <c r="F6660" s="1" t="s">
        <v>36</v>
      </c>
      <c r="G6660" s="1">
        <v>0</v>
      </c>
      <c r="H6660" s="1">
        <v>0</v>
      </c>
      <c r="I6660" s="1">
        <v>33.521999999999998</v>
      </c>
    </row>
    <row r="6661" spans="1:9" x14ac:dyDescent="0.25">
      <c r="A6661" s="1">
        <v>2600040849</v>
      </c>
      <c r="B6661" s="1" t="s">
        <v>4340</v>
      </c>
      <c r="C6661" s="1" t="s">
        <v>130</v>
      </c>
      <c r="D6661" s="1" t="s">
        <v>131</v>
      </c>
      <c r="E6661" s="1">
        <v>100</v>
      </c>
      <c r="F6661" s="1" t="s">
        <v>36</v>
      </c>
      <c r="G6661" s="1">
        <v>0</v>
      </c>
      <c r="H6661" s="1">
        <v>0</v>
      </c>
      <c r="I6661" s="1">
        <v>0.1414</v>
      </c>
    </row>
    <row r="6662" spans="1:9" x14ac:dyDescent="0.25">
      <c r="A6662" s="1">
        <v>2600040873</v>
      </c>
      <c r="B6662" s="1" t="s">
        <v>4341</v>
      </c>
      <c r="C6662" s="1" t="s">
        <v>130</v>
      </c>
      <c r="D6662" s="1" t="s">
        <v>131</v>
      </c>
      <c r="E6662" s="1">
        <v>1</v>
      </c>
      <c r="F6662" s="1" t="s">
        <v>36</v>
      </c>
      <c r="G6662" s="1">
        <v>0</v>
      </c>
      <c r="H6662" s="1">
        <v>0</v>
      </c>
      <c r="I6662" s="1">
        <v>38.14</v>
      </c>
    </row>
    <row r="6663" spans="1:9" x14ac:dyDescent="0.25">
      <c r="A6663" s="1">
        <v>2600040899</v>
      </c>
      <c r="B6663" s="1" t="s">
        <v>4342</v>
      </c>
      <c r="C6663" s="1" t="s">
        <v>167</v>
      </c>
      <c r="D6663" s="1" t="s">
        <v>168</v>
      </c>
      <c r="E6663" s="1">
        <v>34</v>
      </c>
      <c r="F6663" s="1" t="s">
        <v>36</v>
      </c>
      <c r="G6663" s="1">
        <v>0</v>
      </c>
      <c r="H6663" s="1">
        <v>0</v>
      </c>
      <c r="I6663" s="3">
        <v>127.542941</v>
      </c>
    </row>
    <row r="6664" spans="1:9" x14ac:dyDescent="0.25">
      <c r="A6664" s="1">
        <v>2600040941</v>
      </c>
      <c r="B6664" s="1" t="s">
        <v>4343</v>
      </c>
      <c r="C6664" s="1" t="s">
        <v>130</v>
      </c>
      <c r="D6664" s="1" t="s">
        <v>131</v>
      </c>
      <c r="E6664" s="1">
        <v>0.49</v>
      </c>
      <c r="F6664" s="1" t="s">
        <v>89</v>
      </c>
      <c r="G6664" s="1">
        <v>0</v>
      </c>
      <c r="H6664" s="1">
        <v>0</v>
      </c>
      <c r="I6664" s="1">
        <v>3.5714290000000002</v>
      </c>
    </row>
    <row r="6665" spans="1:9" x14ac:dyDescent="0.25">
      <c r="A6665" s="1">
        <v>2600040941</v>
      </c>
      <c r="B6665" s="1" t="s">
        <v>4343</v>
      </c>
      <c r="C6665" s="1" t="s">
        <v>523</v>
      </c>
      <c r="D6665" s="1" t="s">
        <v>524</v>
      </c>
      <c r="E6665" s="1">
        <v>20</v>
      </c>
      <c r="F6665" s="1" t="s">
        <v>89</v>
      </c>
      <c r="G6665" s="1">
        <v>2</v>
      </c>
      <c r="H6665" s="1">
        <v>0</v>
      </c>
      <c r="I6665" s="1">
        <v>3.2694999999999999</v>
      </c>
    </row>
    <row r="6666" spans="1:9" x14ac:dyDescent="0.25">
      <c r="A6666" s="1">
        <v>2600040945</v>
      </c>
      <c r="B6666" s="1" t="s">
        <v>4344</v>
      </c>
      <c r="C6666" s="1" t="s">
        <v>167</v>
      </c>
      <c r="D6666" s="1" t="s">
        <v>168</v>
      </c>
      <c r="E6666" s="1">
        <v>632</v>
      </c>
      <c r="F6666" s="1" t="s">
        <v>36</v>
      </c>
      <c r="G6666" s="1">
        <v>0</v>
      </c>
      <c r="H6666" s="1">
        <v>0</v>
      </c>
      <c r="I6666" s="1">
        <v>5.8689239999999998</v>
      </c>
    </row>
    <row r="6667" spans="1:9" x14ac:dyDescent="0.25">
      <c r="A6667" s="1">
        <v>2600040962</v>
      </c>
      <c r="B6667" s="1" t="s">
        <v>4345</v>
      </c>
      <c r="C6667" s="1" t="s">
        <v>130</v>
      </c>
      <c r="D6667" s="1" t="s">
        <v>131</v>
      </c>
      <c r="E6667" s="1">
        <v>2</v>
      </c>
      <c r="F6667" s="1" t="s">
        <v>36</v>
      </c>
      <c r="G6667" s="1">
        <v>0</v>
      </c>
      <c r="H6667" s="1">
        <v>0</v>
      </c>
      <c r="I6667" s="1">
        <v>56.695</v>
      </c>
    </row>
    <row r="6668" spans="1:9" x14ac:dyDescent="0.25">
      <c r="A6668" s="1">
        <v>2600041021</v>
      </c>
      <c r="B6668" s="1" t="s">
        <v>4346</v>
      </c>
      <c r="C6668" s="1" t="s">
        <v>130</v>
      </c>
      <c r="D6668" s="1" t="s">
        <v>131</v>
      </c>
      <c r="E6668" s="1">
        <v>4</v>
      </c>
      <c r="F6668" s="1" t="s">
        <v>36</v>
      </c>
      <c r="G6668" s="1">
        <v>0</v>
      </c>
      <c r="H6668" s="1">
        <v>0</v>
      </c>
      <c r="I6668" s="1">
        <v>57.202500000000001</v>
      </c>
    </row>
    <row r="6669" spans="1:9" x14ac:dyDescent="0.25">
      <c r="A6669" s="1">
        <v>2600041024</v>
      </c>
      <c r="B6669" s="1" t="s">
        <v>4347</v>
      </c>
      <c r="C6669" s="1" t="s">
        <v>130</v>
      </c>
      <c r="D6669" s="1" t="s">
        <v>131</v>
      </c>
      <c r="E6669" s="1">
        <v>18</v>
      </c>
      <c r="F6669" s="1" t="s">
        <v>36</v>
      </c>
      <c r="G6669" s="1">
        <v>0</v>
      </c>
      <c r="H6669" s="1">
        <v>0</v>
      </c>
      <c r="I6669" s="1">
        <v>1.19</v>
      </c>
    </row>
    <row r="6670" spans="1:9" x14ac:dyDescent="0.25">
      <c r="A6670" s="1">
        <v>2600041025</v>
      </c>
      <c r="B6670" s="1" t="s">
        <v>4348</v>
      </c>
      <c r="C6670" s="1" t="s">
        <v>130</v>
      </c>
      <c r="D6670" s="1" t="s">
        <v>131</v>
      </c>
      <c r="E6670" s="1">
        <v>1</v>
      </c>
      <c r="F6670" s="1" t="s">
        <v>36</v>
      </c>
      <c r="G6670" s="1">
        <v>0</v>
      </c>
      <c r="H6670" s="1">
        <v>0</v>
      </c>
      <c r="I6670" s="1">
        <v>42.71</v>
      </c>
    </row>
    <row r="6671" spans="1:9" x14ac:dyDescent="0.25">
      <c r="A6671" s="1">
        <v>2600041048</v>
      </c>
      <c r="B6671" s="1" t="s">
        <v>4349</v>
      </c>
      <c r="C6671" s="1" t="s">
        <v>130</v>
      </c>
      <c r="D6671" s="1" t="s">
        <v>131</v>
      </c>
      <c r="E6671" s="1">
        <v>10</v>
      </c>
      <c r="F6671" s="1" t="s">
        <v>36</v>
      </c>
      <c r="G6671" s="1">
        <v>0</v>
      </c>
      <c r="H6671" s="1">
        <v>0</v>
      </c>
      <c r="I6671" s="1">
        <v>50</v>
      </c>
    </row>
    <row r="6672" spans="1:9" x14ac:dyDescent="0.25">
      <c r="A6672" s="1">
        <v>2600041158</v>
      </c>
      <c r="B6672" s="1" t="s">
        <v>4350</v>
      </c>
      <c r="C6672" s="1" t="s">
        <v>167</v>
      </c>
      <c r="D6672" s="1" t="s">
        <v>168</v>
      </c>
      <c r="E6672" s="1">
        <v>60</v>
      </c>
      <c r="F6672" s="1" t="s">
        <v>36</v>
      </c>
      <c r="G6672" s="1">
        <v>0</v>
      </c>
      <c r="H6672" s="1">
        <v>0</v>
      </c>
      <c r="I6672" s="1">
        <v>28</v>
      </c>
    </row>
    <row r="6673" spans="1:9" x14ac:dyDescent="0.25">
      <c r="A6673" s="1">
        <v>2600041160</v>
      </c>
      <c r="B6673" s="1" t="s">
        <v>4351</v>
      </c>
      <c r="C6673" s="1" t="s">
        <v>130</v>
      </c>
      <c r="D6673" s="1" t="s">
        <v>131</v>
      </c>
      <c r="E6673" s="1">
        <v>1</v>
      </c>
      <c r="F6673" s="1" t="s">
        <v>36</v>
      </c>
      <c r="G6673" s="1">
        <v>0</v>
      </c>
      <c r="H6673" s="1">
        <v>0</v>
      </c>
      <c r="I6673" s="1">
        <v>5.93</v>
      </c>
    </row>
    <row r="6674" spans="1:9" x14ac:dyDescent="0.25">
      <c r="A6674" s="1">
        <v>2600041192</v>
      </c>
      <c r="B6674" s="1" t="s">
        <v>4352</v>
      </c>
      <c r="C6674" s="1" t="s">
        <v>130</v>
      </c>
      <c r="D6674" s="1" t="s">
        <v>131</v>
      </c>
      <c r="E6674" s="1">
        <v>17.7</v>
      </c>
      <c r="F6674" s="1" t="s">
        <v>89</v>
      </c>
      <c r="G6674" s="1">
        <v>0</v>
      </c>
      <c r="H6674" s="1">
        <v>0</v>
      </c>
      <c r="I6674" s="1">
        <v>13.028814000000001</v>
      </c>
    </row>
    <row r="6675" spans="1:9" x14ac:dyDescent="0.25">
      <c r="A6675" s="1">
        <v>2600041251</v>
      </c>
      <c r="B6675" s="1" t="s">
        <v>4353</v>
      </c>
      <c r="C6675" s="1" t="s">
        <v>130</v>
      </c>
      <c r="D6675" s="1" t="s">
        <v>131</v>
      </c>
      <c r="E6675" s="1">
        <v>6</v>
      </c>
      <c r="F6675" s="1" t="s">
        <v>36</v>
      </c>
      <c r="G6675" s="1">
        <v>0</v>
      </c>
      <c r="H6675" s="1">
        <v>0</v>
      </c>
      <c r="I6675" s="1">
        <v>59</v>
      </c>
    </row>
    <row r="6676" spans="1:9" x14ac:dyDescent="0.25">
      <c r="A6676" s="1">
        <v>2600041262</v>
      </c>
      <c r="B6676" s="1" t="s">
        <v>4354</v>
      </c>
      <c r="C6676" s="1" t="s">
        <v>130</v>
      </c>
      <c r="D6676" s="1" t="s">
        <v>131</v>
      </c>
      <c r="E6676" s="1">
        <v>2</v>
      </c>
      <c r="F6676" s="1" t="s">
        <v>36</v>
      </c>
      <c r="G6676" s="1">
        <v>0</v>
      </c>
      <c r="H6676" s="1">
        <v>0</v>
      </c>
      <c r="I6676" s="1">
        <v>229.5</v>
      </c>
    </row>
    <row r="6677" spans="1:9" x14ac:dyDescent="0.25">
      <c r="A6677" s="1">
        <v>2600041299</v>
      </c>
      <c r="B6677" s="1" t="s">
        <v>4355</v>
      </c>
      <c r="C6677" s="1" t="s">
        <v>130</v>
      </c>
      <c r="D6677" s="1" t="s">
        <v>131</v>
      </c>
      <c r="E6677" s="1">
        <v>2</v>
      </c>
      <c r="F6677" s="1" t="s">
        <v>36</v>
      </c>
      <c r="G6677" s="1">
        <v>0</v>
      </c>
      <c r="H6677" s="1">
        <v>0</v>
      </c>
      <c r="I6677" s="3">
        <v>641.78499999999997</v>
      </c>
    </row>
    <row r="6678" spans="1:9" x14ac:dyDescent="0.25">
      <c r="A6678" s="1">
        <v>2600041304</v>
      </c>
      <c r="B6678" s="1" t="s">
        <v>4356</v>
      </c>
      <c r="C6678" s="1" t="s">
        <v>167</v>
      </c>
      <c r="D6678" s="1" t="s">
        <v>168</v>
      </c>
      <c r="E6678" s="1">
        <v>2</v>
      </c>
      <c r="F6678" s="1" t="s">
        <v>36</v>
      </c>
      <c r="G6678" s="1">
        <v>0</v>
      </c>
      <c r="H6678" s="1">
        <v>0</v>
      </c>
      <c r="I6678" s="3">
        <v>5</v>
      </c>
    </row>
    <row r="6679" spans="1:9" x14ac:dyDescent="0.25">
      <c r="A6679" s="1">
        <v>2600041348</v>
      </c>
      <c r="B6679" s="1" t="s">
        <v>4357</v>
      </c>
      <c r="C6679" s="1" t="s">
        <v>130</v>
      </c>
      <c r="D6679" s="1" t="s">
        <v>131</v>
      </c>
      <c r="E6679" s="1">
        <v>0</v>
      </c>
      <c r="F6679" s="1" t="s">
        <v>36</v>
      </c>
      <c r="G6679" s="1">
        <v>10</v>
      </c>
      <c r="H6679" s="1">
        <v>0</v>
      </c>
      <c r="I6679" s="3">
        <v>4.75</v>
      </c>
    </row>
    <row r="6680" spans="1:9" x14ac:dyDescent="0.25">
      <c r="A6680" s="1">
        <v>2600041348</v>
      </c>
      <c r="B6680" s="1" t="s">
        <v>4357</v>
      </c>
      <c r="C6680" s="1" t="s">
        <v>167</v>
      </c>
      <c r="D6680" s="1" t="s">
        <v>168</v>
      </c>
      <c r="E6680" s="1">
        <v>228</v>
      </c>
      <c r="F6680" s="1" t="s">
        <v>36</v>
      </c>
      <c r="G6680" s="1">
        <v>0</v>
      </c>
      <c r="H6680" s="1">
        <v>0</v>
      </c>
      <c r="I6680" s="3">
        <v>4.75</v>
      </c>
    </row>
    <row r="6681" spans="1:9" x14ac:dyDescent="0.25">
      <c r="A6681" s="1">
        <v>2600041348</v>
      </c>
      <c r="B6681" s="1" t="s">
        <v>4357</v>
      </c>
      <c r="C6681" s="1" t="s">
        <v>137</v>
      </c>
      <c r="D6681" s="1" t="s">
        <v>138</v>
      </c>
      <c r="E6681" s="1">
        <v>0</v>
      </c>
      <c r="F6681" s="1" t="s">
        <v>36</v>
      </c>
      <c r="G6681" s="1">
        <v>0</v>
      </c>
      <c r="H6681" s="1">
        <v>10</v>
      </c>
      <c r="I6681" s="3">
        <v>0</v>
      </c>
    </row>
    <row r="6682" spans="1:9" x14ac:dyDescent="0.25">
      <c r="A6682" s="1">
        <v>2600041351</v>
      </c>
      <c r="B6682" s="1" t="s">
        <v>4358</v>
      </c>
      <c r="C6682" s="1" t="s">
        <v>167</v>
      </c>
      <c r="D6682" s="1" t="s">
        <v>168</v>
      </c>
      <c r="E6682" s="1">
        <v>770</v>
      </c>
      <c r="F6682" s="1" t="s">
        <v>36</v>
      </c>
      <c r="G6682" s="1">
        <v>0</v>
      </c>
      <c r="H6682" s="1">
        <v>0</v>
      </c>
      <c r="I6682" s="1">
        <v>7.2034029999999998</v>
      </c>
    </row>
    <row r="6683" spans="1:9" x14ac:dyDescent="0.25">
      <c r="A6683" s="1">
        <v>2600041366</v>
      </c>
      <c r="B6683" s="1" t="s">
        <v>4359</v>
      </c>
      <c r="C6683" s="1" t="s">
        <v>130</v>
      </c>
      <c r="D6683" s="1" t="s">
        <v>131</v>
      </c>
      <c r="E6683" s="1">
        <v>1</v>
      </c>
      <c r="F6683" s="1" t="s">
        <v>89</v>
      </c>
      <c r="G6683" s="1">
        <v>0</v>
      </c>
      <c r="H6683" s="1">
        <v>0</v>
      </c>
      <c r="I6683" s="1">
        <v>60.17</v>
      </c>
    </row>
    <row r="6684" spans="1:9" x14ac:dyDescent="0.25">
      <c r="A6684" s="1">
        <v>2600041381</v>
      </c>
      <c r="B6684" s="1" t="s">
        <v>4360</v>
      </c>
      <c r="C6684" s="1" t="s">
        <v>130</v>
      </c>
      <c r="D6684" s="1" t="s">
        <v>131</v>
      </c>
      <c r="E6684" s="1">
        <v>1</v>
      </c>
      <c r="F6684" s="1" t="s">
        <v>36</v>
      </c>
      <c r="G6684" s="1">
        <v>0</v>
      </c>
      <c r="H6684" s="1">
        <v>0</v>
      </c>
      <c r="I6684" s="3">
        <v>172.32</v>
      </c>
    </row>
    <row r="6685" spans="1:9" x14ac:dyDescent="0.25">
      <c r="A6685" s="1">
        <v>2600041470</v>
      </c>
      <c r="B6685" s="1" t="s">
        <v>4361</v>
      </c>
      <c r="C6685" s="1" t="s">
        <v>130</v>
      </c>
      <c r="D6685" s="1" t="s">
        <v>131</v>
      </c>
      <c r="E6685" s="1">
        <v>1</v>
      </c>
      <c r="F6685" s="1" t="s">
        <v>36</v>
      </c>
      <c r="G6685" s="1">
        <v>0</v>
      </c>
      <c r="H6685" s="1">
        <v>0</v>
      </c>
      <c r="I6685" s="1">
        <v>22.71</v>
      </c>
    </row>
    <row r="6686" spans="1:9" x14ac:dyDescent="0.25">
      <c r="A6686" s="1">
        <v>2600041471</v>
      </c>
      <c r="B6686" s="1" t="s">
        <v>4362</v>
      </c>
      <c r="C6686" s="1" t="s">
        <v>130</v>
      </c>
      <c r="D6686" s="1" t="s">
        <v>131</v>
      </c>
      <c r="E6686" s="1">
        <v>132</v>
      </c>
      <c r="F6686" s="1" t="s">
        <v>36</v>
      </c>
      <c r="G6686" s="1">
        <v>0</v>
      </c>
      <c r="H6686" s="1">
        <v>0</v>
      </c>
      <c r="I6686" s="1">
        <v>1.7197E-2</v>
      </c>
    </row>
    <row r="6687" spans="1:9" x14ac:dyDescent="0.25">
      <c r="A6687" s="1">
        <v>2600041506</v>
      </c>
      <c r="B6687" s="1" t="s">
        <v>4363</v>
      </c>
      <c r="C6687" s="1" t="s">
        <v>130</v>
      </c>
      <c r="D6687" s="1" t="s">
        <v>131</v>
      </c>
      <c r="E6687" s="1">
        <v>7</v>
      </c>
      <c r="F6687" s="1" t="s">
        <v>36</v>
      </c>
      <c r="G6687" s="1">
        <v>0</v>
      </c>
      <c r="H6687" s="1">
        <v>0</v>
      </c>
      <c r="I6687" s="1">
        <v>72.221429000000001</v>
      </c>
    </row>
    <row r="6688" spans="1:9" x14ac:dyDescent="0.25">
      <c r="A6688" s="1">
        <v>2600041516</v>
      </c>
      <c r="B6688" s="1" t="s">
        <v>4364</v>
      </c>
      <c r="C6688" s="1" t="s">
        <v>130</v>
      </c>
      <c r="D6688" s="1" t="s">
        <v>131</v>
      </c>
      <c r="E6688" s="1">
        <v>1</v>
      </c>
      <c r="F6688" s="1" t="s">
        <v>36</v>
      </c>
      <c r="G6688" s="1">
        <v>0</v>
      </c>
      <c r="H6688" s="1">
        <v>0</v>
      </c>
      <c r="I6688" s="1">
        <v>17.37</v>
      </c>
    </row>
    <row r="6689" spans="1:9" x14ac:dyDescent="0.25">
      <c r="A6689" s="1">
        <v>2600041609</v>
      </c>
      <c r="B6689" s="1" t="s">
        <v>4365</v>
      </c>
      <c r="C6689" s="1" t="s">
        <v>130</v>
      </c>
      <c r="D6689" s="1" t="s">
        <v>131</v>
      </c>
      <c r="E6689" s="1">
        <v>6</v>
      </c>
      <c r="F6689" s="1" t="s">
        <v>36</v>
      </c>
      <c r="G6689" s="1">
        <v>0</v>
      </c>
      <c r="H6689" s="1">
        <v>0</v>
      </c>
      <c r="I6689" s="1">
        <v>5.5750000000000002</v>
      </c>
    </row>
    <row r="6690" spans="1:9" x14ac:dyDescent="0.25">
      <c r="A6690" s="1">
        <v>2600041616</v>
      </c>
      <c r="B6690" s="1" t="s">
        <v>4366</v>
      </c>
      <c r="C6690" s="1" t="s">
        <v>130</v>
      </c>
      <c r="D6690" s="1" t="s">
        <v>131</v>
      </c>
      <c r="E6690" s="1">
        <v>4</v>
      </c>
      <c r="F6690" s="1" t="s">
        <v>36</v>
      </c>
      <c r="G6690" s="1">
        <v>0</v>
      </c>
      <c r="H6690" s="1">
        <v>0</v>
      </c>
      <c r="I6690" s="1">
        <v>9</v>
      </c>
    </row>
    <row r="6691" spans="1:9" x14ac:dyDescent="0.25">
      <c r="A6691" s="1">
        <v>2600041619</v>
      </c>
      <c r="B6691" s="1" t="s">
        <v>4367</v>
      </c>
      <c r="C6691" s="1" t="s">
        <v>130</v>
      </c>
      <c r="D6691" s="1" t="s">
        <v>131</v>
      </c>
      <c r="E6691" s="1">
        <v>1</v>
      </c>
      <c r="F6691" s="1" t="s">
        <v>36</v>
      </c>
      <c r="G6691" s="1">
        <v>0</v>
      </c>
      <c r="H6691" s="1">
        <v>0</v>
      </c>
      <c r="I6691" s="1">
        <v>5.76</v>
      </c>
    </row>
    <row r="6692" spans="1:9" x14ac:dyDescent="0.25">
      <c r="A6692" s="1">
        <v>2600041659</v>
      </c>
      <c r="B6692" s="1" t="s">
        <v>4368</v>
      </c>
      <c r="C6692" s="1" t="s">
        <v>130</v>
      </c>
      <c r="D6692" s="1" t="s">
        <v>131</v>
      </c>
      <c r="E6692" s="1">
        <v>8</v>
      </c>
      <c r="F6692" s="1" t="s">
        <v>36</v>
      </c>
      <c r="G6692" s="1">
        <v>0</v>
      </c>
      <c r="H6692" s="1">
        <v>0</v>
      </c>
      <c r="I6692" s="1">
        <v>3.0662500000000001</v>
      </c>
    </row>
    <row r="6693" spans="1:9" x14ac:dyDescent="0.25">
      <c r="A6693" s="1">
        <v>2600041661</v>
      </c>
      <c r="B6693" s="1" t="s">
        <v>4369</v>
      </c>
      <c r="C6693" s="1" t="s">
        <v>130</v>
      </c>
      <c r="D6693" s="1" t="s">
        <v>131</v>
      </c>
      <c r="E6693" s="1">
        <v>4</v>
      </c>
      <c r="F6693" s="1" t="s">
        <v>3382</v>
      </c>
      <c r="G6693" s="1">
        <v>0</v>
      </c>
      <c r="H6693" s="1">
        <v>0</v>
      </c>
      <c r="I6693" s="1">
        <v>4.5</v>
      </c>
    </row>
    <row r="6694" spans="1:9" x14ac:dyDescent="0.25">
      <c r="A6694" s="1">
        <v>2600041670</v>
      </c>
      <c r="B6694" s="1" t="s">
        <v>4370</v>
      </c>
      <c r="C6694" s="1" t="s">
        <v>130</v>
      </c>
      <c r="D6694" s="1" t="s">
        <v>131</v>
      </c>
      <c r="E6694" s="1">
        <v>1</v>
      </c>
      <c r="F6694" s="1" t="s">
        <v>36</v>
      </c>
      <c r="G6694" s="1">
        <v>0</v>
      </c>
      <c r="H6694" s="1">
        <v>0</v>
      </c>
      <c r="I6694" s="1">
        <v>6.54</v>
      </c>
    </row>
    <row r="6695" spans="1:9" x14ac:dyDescent="0.25">
      <c r="A6695" s="1">
        <v>2600041686</v>
      </c>
      <c r="B6695" s="1" t="s">
        <v>4371</v>
      </c>
      <c r="C6695" s="1" t="s">
        <v>130</v>
      </c>
      <c r="D6695" s="1" t="s">
        <v>131</v>
      </c>
      <c r="E6695" s="1">
        <v>1</v>
      </c>
      <c r="F6695" s="1" t="s">
        <v>36</v>
      </c>
      <c r="G6695" s="1">
        <v>0</v>
      </c>
      <c r="H6695" s="1">
        <v>0</v>
      </c>
      <c r="I6695" s="1">
        <v>94.05</v>
      </c>
    </row>
    <row r="6696" spans="1:9" x14ac:dyDescent="0.25">
      <c r="A6696" s="1">
        <v>2600041711</v>
      </c>
      <c r="B6696" s="1" t="s">
        <v>4372</v>
      </c>
      <c r="C6696" s="1" t="s">
        <v>167</v>
      </c>
      <c r="D6696" s="1" t="s">
        <v>168</v>
      </c>
      <c r="E6696" s="1">
        <v>32</v>
      </c>
      <c r="F6696" s="1" t="s">
        <v>1015</v>
      </c>
      <c r="G6696" s="1">
        <v>0</v>
      </c>
      <c r="H6696" s="1">
        <v>0</v>
      </c>
      <c r="I6696" s="1">
        <v>80.848749999999995</v>
      </c>
    </row>
    <row r="6697" spans="1:9" x14ac:dyDescent="0.25">
      <c r="A6697" s="1">
        <v>2600041749</v>
      </c>
      <c r="B6697" s="1" t="s">
        <v>4373</v>
      </c>
      <c r="C6697" s="1" t="s">
        <v>167</v>
      </c>
      <c r="D6697" s="1" t="s">
        <v>168</v>
      </c>
      <c r="E6697" s="1">
        <v>2</v>
      </c>
      <c r="F6697" s="1" t="s">
        <v>36</v>
      </c>
      <c r="G6697" s="1">
        <v>0</v>
      </c>
      <c r="H6697" s="1">
        <v>0</v>
      </c>
      <c r="I6697" s="1">
        <v>4.5</v>
      </c>
    </row>
    <row r="6698" spans="1:9" x14ac:dyDescent="0.25">
      <c r="A6698" s="1">
        <v>2600041750</v>
      </c>
      <c r="B6698" s="1" t="s">
        <v>4374</v>
      </c>
      <c r="C6698" s="1" t="s">
        <v>167</v>
      </c>
      <c r="D6698" s="1" t="s">
        <v>168</v>
      </c>
      <c r="E6698" s="1">
        <v>72</v>
      </c>
      <c r="F6698" s="1" t="s">
        <v>36</v>
      </c>
      <c r="G6698" s="1">
        <v>0</v>
      </c>
      <c r="H6698" s="1">
        <v>0</v>
      </c>
      <c r="I6698" s="1">
        <v>43.493611000000001</v>
      </c>
    </row>
    <row r="6699" spans="1:9" x14ac:dyDescent="0.25">
      <c r="A6699" s="1">
        <v>2600041815</v>
      </c>
      <c r="B6699" s="1" t="s">
        <v>4375</v>
      </c>
      <c r="C6699" s="1" t="s">
        <v>130</v>
      </c>
      <c r="D6699" s="1" t="s">
        <v>131</v>
      </c>
      <c r="E6699" s="1">
        <v>1</v>
      </c>
      <c r="F6699" s="1" t="s">
        <v>36</v>
      </c>
      <c r="G6699" s="1">
        <v>0</v>
      </c>
      <c r="H6699" s="1">
        <v>0</v>
      </c>
      <c r="I6699" s="1">
        <v>55.08</v>
      </c>
    </row>
    <row r="6700" spans="1:9" x14ac:dyDescent="0.25">
      <c r="A6700" s="1">
        <v>2600041823</v>
      </c>
      <c r="B6700" s="1" t="s">
        <v>4376</v>
      </c>
      <c r="C6700" s="1" t="s">
        <v>130</v>
      </c>
      <c r="D6700" s="1" t="s">
        <v>131</v>
      </c>
      <c r="E6700" s="1">
        <v>3</v>
      </c>
      <c r="F6700" s="1" t="s">
        <v>36</v>
      </c>
      <c r="G6700" s="1">
        <v>0</v>
      </c>
      <c r="H6700" s="1">
        <v>0</v>
      </c>
      <c r="I6700" s="1">
        <v>79.55</v>
      </c>
    </row>
    <row r="6701" spans="1:9" x14ac:dyDescent="0.25">
      <c r="A6701" s="1">
        <v>2600041833</v>
      </c>
      <c r="B6701" s="1" t="s">
        <v>4377</v>
      </c>
      <c r="C6701" s="1" t="s">
        <v>130</v>
      </c>
      <c r="D6701" s="1" t="s">
        <v>131</v>
      </c>
      <c r="E6701" s="1">
        <v>2</v>
      </c>
      <c r="F6701" s="1" t="s">
        <v>36</v>
      </c>
      <c r="G6701" s="1">
        <v>0</v>
      </c>
      <c r="H6701" s="1">
        <v>0</v>
      </c>
      <c r="I6701" s="1">
        <v>245.76499999999999</v>
      </c>
    </row>
    <row r="6702" spans="1:9" x14ac:dyDescent="0.25">
      <c r="A6702" s="1">
        <v>2600041897</v>
      </c>
      <c r="B6702" s="1" t="s">
        <v>4378</v>
      </c>
      <c r="C6702" s="1" t="s">
        <v>130</v>
      </c>
      <c r="D6702" s="1" t="s">
        <v>131</v>
      </c>
      <c r="E6702" s="1">
        <v>100</v>
      </c>
      <c r="F6702" s="1" t="s">
        <v>36</v>
      </c>
      <c r="G6702" s="1">
        <v>0</v>
      </c>
      <c r="H6702" s="1">
        <v>0</v>
      </c>
      <c r="I6702" s="1">
        <v>3.4</v>
      </c>
    </row>
    <row r="6703" spans="1:9" x14ac:dyDescent="0.25">
      <c r="A6703" s="1">
        <v>2600041897</v>
      </c>
      <c r="B6703" s="1" t="s">
        <v>4378</v>
      </c>
      <c r="C6703" s="1" t="s">
        <v>167</v>
      </c>
      <c r="D6703" s="1" t="s">
        <v>168</v>
      </c>
      <c r="E6703" s="3">
        <v>1270</v>
      </c>
      <c r="F6703" s="1" t="s">
        <v>36</v>
      </c>
      <c r="G6703" s="1">
        <v>0</v>
      </c>
      <c r="H6703" s="1">
        <v>0</v>
      </c>
      <c r="I6703" s="1">
        <v>3.4</v>
      </c>
    </row>
    <row r="6704" spans="1:9" x14ac:dyDescent="0.25">
      <c r="A6704" s="1">
        <v>2600041938</v>
      </c>
      <c r="B6704" s="1" t="s">
        <v>4379</v>
      </c>
      <c r="C6704" s="1" t="s">
        <v>167</v>
      </c>
      <c r="D6704" s="1" t="s">
        <v>168</v>
      </c>
      <c r="E6704" s="3">
        <v>4262</v>
      </c>
      <c r="F6704" s="1" t="s">
        <v>36</v>
      </c>
      <c r="G6704" s="1">
        <v>0</v>
      </c>
      <c r="H6704" s="1">
        <v>0</v>
      </c>
      <c r="I6704" s="1">
        <v>1.5001009999999999</v>
      </c>
    </row>
    <row r="6705" spans="1:9" x14ac:dyDescent="0.25">
      <c r="A6705" s="1">
        <v>2600041950</v>
      </c>
      <c r="B6705" s="1" t="s">
        <v>4380</v>
      </c>
      <c r="C6705" s="1" t="s">
        <v>167</v>
      </c>
      <c r="D6705" s="1" t="s">
        <v>168</v>
      </c>
      <c r="E6705" s="1">
        <v>568</v>
      </c>
      <c r="F6705" s="1" t="s">
        <v>36</v>
      </c>
      <c r="G6705" s="1">
        <v>0</v>
      </c>
      <c r="H6705" s="1">
        <v>0</v>
      </c>
      <c r="I6705" s="1">
        <v>0.45799299999999998</v>
      </c>
    </row>
    <row r="6706" spans="1:9" x14ac:dyDescent="0.25">
      <c r="A6706" s="1">
        <v>2600041984</v>
      </c>
      <c r="B6706" s="1" t="s">
        <v>4381</v>
      </c>
      <c r="C6706" s="1" t="s">
        <v>167</v>
      </c>
      <c r="D6706" s="1" t="s">
        <v>168</v>
      </c>
      <c r="E6706" s="1">
        <v>21</v>
      </c>
      <c r="F6706" s="1" t="s">
        <v>36</v>
      </c>
      <c r="G6706" s="1">
        <v>0</v>
      </c>
      <c r="H6706" s="1">
        <v>0</v>
      </c>
      <c r="I6706" s="1">
        <v>127.94190500000001</v>
      </c>
    </row>
    <row r="6707" spans="1:9" x14ac:dyDescent="0.25">
      <c r="A6707" s="1">
        <v>2600041997</v>
      </c>
      <c r="B6707" s="1" t="s">
        <v>4382</v>
      </c>
      <c r="C6707" s="1" t="s">
        <v>130</v>
      </c>
      <c r="D6707" s="1" t="s">
        <v>131</v>
      </c>
      <c r="E6707" s="1">
        <v>20</v>
      </c>
      <c r="F6707" s="1" t="s">
        <v>89</v>
      </c>
      <c r="G6707" s="1">
        <v>0</v>
      </c>
      <c r="H6707" s="1">
        <v>0</v>
      </c>
      <c r="I6707" s="1">
        <v>17.093</v>
      </c>
    </row>
    <row r="6708" spans="1:9" x14ac:dyDescent="0.25">
      <c r="A6708" s="1">
        <v>2600041998</v>
      </c>
      <c r="B6708" s="1" t="s">
        <v>4383</v>
      </c>
      <c r="C6708" s="1" t="s">
        <v>130</v>
      </c>
      <c r="D6708" s="1" t="s">
        <v>131</v>
      </c>
      <c r="E6708" s="1">
        <v>20</v>
      </c>
      <c r="F6708" s="1" t="s">
        <v>89</v>
      </c>
      <c r="G6708" s="1">
        <v>0</v>
      </c>
      <c r="H6708" s="1">
        <v>0</v>
      </c>
      <c r="I6708" s="1">
        <v>16.380500000000001</v>
      </c>
    </row>
    <row r="6709" spans="1:9" x14ac:dyDescent="0.25">
      <c r="A6709" s="1">
        <v>2600041999</v>
      </c>
      <c r="B6709" s="1" t="s">
        <v>4384</v>
      </c>
      <c r="C6709" s="1" t="s">
        <v>130</v>
      </c>
      <c r="D6709" s="1" t="s">
        <v>131</v>
      </c>
      <c r="E6709" s="1">
        <v>20</v>
      </c>
      <c r="F6709" s="1" t="s">
        <v>89</v>
      </c>
      <c r="G6709" s="1">
        <v>0</v>
      </c>
      <c r="H6709" s="1">
        <v>0</v>
      </c>
      <c r="I6709" s="1">
        <v>13.1755</v>
      </c>
    </row>
    <row r="6710" spans="1:9" x14ac:dyDescent="0.25">
      <c r="A6710" s="1">
        <v>2600042008</v>
      </c>
      <c r="B6710" s="1" t="s">
        <v>4385</v>
      </c>
      <c r="C6710" s="1" t="s">
        <v>130</v>
      </c>
      <c r="D6710" s="1" t="s">
        <v>131</v>
      </c>
      <c r="E6710" s="1">
        <v>30</v>
      </c>
      <c r="F6710" s="1" t="s">
        <v>36</v>
      </c>
      <c r="G6710" s="1">
        <v>0</v>
      </c>
      <c r="H6710" s="1">
        <v>0</v>
      </c>
      <c r="I6710" s="3">
        <v>8.14</v>
      </c>
    </row>
    <row r="6711" spans="1:9" x14ac:dyDescent="0.25">
      <c r="A6711" s="1">
        <v>2600042019</v>
      </c>
      <c r="B6711" s="1" t="s">
        <v>4386</v>
      </c>
      <c r="C6711" s="1" t="s">
        <v>130</v>
      </c>
      <c r="D6711" s="1" t="s">
        <v>131</v>
      </c>
      <c r="E6711" s="1">
        <v>6</v>
      </c>
      <c r="F6711" s="1" t="s">
        <v>36</v>
      </c>
      <c r="G6711" s="1">
        <v>0</v>
      </c>
      <c r="H6711" s="1">
        <v>0</v>
      </c>
      <c r="I6711" s="1">
        <v>81.871667000000002</v>
      </c>
    </row>
    <row r="6712" spans="1:9" x14ac:dyDescent="0.25">
      <c r="A6712" s="1">
        <v>2600042020</v>
      </c>
      <c r="B6712" s="1" t="s">
        <v>4387</v>
      </c>
      <c r="C6712" s="1" t="s">
        <v>130</v>
      </c>
      <c r="D6712" s="1" t="s">
        <v>131</v>
      </c>
      <c r="E6712" s="1">
        <v>8</v>
      </c>
      <c r="F6712" s="1" t="s">
        <v>36</v>
      </c>
      <c r="G6712" s="1">
        <v>0</v>
      </c>
      <c r="H6712" s="1">
        <v>0</v>
      </c>
      <c r="I6712" s="1">
        <v>121.3275</v>
      </c>
    </row>
    <row r="6713" spans="1:9" x14ac:dyDescent="0.25">
      <c r="A6713" s="1">
        <v>2600042028</v>
      </c>
      <c r="B6713" s="1" t="s">
        <v>4388</v>
      </c>
      <c r="C6713" s="1" t="s">
        <v>130</v>
      </c>
      <c r="D6713" s="1" t="s">
        <v>131</v>
      </c>
      <c r="E6713" s="1">
        <v>4</v>
      </c>
      <c r="F6713" s="1" t="s">
        <v>36</v>
      </c>
      <c r="G6713" s="1">
        <v>0</v>
      </c>
      <c r="H6713" s="1">
        <v>6</v>
      </c>
      <c r="I6713" s="1">
        <v>289.505</v>
      </c>
    </row>
    <row r="6714" spans="1:9" x14ac:dyDescent="0.25">
      <c r="A6714" s="1">
        <v>2600042137</v>
      </c>
      <c r="B6714" s="1" t="s">
        <v>4389</v>
      </c>
      <c r="C6714" s="1" t="s">
        <v>130</v>
      </c>
      <c r="D6714" s="1" t="s">
        <v>131</v>
      </c>
      <c r="E6714" s="1">
        <v>34.5</v>
      </c>
      <c r="F6714" s="1" t="s">
        <v>3382</v>
      </c>
      <c r="G6714" s="1">
        <v>0</v>
      </c>
      <c r="H6714" s="1">
        <v>0</v>
      </c>
      <c r="I6714" s="1">
        <v>96.073333000000005</v>
      </c>
    </row>
    <row r="6715" spans="1:9" x14ac:dyDescent="0.25">
      <c r="A6715" s="1">
        <v>2600042138</v>
      </c>
      <c r="B6715" s="1" t="s">
        <v>4390</v>
      </c>
      <c r="C6715" s="1" t="s">
        <v>130</v>
      </c>
      <c r="D6715" s="1" t="s">
        <v>131</v>
      </c>
      <c r="E6715" s="1">
        <v>4.8000000000000001E-2</v>
      </c>
      <c r="F6715" s="1" t="s">
        <v>3382</v>
      </c>
      <c r="G6715" s="1">
        <v>0</v>
      </c>
      <c r="H6715" s="1">
        <v>0</v>
      </c>
      <c r="I6715" s="1">
        <v>49.375</v>
      </c>
    </row>
    <row r="6716" spans="1:9" x14ac:dyDescent="0.25">
      <c r="A6716" s="1">
        <v>2600042222</v>
      </c>
      <c r="B6716" s="1" t="s">
        <v>4391</v>
      </c>
      <c r="C6716" s="1" t="s">
        <v>130</v>
      </c>
      <c r="D6716" s="1" t="s">
        <v>131</v>
      </c>
      <c r="E6716" s="1">
        <v>0</v>
      </c>
      <c r="F6716" s="1" t="s">
        <v>36</v>
      </c>
      <c r="G6716" s="1">
        <v>0</v>
      </c>
      <c r="H6716" s="1">
        <v>15</v>
      </c>
      <c r="I6716" s="1">
        <v>7.7</v>
      </c>
    </row>
    <row r="6717" spans="1:9" x14ac:dyDescent="0.25">
      <c r="A6717" s="1">
        <v>2600042228</v>
      </c>
      <c r="B6717" s="1" t="s">
        <v>4392</v>
      </c>
      <c r="C6717" s="1" t="s">
        <v>130</v>
      </c>
      <c r="D6717" s="1" t="s">
        <v>131</v>
      </c>
      <c r="E6717" s="1">
        <v>5</v>
      </c>
      <c r="F6717" s="1" t="s">
        <v>36</v>
      </c>
      <c r="G6717" s="1">
        <v>0</v>
      </c>
      <c r="H6717" s="1">
        <v>0</v>
      </c>
      <c r="I6717" s="1">
        <v>5.3999999999999999E-2</v>
      </c>
    </row>
    <row r="6718" spans="1:9" x14ac:dyDescent="0.25">
      <c r="A6718" s="1">
        <v>2600042250</v>
      </c>
      <c r="B6718" s="1" t="s">
        <v>4393</v>
      </c>
      <c r="C6718" s="1" t="s">
        <v>130</v>
      </c>
      <c r="D6718" s="1" t="s">
        <v>131</v>
      </c>
      <c r="E6718" s="1">
        <v>4</v>
      </c>
      <c r="F6718" s="1" t="s">
        <v>36</v>
      </c>
      <c r="G6718" s="1">
        <v>0</v>
      </c>
      <c r="H6718" s="1">
        <v>0</v>
      </c>
      <c r="I6718" s="3">
        <v>38.134999999999998</v>
      </c>
    </row>
    <row r="6719" spans="1:9" x14ac:dyDescent="0.25">
      <c r="A6719" s="1">
        <v>2600042251</v>
      </c>
      <c r="B6719" s="1" t="s">
        <v>4394</v>
      </c>
      <c r="C6719" s="1" t="s">
        <v>167</v>
      </c>
      <c r="D6719" s="1" t="s">
        <v>168</v>
      </c>
      <c r="E6719" s="1">
        <v>88</v>
      </c>
      <c r="F6719" s="1" t="s">
        <v>36</v>
      </c>
      <c r="G6719" s="1">
        <v>0</v>
      </c>
      <c r="H6719" s="1">
        <v>0</v>
      </c>
      <c r="I6719" s="1">
        <v>113.857727</v>
      </c>
    </row>
    <row r="6720" spans="1:9" x14ac:dyDescent="0.25">
      <c r="A6720" s="1">
        <v>2600042287</v>
      </c>
      <c r="B6720" s="1" t="s">
        <v>4395</v>
      </c>
      <c r="C6720" s="1" t="s">
        <v>130</v>
      </c>
      <c r="D6720" s="1" t="s">
        <v>131</v>
      </c>
      <c r="E6720" s="1">
        <v>1</v>
      </c>
      <c r="F6720" s="1" t="s">
        <v>36</v>
      </c>
      <c r="G6720" s="1">
        <v>0</v>
      </c>
      <c r="H6720" s="1">
        <v>0</v>
      </c>
      <c r="I6720" s="1">
        <v>7.73</v>
      </c>
    </row>
    <row r="6721" spans="1:9" x14ac:dyDescent="0.25">
      <c r="A6721" s="1">
        <v>2600042338</v>
      </c>
      <c r="B6721" s="1" t="s">
        <v>4396</v>
      </c>
      <c r="C6721" s="1" t="s">
        <v>130</v>
      </c>
      <c r="D6721" s="1" t="s">
        <v>131</v>
      </c>
      <c r="E6721" s="1">
        <v>12</v>
      </c>
      <c r="F6721" s="1" t="s">
        <v>36</v>
      </c>
      <c r="G6721" s="1">
        <v>0</v>
      </c>
      <c r="H6721" s="1">
        <v>0</v>
      </c>
      <c r="I6721" s="1">
        <v>36</v>
      </c>
    </row>
    <row r="6722" spans="1:9" x14ac:dyDescent="0.25">
      <c r="A6722" s="1">
        <v>2600042338</v>
      </c>
      <c r="B6722" s="1" t="s">
        <v>4396</v>
      </c>
      <c r="C6722" s="1" t="s">
        <v>167</v>
      </c>
      <c r="D6722" s="1" t="s">
        <v>168</v>
      </c>
      <c r="E6722" s="1">
        <v>2</v>
      </c>
      <c r="F6722" s="1" t="s">
        <v>36</v>
      </c>
      <c r="G6722" s="1">
        <v>0</v>
      </c>
      <c r="H6722" s="1">
        <v>0</v>
      </c>
      <c r="I6722" s="1">
        <v>49.615000000000002</v>
      </c>
    </row>
    <row r="6723" spans="1:9" x14ac:dyDescent="0.25">
      <c r="A6723" s="1">
        <v>2600042351</v>
      </c>
      <c r="B6723" s="1" t="s">
        <v>4397</v>
      </c>
      <c r="C6723" s="1" t="s">
        <v>130</v>
      </c>
      <c r="D6723" s="1" t="s">
        <v>131</v>
      </c>
      <c r="E6723" s="1">
        <v>10</v>
      </c>
      <c r="F6723" s="1" t="s">
        <v>36</v>
      </c>
      <c r="G6723" s="1">
        <v>0</v>
      </c>
      <c r="H6723" s="1">
        <v>0</v>
      </c>
      <c r="I6723" s="3">
        <v>10.91</v>
      </c>
    </row>
    <row r="6724" spans="1:9" x14ac:dyDescent="0.25">
      <c r="A6724" s="1">
        <v>2600042404</v>
      </c>
      <c r="B6724" s="1" t="s">
        <v>4398</v>
      </c>
      <c r="C6724" s="1" t="s">
        <v>130</v>
      </c>
      <c r="D6724" s="1" t="s">
        <v>131</v>
      </c>
      <c r="E6724" s="1">
        <v>1</v>
      </c>
      <c r="F6724" s="1" t="s">
        <v>36</v>
      </c>
      <c r="G6724" s="1">
        <v>0</v>
      </c>
      <c r="H6724" s="1">
        <v>0</v>
      </c>
      <c r="I6724" s="1">
        <v>517.66999999999996</v>
      </c>
    </row>
    <row r="6725" spans="1:9" x14ac:dyDescent="0.25">
      <c r="A6725" s="1">
        <v>2600042447</v>
      </c>
      <c r="B6725" s="1" t="s">
        <v>4399</v>
      </c>
      <c r="C6725" s="1" t="s">
        <v>130</v>
      </c>
      <c r="D6725" s="1" t="s">
        <v>131</v>
      </c>
      <c r="E6725" s="1">
        <v>1</v>
      </c>
      <c r="F6725" s="1" t="s">
        <v>36</v>
      </c>
      <c r="G6725" s="1">
        <v>0</v>
      </c>
      <c r="H6725" s="1">
        <v>0</v>
      </c>
      <c r="I6725" s="1">
        <v>148.27000000000001</v>
      </c>
    </row>
    <row r="6726" spans="1:9" x14ac:dyDescent="0.25">
      <c r="A6726" s="1">
        <v>2600042516</v>
      </c>
      <c r="B6726" s="1" t="s">
        <v>4400</v>
      </c>
      <c r="C6726" s="1" t="s">
        <v>130</v>
      </c>
      <c r="D6726" s="1" t="s">
        <v>131</v>
      </c>
      <c r="E6726" s="1">
        <v>2</v>
      </c>
      <c r="F6726" s="1" t="s">
        <v>36</v>
      </c>
      <c r="G6726" s="1">
        <v>0</v>
      </c>
      <c r="H6726" s="1">
        <v>0</v>
      </c>
      <c r="I6726" s="1">
        <v>48.73</v>
      </c>
    </row>
    <row r="6727" spans="1:9" x14ac:dyDescent="0.25">
      <c r="A6727" s="1">
        <v>2600042551</v>
      </c>
      <c r="B6727" s="1" t="s">
        <v>4401</v>
      </c>
      <c r="C6727" s="1" t="s">
        <v>130</v>
      </c>
      <c r="D6727" s="1" t="s">
        <v>131</v>
      </c>
      <c r="E6727" s="1">
        <v>4</v>
      </c>
      <c r="F6727" s="1" t="s">
        <v>36</v>
      </c>
      <c r="G6727" s="1">
        <v>0</v>
      </c>
      <c r="H6727" s="1">
        <v>0</v>
      </c>
      <c r="I6727" s="1">
        <v>1.5974999999999999</v>
      </c>
    </row>
    <row r="6728" spans="1:9" x14ac:dyDescent="0.25">
      <c r="A6728" s="1">
        <v>2600042567</v>
      </c>
      <c r="B6728" s="1" t="s">
        <v>4402</v>
      </c>
      <c r="C6728" s="1" t="s">
        <v>130</v>
      </c>
      <c r="D6728" s="1" t="s">
        <v>131</v>
      </c>
      <c r="E6728" s="1">
        <v>3</v>
      </c>
      <c r="F6728" s="1" t="s">
        <v>36</v>
      </c>
      <c r="G6728" s="1">
        <v>0</v>
      </c>
      <c r="H6728" s="1">
        <v>0</v>
      </c>
      <c r="I6728" s="1">
        <v>11.293333000000001</v>
      </c>
    </row>
    <row r="6729" spans="1:9" x14ac:dyDescent="0.25">
      <c r="A6729" s="1">
        <v>2600042600</v>
      </c>
      <c r="B6729" s="1" t="s">
        <v>4403</v>
      </c>
      <c r="C6729" s="1" t="s">
        <v>167</v>
      </c>
      <c r="D6729" s="1" t="s">
        <v>168</v>
      </c>
      <c r="E6729" s="1">
        <v>529</v>
      </c>
      <c r="F6729" s="1" t="s">
        <v>36</v>
      </c>
      <c r="G6729" s="1">
        <v>0</v>
      </c>
      <c r="H6729" s="1">
        <v>0</v>
      </c>
      <c r="I6729" s="1">
        <v>3.922174</v>
      </c>
    </row>
    <row r="6730" spans="1:9" x14ac:dyDescent="0.25">
      <c r="A6730" s="1">
        <v>2600042641</v>
      </c>
      <c r="B6730" s="1" t="s">
        <v>4404</v>
      </c>
      <c r="C6730" s="1" t="s">
        <v>130</v>
      </c>
      <c r="D6730" s="1" t="s">
        <v>131</v>
      </c>
      <c r="E6730" s="1">
        <v>40</v>
      </c>
      <c r="F6730" s="1" t="s">
        <v>36</v>
      </c>
      <c r="G6730" s="1">
        <v>0</v>
      </c>
      <c r="H6730" s="1">
        <v>0</v>
      </c>
      <c r="I6730" s="1">
        <v>3.8984999999999999</v>
      </c>
    </row>
    <row r="6731" spans="1:9" x14ac:dyDescent="0.25">
      <c r="A6731" s="1">
        <v>2600042656</v>
      </c>
      <c r="B6731" s="1" t="s">
        <v>4405</v>
      </c>
      <c r="C6731" s="1" t="s">
        <v>130</v>
      </c>
      <c r="D6731" s="1" t="s">
        <v>131</v>
      </c>
      <c r="E6731" s="3">
        <v>2613</v>
      </c>
      <c r="F6731" s="1" t="s">
        <v>36</v>
      </c>
      <c r="G6731" s="1">
        <v>0</v>
      </c>
      <c r="H6731" s="1">
        <v>0</v>
      </c>
      <c r="I6731" s="1">
        <v>0.13700000000000001</v>
      </c>
    </row>
    <row r="6732" spans="1:9" x14ac:dyDescent="0.25">
      <c r="A6732" s="1">
        <v>2600042677</v>
      </c>
      <c r="B6732" s="1" t="s">
        <v>4406</v>
      </c>
      <c r="C6732" s="1" t="s">
        <v>167</v>
      </c>
      <c r="D6732" s="1" t="s">
        <v>168</v>
      </c>
      <c r="E6732" s="1">
        <v>17</v>
      </c>
      <c r="F6732" s="1" t="s">
        <v>36</v>
      </c>
      <c r="G6732" s="1">
        <v>0</v>
      </c>
      <c r="H6732" s="1">
        <v>0</v>
      </c>
      <c r="I6732" s="1">
        <v>75</v>
      </c>
    </row>
    <row r="6733" spans="1:9" x14ac:dyDescent="0.25">
      <c r="A6733" s="1">
        <v>2600042682</v>
      </c>
      <c r="B6733" s="1" t="s">
        <v>4407</v>
      </c>
      <c r="C6733" s="1" t="s">
        <v>167</v>
      </c>
      <c r="D6733" s="1" t="s">
        <v>168</v>
      </c>
      <c r="E6733" s="1">
        <v>180</v>
      </c>
      <c r="F6733" s="1" t="s">
        <v>36</v>
      </c>
      <c r="G6733" s="1">
        <v>0</v>
      </c>
      <c r="H6733" s="1">
        <v>0</v>
      </c>
      <c r="I6733" s="1">
        <v>3.4</v>
      </c>
    </row>
    <row r="6734" spans="1:9" x14ac:dyDescent="0.25">
      <c r="A6734" s="1">
        <v>2600042719</v>
      </c>
      <c r="B6734" s="1" t="s">
        <v>4408</v>
      </c>
      <c r="C6734" s="1" t="s">
        <v>130</v>
      </c>
      <c r="D6734" s="1" t="s">
        <v>131</v>
      </c>
      <c r="E6734" s="1">
        <v>1</v>
      </c>
      <c r="F6734" s="1" t="s">
        <v>36</v>
      </c>
      <c r="G6734" s="1">
        <v>0</v>
      </c>
      <c r="H6734" s="1">
        <v>0</v>
      </c>
      <c r="I6734" s="1">
        <v>363.16</v>
      </c>
    </row>
    <row r="6735" spans="1:9" x14ac:dyDescent="0.25">
      <c r="A6735" s="1">
        <v>2600042727</v>
      </c>
      <c r="B6735" s="1" t="s">
        <v>4409</v>
      </c>
      <c r="C6735" s="1" t="s">
        <v>130</v>
      </c>
      <c r="D6735" s="1" t="s">
        <v>131</v>
      </c>
      <c r="E6735" s="1">
        <v>1</v>
      </c>
      <c r="F6735" s="1" t="s">
        <v>36</v>
      </c>
      <c r="G6735" s="1">
        <v>0</v>
      </c>
      <c r="H6735" s="1">
        <v>0</v>
      </c>
      <c r="I6735" s="1">
        <v>90</v>
      </c>
    </row>
    <row r="6736" spans="1:9" x14ac:dyDescent="0.25">
      <c r="A6736" s="1">
        <v>2600042729</v>
      </c>
      <c r="B6736" s="1" t="s">
        <v>4410</v>
      </c>
      <c r="C6736" s="1" t="s">
        <v>130</v>
      </c>
      <c r="D6736" s="1" t="s">
        <v>131</v>
      </c>
      <c r="E6736" s="1">
        <v>32</v>
      </c>
      <c r="F6736" s="1" t="s">
        <v>36</v>
      </c>
      <c r="G6736" s="1">
        <v>0</v>
      </c>
      <c r="H6736" s="1">
        <v>0</v>
      </c>
      <c r="I6736" s="1">
        <v>3.5762499999999999</v>
      </c>
    </row>
    <row r="6737" spans="1:9" x14ac:dyDescent="0.25">
      <c r="A6737" s="1">
        <v>2600042768</v>
      </c>
      <c r="B6737" s="1" t="s">
        <v>4411</v>
      </c>
      <c r="C6737" s="1" t="s">
        <v>130</v>
      </c>
      <c r="D6737" s="1" t="s">
        <v>131</v>
      </c>
      <c r="E6737" s="1">
        <v>8</v>
      </c>
      <c r="F6737" s="1" t="s">
        <v>4073</v>
      </c>
      <c r="G6737" s="1">
        <v>0</v>
      </c>
      <c r="H6737" s="1">
        <v>0</v>
      </c>
      <c r="I6737" s="1">
        <v>68</v>
      </c>
    </row>
    <row r="6738" spans="1:9" x14ac:dyDescent="0.25">
      <c r="A6738" s="1">
        <v>2600042882</v>
      </c>
      <c r="B6738" s="1" t="s">
        <v>4412</v>
      </c>
      <c r="C6738" s="1" t="s">
        <v>130</v>
      </c>
      <c r="D6738" s="1" t="s">
        <v>131</v>
      </c>
      <c r="E6738" s="1">
        <v>12.192</v>
      </c>
      <c r="F6738" s="1" t="s">
        <v>3382</v>
      </c>
      <c r="G6738" s="1">
        <v>0</v>
      </c>
      <c r="H6738" s="1">
        <v>0</v>
      </c>
      <c r="I6738" s="1">
        <v>181.88238200000001</v>
      </c>
    </row>
    <row r="6739" spans="1:9" x14ac:dyDescent="0.25">
      <c r="A6739" s="1">
        <v>2600042919</v>
      </c>
      <c r="B6739" s="1" t="s">
        <v>4413</v>
      </c>
      <c r="C6739" s="1" t="s">
        <v>130</v>
      </c>
      <c r="D6739" s="1" t="s">
        <v>131</v>
      </c>
      <c r="E6739" s="1">
        <v>0</v>
      </c>
      <c r="F6739" s="1" t="s">
        <v>36</v>
      </c>
      <c r="G6739" s="1">
        <v>4</v>
      </c>
      <c r="H6739" s="1">
        <v>0</v>
      </c>
      <c r="I6739" s="1">
        <v>265.83499999999998</v>
      </c>
    </row>
    <row r="6740" spans="1:9" x14ac:dyDescent="0.25">
      <c r="A6740" s="1">
        <v>2600042919</v>
      </c>
      <c r="B6740" s="1" t="s">
        <v>4413</v>
      </c>
      <c r="C6740" s="1" t="s">
        <v>2333</v>
      </c>
      <c r="D6740" s="1" t="s">
        <v>2334</v>
      </c>
      <c r="E6740" s="1">
        <v>0</v>
      </c>
      <c r="F6740" s="1" t="s">
        <v>36</v>
      </c>
      <c r="G6740" s="1">
        <v>0</v>
      </c>
      <c r="H6740" s="1">
        <v>8</v>
      </c>
      <c r="I6740" s="1">
        <v>0</v>
      </c>
    </row>
    <row r="6741" spans="1:9" x14ac:dyDescent="0.25">
      <c r="A6741" s="1">
        <v>2600042926</v>
      </c>
      <c r="B6741" s="1" t="s">
        <v>4414</v>
      </c>
      <c r="C6741" s="1" t="s">
        <v>167</v>
      </c>
      <c r="D6741" s="1" t="s">
        <v>168</v>
      </c>
      <c r="E6741" s="1">
        <v>12</v>
      </c>
      <c r="F6741" s="1" t="s">
        <v>36</v>
      </c>
      <c r="G6741" s="1">
        <v>0</v>
      </c>
      <c r="H6741" s="1">
        <v>0</v>
      </c>
      <c r="I6741" s="3">
        <v>1052.26</v>
      </c>
    </row>
    <row r="6742" spans="1:9" x14ac:dyDescent="0.25">
      <c r="A6742" s="1">
        <v>2600042988</v>
      </c>
      <c r="B6742" s="1" t="s">
        <v>4415</v>
      </c>
      <c r="C6742" s="1" t="s">
        <v>130</v>
      </c>
      <c r="D6742" s="1" t="s">
        <v>131</v>
      </c>
      <c r="E6742" s="3">
        <v>1000</v>
      </c>
      <c r="F6742" s="1" t="s">
        <v>36</v>
      </c>
      <c r="G6742" s="1">
        <v>0</v>
      </c>
      <c r="H6742" s="1">
        <v>0</v>
      </c>
      <c r="I6742" s="1">
        <v>0.36441000000000001</v>
      </c>
    </row>
    <row r="6743" spans="1:9" x14ac:dyDescent="0.25">
      <c r="A6743" s="1">
        <v>2600042989</v>
      </c>
      <c r="B6743" s="1" t="s">
        <v>4416</v>
      </c>
      <c r="C6743" s="1" t="s">
        <v>167</v>
      </c>
      <c r="D6743" s="1" t="s">
        <v>168</v>
      </c>
      <c r="E6743" s="1">
        <v>36</v>
      </c>
      <c r="F6743" s="1" t="s">
        <v>36</v>
      </c>
      <c r="G6743" s="1">
        <v>0</v>
      </c>
      <c r="H6743" s="1">
        <v>0</v>
      </c>
      <c r="I6743" s="1">
        <v>900</v>
      </c>
    </row>
    <row r="6744" spans="1:9" x14ac:dyDescent="0.25">
      <c r="A6744" s="1">
        <v>2600042990</v>
      </c>
      <c r="B6744" s="1" t="s">
        <v>4417</v>
      </c>
      <c r="C6744" s="1" t="s">
        <v>130</v>
      </c>
      <c r="D6744" s="1" t="s">
        <v>131</v>
      </c>
      <c r="E6744" s="1">
        <v>1</v>
      </c>
      <c r="F6744" s="1" t="s">
        <v>36</v>
      </c>
      <c r="G6744" s="1">
        <v>0</v>
      </c>
      <c r="H6744" s="1">
        <v>0</v>
      </c>
      <c r="I6744" s="1">
        <v>214.93</v>
      </c>
    </row>
    <row r="6745" spans="1:9" x14ac:dyDescent="0.25">
      <c r="A6745" s="1">
        <v>2600043017</v>
      </c>
      <c r="B6745" s="1" t="s">
        <v>4418</v>
      </c>
      <c r="C6745" s="1" t="s">
        <v>130</v>
      </c>
      <c r="D6745" s="1" t="s">
        <v>131</v>
      </c>
      <c r="E6745" s="1">
        <v>3</v>
      </c>
      <c r="F6745" s="1" t="s">
        <v>36</v>
      </c>
      <c r="G6745" s="1">
        <v>0</v>
      </c>
      <c r="H6745" s="1">
        <v>0</v>
      </c>
      <c r="I6745" s="1">
        <v>88.936667</v>
      </c>
    </row>
    <row r="6746" spans="1:9" x14ac:dyDescent="0.25">
      <c r="A6746" s="1">
        <v>2600043018</v>
      </c>
      <c r="B6746" s="1" t="s">
        <v>4419</v>
      </c>
      <c r="C6746" s="1" t="s">
        <v>130</v>
      </c>
      <c r="D6746" s="1" t="s">
        <v>131</v>
      </c>
      <c r="E6746" s="1">
        <v>1</v>
      </c>
      <c r="F6746" s="1" t="s">
        <v>36</v>
      </c>
      <c r="G6746" s="1">
        <v>0</v>
      </c>
      <c r="H6746" s="1">
        <v>0</v>
      </c>
      <c r="I6746" s="1">
        <v>81.709999999999994</v>
      </c>
    </row>
    <row r="6747" spans="1:9" x14ac:dyDescent="0.25">
      <c r="A6747" s="1">
        <v>2600043019</v>
      </c>
      <c r="B6747" s="1" t="s">
        <v>4420</v>
      </c>
      <c r="C6747" s="1" t="s">
        <v>130</v>
      </c>
      <c r="D6747" s="1" t="s">
        <v>131</v>
      </c>
      <c r="E6747" s="1">
        <v>1</v>
      </c>
      <c r="F6747" s="1" t="s">
        <v>36</v>
      </c>
      <c r="G6747" s="1">
        <v>0</v>
      </c>
      <c r="H6747" s="1">
        <v>0</v>
      </c>
      <c r="I6747" s="1">
        <v>81.709999999999994</v>
      </c>
    </row>
    <row r="6748" spans="1:9" x14ac:dyDescent="0.25">
      <c r="A6748" s="1">
        <v>2600043023</v>
      </c>
      <c r="B6748" s="1" t="s">
        <v>4421</v>
      </c>
      <c r="C6748" s="1" t="s">
        <v>130</v>
      </c>
      <c r="D6748" s="1" t="s">
        <v>131</v>
      </c>
      <c r="E6748" s="1">
        <v>123</v>
      </c>
      <c r="F6748" s="1" t="s">
        <v>1015</v>
      </c>
      <c r="G6748" s="1">
        <v>0</v>
      </c>
      <c r="H6748" s="1">
        <v>0</v>
      </c>
      <c r="I6748" s="1">
        <v>16.100000000000001</v>
      </c>
    </row>
    <row r="6749" spans="1:9" x14ac:dyDescent="0.25">
      <c r="A6749" s="1">
        <v>2600043151</v>
      </c>
      <c r="B6749" s="1" t="s">
        <v>4422</v>
      </c>
      <c r="C6749" s="1" t="s">
        <v>130</v>
      </c>
      <c r="D6749" s="1" t="s">
        <v>131</v>
      </c>
      <c r="E6749" s="1">
        <v>417</v>
      </c>
      <c r="F6749" s="1" t="s">
        <v>89</v>
      </c>
      <c r="G6749" s="1">
        <v>0</v>
      </c>
      <c r="H6749" s="1">
        <v>0</v>
      </c>
      <c r="I6749" s="1">
        <v>23.03199</v>
      </c>
    </row>
    <row r="6750" spans="1:9" x14ac:dyDescent="0.25">
      <c r="A6750" s="1">
        <v>2600043179</v>
      </c>
      <c r="B6750" s="1" t="s">
        <v>4423</v>
      </c>
      <c r="C6750" s="1" t="s">
        <v>167</v>
      </c>
      <c r="D6750" s="1" t="s">
        <v>168</v>
      </c>
      <c r="E6750" s="1">
        <v>14</v>
      </c>
      <c r="F6750" s="1" t="s">
        <v>36</v>
      </c>
      <c r="G6750" s="1">
        <v>0</v>
      </c>
      <c r="H6750" s="1">
        <v>0</v>
      </c>
      <c r="I6750" s="1">
        <v>43.723571</v>
      </c>
    </row>
    <row r="6751" spans="1:9" x14ac:dyDescent="0.25">
      <c r="A6751" s="1">
        <v>2600043255</v>
      </c>
      <c r="B6751" s="1" t="s">
        <v>4424</v>
      </c>
      <c r="C6751" s="1" t="s">
        <v>130</v>
      </c>
      <c r="D6751" s="1" t="s">
        <v>131</v>
      </c>
      <c r="E6751" s="1">
        <v>1</v>
      </c>
      <c r="F6751" s="1" t="s">
        <v>3218</v>
      </c>
      <c r="G6751" s="1">
        <v>0</v>
      </c>
      <c r="H6751" s="1">
        <v>0</v>
      </c>
      <c r="I6751" s="1">
        <v>47.67</v>
      </c>
    </row>
    <row r="6752" spans="1:9" x14ac:dyDescent="0.25">
      <c r="A6752" s="1">
        <v>2600043265</v>
      </c>
      <c r="B6752" s="1" t="s">
        <v>4425</v>
      </c>
      <c r="C6752" s="1" t="s">
        <v>130</v>
      </c>
      <c r="D6752" s="1" t="s">
        <v>131</v>
      </c>
      <c r="E6752" s="1">
        <v>1</v>
      </c>
      <c r="F6752" s="1" t="s">
        <v>36</v>
      </c>
      <c r="G6752" s="1">
        <v>0</v>
      </c>
      <c r="H6752" s="1">
        <v>0</v>
      </c>
      <c r="I6752" s="3">
        <v>37.229999999999997</v>
      </c>
    </row>
    <row r="6753" spans="1:9" x14ac:dyDescent="0.25">
      <c r="A6753" s="1">
        <v>2600043294</v>
      </c>
      <c r="B6753" s="1" t="s">
        <v>4426</v>
      </c>
      <c r="C6753" s="1" t="s">
        <v>167</v>
      </c>
      <c r="D6753" s="1" t="s">
        <v>168</v>
      </c>
      <c r="E6753" s="1">
        <v>3</v>
      </c>
      <c r="F6753" s="1" t="s">
        <v>36</v>
      </c>
      <c r="G6753" s="1">
        <v>0</v>
      </c>
      <c r="H6753" s="1">
        <v>0</v>
      </c>
      <c r="I6753" s="1">
        <v>22.106667000000002</v>
      </c>
    </row>
    <row r="6754" spans="1:9" x14ac:dyDescent="0.25">
      <c r="A6754" s="1">
        <v>2600043308</v>
      </c>
      <c r="B6754" s="1" t="s">
        <v>4427</v>
      </c>
      <c r="C6754" s="1" t="s">
        <v>167</v>
      </c>
      <c r="D6754" s="1" t="s">
        <v>168</v>
      </c>
      <c r="E6754" s="1">
        <v>195</v>
      </c>
      <c r="F6754" s="1" t="s">
        <v>36</v>
      </c>
      <c r="G6754" s="1">
        <v>0</v>
      </c>
      <c r="H6754" s="1">
        <v>0</v>
      </c>
      <c r="I6754" s="1">
        <v>3.4808720000000002</v>
      </c>
    </row>
    <row r="6755" spans="1:9" x14ac:dyDescent="0.25">
      <c r="A6755" s="1">
        <v>2600043312</v>
      </c>
      <c r="B6755" s="1" t="s">
        <v>4428</v>
      </c>
      <c r="C6755" s="1" t="s">
        <v>130</v>
      </c>
      <c r="D6755" s="1" t="s">
        <v>131</v>
      </c>
      <c r="E6755" s="1">
        <v>1</v>
      </c>
      <c r="F6755" s="1" t="s">
        <v>36</v>
      </c>
      <c r="G6755" s="1">
        <v>0</v>
      </c>
      <c r="H6755" s="1">
        <v>0</v>
      </c>
      <c r="I6755" s="1">
        <v>47.06</v>
      </c>
    </row>
    <row r="6756" spans="1:9" x14ac:dyDescent="0.25">
      <c r="A6756" s="1">
        <v>2600043392</v>
      </c>
      <c r="B6756" s="1" t="s">
        <v>4429</v>
      </c>
      <c r="C6756" s="1" t="s">
        <v>167</v>
      </c>
      <c r="D6756" s="1" t="s">
        <v>168</v>
      </c>
      <c r="E6756" s="1">
        <v>3</v>
      </c>
      <c r="F6756" s="1" t="s">
        <v>36</v>
      </c>
      <c r="G6756" s="1">
        <v>0</v>
      </c>
      <c r="H6756" s="1">
        <v>0</v>
      </c>
      <c r="I6756" s="1">
        <v>203.04</v>
      </c>
    </row>
    <row r="6757" spans="1:9" x14ac:dyDescent="0.25">
      <c r="A6757" s="1">
        <v>2600043436</v>
      </c>
      <c r="B6757" s="1" t="s">
        <v>4430</v>
      </c>
      <c r="C6757" s="1" t="s">
        <v>167</v>
      </c>
      <c r="D6757" s="1" t="s">
        <v>168</v>
      </c>
      <c r="E6757" s="1">
        <v>68</v>
      </c>
      <c r="F6757" s="1" t="s">
        <v>36</v>
      </c>
      <c r="G6757" s="1">
        <v>0</v>
      </c>
      <c r="H6757" s="1">
        <v>0</v>
      </c>
      <c r="I6757" s="1">
        <v>6.42</v>
      </c>
    </row>
    <row r="6758" spans="1:9" x14ac:dyDescent="0.25">
      <c r="A6758" s="1">
        <v>2600043454</v>
      </c>
      <c r="B6758" s="1" t="s">
        <v>4431</v>
      </c>
      <c r="C6758" s="1" t="s">
        <v>167</v>
      </c>
      <c r="D6758" s="1" t="s">
        <v>168</v>
      </c>
      <c r="E6758" s="1">
        <v>47</v>
      </c>
      <c r="F6758" s="1" t="s">
        <v>36</v>
      </c>
      <c r="G6758" s="1">
        <v>0</v>
      </c>
      <c r="H6758" s="1">
        <v>0</v>
      </c>
      <c r="I6758" s="1">
        <v>18.644043</v>
      </c>
    </row>
    <row r="6759" spans="1:9" x14ac:dyDescent="0.25">
      <c r="A6759" s="1">
        <v>2600043512</v>
      </c>
      <c r="B6759" s="1" t="s">
        <v>4432</v>
      </c>
      <c r="C6759" s="1" t="s">
        <v>130</v>
      </c>
      <c r="D6759" s="1" t="s">
        <v>131</v>
      </c>
      <c r="E6759" s="1">
        <v>12</v>
      </c>
      <c r="F6759" s="1" t="s">
        <v>36</v>
      </c>
      <c r="G6759" s="1">
        <v>0</v>
      </c>
      <c r="H6759" s="1">
        <v>0</v>
      </c>
      <c r="I6759" s="1">
        <v>109.168333</v>
      </c>
    </row>
    <row r="6760" spans="1:9" x14ac:dyDescent="0.25">
      <c r="A6760" s="1">
        <v>2600043513</v>
      </c>
      <c r="B6760" s="1" t="s">
        <v>4433</v>
      </c>
      <c r="C6760" s="1" t="s">
        <v>130</v>
      </c>
      <c r="D6760" s="1" t="s">
        <v>131</v>
      </c>
      <c r="E6760" s="1">
        <v>3</v>
      </c>
      <c r="F6760" s="1" t="s">
        <v>36</v>
      </c>
      <c r="G6760" s="1">
        <v>0</v>
      </c>
      <c r="H6760" s="1">
        <v>0</v>
      </c>
      <c r="I6760" s="1">
        <v>43.85</v>
      </c>
    </row>
    <row r="6761" spans="1:9" x14ac:dyDescent="0.25">
      <c r="A6761" s="1">
        <v>2600043792</v>
      </c>
      <c r="B6761" s="1" t="s">
        <v>4434</v>
      </c>
      <c r="C6761" s="1" t="s">
        <v>130</v>
      </c>
      <c r="D6761" s="1" t="s">
        <v>131</v>
      </c>
      <c r="E6761" s="1">
        <v>4</v>
      </c>
      <c r="F6761" s="1" t="s">
        <v>36</v>
      </c>
      <c r="G6761" s="1">
        <v>0</v>
      </c>
      <c r="H6761" s="1">
        <v>0</v>
      </c>
      <c r="I6761" s="1">
        <v>285</v>
      </c>
    </row>
    <row r="6762" spans="1:9" x14ac:dyDescent="0.25">
      <c r="A6762" s="1">
        <v>2600043828</v>
      </c>
      <c r="B6762" s="1" t="s">
        <v>4435</v>
      </c>
      <c r="C6762" s="1" t="s">
        <v>130</v>
      </c>
      <c r="D6762" s="1" t="s">
        <v>131</v>
      </c>
      <c r="E6762" s="1">
        <v>2</v>
      </c>
      <c r="F6762" s="1" t="s">
        <v>4315</v>
      </c>
      <c r="G6762" s="1">
        <v>0</v>
      </c>
      <c r="H6762" s="1">
        <v>0</v>
      </c>
      <c r="I6762" s="1">
        <v>83.25</v>
      </c>
    </row>
    <row r="6763" spans="1:9" x14ac:dyDescent="0.25">
      <c r="A6763" s="1">
        <v>2600043832</v>
      </c>
      <c r="B6763" s="1" t="s">
        <v>4436</v>
      </c>
      <c r="C6763" s="1" t="s">
        <v>130</v>
      </c>
      <c r="D6763" s="1" t="s">
        <v>131</v>
      </c>
      <c r="E6763" s="1">
        <v>1</v>
      </c>
      <c r="F6763" s="1" t="s">
        <v>36</v>
      </c>
      <c r="G6763" s="1">
        <v>0</v>
      </c>
      <c r="H6763" s="1">
        <v>0</v>
      </c>
      <c r="I6763" s="1">
        <v>59.32</v>
      </c>
    </row>
    <row r="6764" spans="1:9" x14ac:dyDescent="0.25">
      <c r="A6764" s="1">
        <v>2600043835</v>
      </c>
      <c r="B6764" s="1" t="s">
        <v>4437</v>
      </c>
      <c r="C6764" s="1" t="s">
        <v>130</v>
      </c>
      <c r="D6764" s="1" t="s">
        <v>131</v>
      </c>
      <c r="E6764" s="1">
        <v>6</v>
      </c>
      <c r="F6764" s="1" t="s">
        <v>36</v>
      </c>
      <c r="G6764" s="1">
        <v>0</v>
      </c>
      <c r="H6764" s="1">
        <v>0</v>
      </c>
      <c r="I6764" s="1">
        <v>32.438333</v>
      </c>
    </row>
    <row r="6765" spans="1:9" x14ac:dyDescent="0.25">
      <c r="A6765" s="1">
        <v>2600043844</v>
      </c>
      <c r="B6765" s="1" t="s">
        <v>4438</v>
      </c>
      <c r="C6765" s="1" t="s">
        <v>167</v>
      </c>
      <c r="D6765" s="1" t="s">
        <v>168</v>
      </c>
      <c r="E6765" s="1">
        <v>1</v>
      </c>
      <c r="F6765" s="1" t="s">
        <v>36</v>
      </c>
      <c r="G6765" s="1">
        <v>0</v>
      </c>
      <c r="H6765" s="1">
        <v>0</v>
      </c>
      <c r="I6765" s="3">
        <v>25000</v>
      </c>
    </row>
    <row r="6766" spans="1:9" x14ac:dyDescent="0.25">
      <c r="A6766" s="1">
        <v>2600043845</v>
      </c>
      <c r="B6766" s="1" t="s">
        <v>4439</v>
      </c>
      <c r="C6766" s="1" t="s">
        <v>167</v>
      </c>
      <c r="D6766" s="1" t="s">
        <v>168</v>
      </c>
      <c r="E6766" s="1">
        <v>2</v>
      </c>
      <c r="F6766" s="1" t="s">
        <v>36</v>
      </c>
      <c r="G6766" s="1">
        <v>0</v>
      </c>
      <c r="H6766" s="1">
        <v>0</v>
      </c>
      <c r="I6766" s="1">
        <v>760.91</v>
      </c>
    </row>
    <row r="6767" spans="1:9" x14ac:dyDescent="0.25">
      <c r="A6767" s="1">
        <v>2600043892</v>
      </c>
      <c r="B6767" s="1" t="s">
        <v>4440</v>
      </c>
      <c r="C6767" s="1" t="s">
        <v>167</v>
      </c>
      <c r="D6767" s="1" t="s">
        <v>168</v>
      </c>
      <c r="E6767" s="1">
        <v>300</v>
      </c>
      <c r="F6767" s="1" t="s">
        <v>36</v>
      </c>
      <c r="G6767" s="1">
        <v>0</v>
      </c>
      <c r="H6767" s="1">
        <v>0</v>
      </c>
      <c r="I6767" s="1">
        <v>4.5900000000000003E-2</v>
      </c>
    </row>
    <row r="6768" spans="1:9" x14ac:dyDescent="0.25">
      <c r="A6768" s="1">
        <v>2600044057</v>
      </c>
      <c r="B6768" s="1" t="s">
        <v>4441</v>
      </c>
      <c r="C6768" s="1" t="s">
        <v>130</v>
      </c>
      <c r="D6768" s="1" t="s">
        <v>131</v>
      </c>
      <c r="E6768" s="1">
        <v>97.1</v>
      </c>
      <c r="F6768" s="1" t="s">
        <v>89</v>
      </c>
      <c r="G6768" s="1">
        <v>0</v>
      </c>
      <c r="H6768" s="1">
        <v>0</v>
      </c>
      <c r="I6768" s="1">
        <v>22.134912</v>
      </c>
    </row>
    <row r="6769" spans="1:9" x14ac:dyDescent="0.25">
      <c r="A6769" s="1">
        <v>2600044074</v>
      </c>
      <c r="B6769" s="1" t="s">
        <v>4442</v>
      </c>
      <c r="C6769" s="1" t="s">
        <v>130</v>
      </c>
      <c r="D6769" s="1" t="s">
        <v>131</v>
      </c>
      <c r="E6769" s="1">
        <v>6</v>
      </c>
      <c r="F6769" s="1" t="s">
        <v>36</v>
      </c>
      <c r="G6769" s="1">
        <v>0</v>
      </c>
      <c r="H6769" s="1">
        <v>0</v>
      </c>
      <c r="I6769" s="1">
        <v>0.47</v>
      </c>
    </row>
    <row r="6770" spans="1:9" x14ac:dyDescent="0.25">
      <c r="A6770" s="1">
        <v>2600044095</v>
      </c>
      <c r="B6770" s="1" t="s">
        <v>4443</v>
      </c>
      <c r="C6770" s="1" t="s">
        <v>130</v>
      </c>
      <c r="D6770" s="1" t="s">
        <v>131</v>
      </c>
      <c r="E6770" s="1">
        <v>15</v>
      </c>
      <c r="F6770" s="1" t="s">
        <v>36</v>
      </c>
      <c r="G6770" s="1">
        <v>0</v>
      </c>
      <c r="H6770" s="1">
        <v>0</v>
      </c>
      <c r="I6770" s="1">
        <v>6.78</v>
      </c>
    </row>
    <row r="6771" spans="1:9" x14ac:dyDescent="0.25">
      <c r="A6771" s="1">
        <v>2600044105</v>
      </c>
      <c r="B6771" s="1" t="s">
        <v>4444</v>
      </c>
      <c r="C6771" s="1" t="s">
        <v>130</v>
      </c>
      <c r="D6771" s="1" t="s">
        <v>131</v>
      </c>
      <c r="E6771" s="1">
        <v>9</v>
      </c>
      <c r="F6771" s="1" t="s">
        <v>36</v>
      </c>
      <c r="G6771" s="1">
        <v>0</v>
      </c>
      <c r="H6771" s="1">
        <v>0</v>
      </c>
      <c r="I6771" s="1">
        <v>6.4977780000000003</v>
      </c>
    </row>
    <row r="6772" spans="1:9" x14ac:dyDescent="0.25">
      <c r="A6772" s="1">
        <v>2600044158</v>
      </c>
      <c r="B6772" s="1" t="s">
        <v>4445</v>
      </c>
      <c r="C6772" s="1" t="s">
        <v>167</v>
      </c>
      <c r="D6772" s="1" t="s">
        <v>168</v>
      </c>
      <c r="E6772" s="1">
        <v>20</v>
      </c>
      <c r="F6772" s="1" t="s">
        <v>36</v>
      </c>
      <c r="G6772" s="1">
        <v>0</v>
      </c>
      <c r="H6772" s="1">
        <v>0</v>
      </c>
      <c r="I6772" s="1">
        <v>14.317</v>
      </c>
    </row>
    <row r="6773" spans="1:9" x14ac:dyDescent="0.25">
      <c r="A6773" s="1">
        <v>2600044175</v>
      </c>
      <c r="B6773" s="1" t="s">
        <v>4446</v>
      </c>
      <c r="C6773" s="1" t="s">
        <v>167</v>
      </c>
      <c r="D6773" s="1" t="s">
        <v>168</v>
      </c>
      <c r="E6773" s="3">
        <v>0</v>
      </c>
      <c r="F6773" s="1" t="s">
        <v>36</v>
      </c>
      <c r="G6773" s="1">
        <v>1</v>
      </c>
      <c r="H6773" s="1">
        <v>0</v>
      </c>
      <c r="I6773" s="1">
        <v>0</v>
      </c>
    </row>
    <row r="6774" spans="1:9" x14ac:dyDescent="0.25">
      <c r="A6774" s="1">
        <v>2600044175</v>
      </c>
      <c r="B6774" s="1" t="s">
        <v>4446</v>
      </c>
      <c r="C6774" s="1" t="s">
        <v>137</v>
      </c>
      <c r="D6774" s="1" t="s">
        <v>138</v>
      </c>
      <c r="E6774" s="1">
        <v>0</v>
      </c>
      <c r="F6774" s="1" t="s">
        <v>36</v>
      </c>
      <c r="G6774" s="1">
        <v>0</v>
      </c>
      <c r="H6774" s="1">
        <v>1</v>
      </c>
      <c r="I6774" s="1">
        <v>72.543750000000003</v>
      </c>
    </row>
    <row r="6775" spans="1:9" x14ac:dyDescent="0.25">
      <c r="A6775" s="1">
        <v>2600044250</v>
      </c>
      <c r="B6775" s="1" t="s">
        <v>4447</v>
      </c>
      <c r="C6775" s="1" t="s">
        <v>167</v>
      </c>
      <c r="D6775" s="1" t="s">
        <v>168</v>
      </c>
      <c r="E6775" s="1">
        <v>1</v>
      </c>
      <c r="F6775" s="1" t="s">
        <v>36</v>
      </c>
      <c r="G6775" s="1">
        <v>0</v>
      </c>
      <c r="H6775" s="1">
        <v>0</v>
      </c>
      <c r="I6775" s="3">
        <v>2200</v>
      </c>
    </row>
    <row r="6776" spans="1:9" x14ac:dyDescent="0.25">
      <c r="A6776" s="1">
        <v>2600044251</v>
      </c>
      <c r="B6776" s="1" t="s">
        <v>4448</v>
      </c>
      <c r="C6776" s="1" t="s">
        <v>167</v>
      </c>
      <c r="D6776" s="1" t="s">
        <v>168</v>
      </c>
      <c r="E6776" s="1">
        <v>1</v>
      </c>
      <c r="F6776" s="1" t="s">
        <v>36</v>
      </c>
      <c r="G6776" s="1">
        <v>0</v>
      </c>
      <c r="H6776" s="1">
        <v>0</v>
      </c>
      <c r="I6776" s="3">
        <v>2200</v>
      </c>
    </row>
    <row r="6777" spans="1:9" x14ac:dyDescent="0.25">
      <c r="A6777" s="1">
        <v>2600044272</v>
      </c>
      <c r="B6777" s="1" t="s">
        <v>4449</v>
      </c>
      <c r="C6777" s="1" t="s">
        <v>130</v>
      </c>
      <c r="D6777" s="1" t="s">
        <v>131</v>
      </c>
      <c r="E6777" s="1">
        <v>1</v>
      </c>
      <c r="F6777" s="1" t="s">
        <v>3218</v>
      </c>
      <c r="G6777" s="1">
        <v>0</v>
      </c>
      <c r="H6777" s="1">
        <v>0</v>
      </c>
      <c r="I6777" s="1">
        <v>36.44</v>
      </c>
    </row>
    <row r="6778" spans="1:9" x14ac:dyDescent="0.25">
      <c r="A6778" s="1">
        <v>2600044288</v>
      </c>
      <c r="B6778" s="1" t="s">
        <v>4450</v>
      </c>
      <c r="C6778" s="1" t="s">
        <v>130</v>
      </c>
      <c r="D6778" s="1" t="s">
        <v>131</v>
      </c>
      <c r="E6778" s="1">
        <v>1</v>
      </c>
      <c r="F6778" s="1" t="s">
        <v>36</v>
      </c>
      <c r="G6778" s="1">
        <v>0</v>
      </c>
      <c r="H6778" s="1">
        <v>0</v>
      </c>
      <c r="I6778" s="1">
        <v>30.99</v>
      </c>
    </row>
    <row r="6779" spans="1:9" x14ac:dyDescent="0.25">
      <c r="A6779" s="1">
        <v>2600044289</v>
      </c>
      <c r="B6779" s="1" t="s">
        <v>646</v>
      </c>
      <c r="C6779" s="1" t="s">
        <v>130</v>
      </c>
      <c r="D6779" s="1" t="s">
        <v>131</v>
      </c>
      <c r="E6779" s="3">
        <v>10000</v>
      </c>
      <c r="F6779" s="1" t="s">
        <v>36</v>
      </c>
      <c r="G6779" s="1">
        <v>0</v>
      </c>
      <c r="H6779" s="1">
        <v>0</v>
      </c>
      <c r="I6779" s="1">
        <v>1.6375000000000001E-2</v>
      </c>
    </row>
    <row r="6780" spans="1:9" x14ac:dyDescent="0.25">
      <c r="A6780" s="1">
        <v>2600044305</v>
      </c>
      <c r="B6780" s="1" t="s">
        <v>4451</v>
      </c>
      <c r="C6780" s="1" t="s">
        <v>130</v>
      </c>
      <c r="D6780" s="1" t="s">
        <v>131</v>
      </c>
      <c r="E6780" s="1">
        <v>12.192</v>
      </c>
      <c r="F6780" s="1" t="s">
        <v>3382</v>
      </c>
      <c r="G6780" s="1">
        <v>0</v>
      </c>
      <c r="H6780" s="1">
        <v>0</v>
      </c>
      <c r="I6780" s="1">
        <v>75.109908000000004</v>
      </c>
    </row>
    <row r="6781" spans="1:9" x14ac:dyDescent="0.25">
      <c r="A6781" s="1">
        <v>2600044357</v>
      </c>
      <c r="B6781" s="1" t="s">
        <v>4452</v>
      </c>
      <c r="C6781" s="1" t="s">
        <v>130</v>
      </c>
      <c r="D6781" s="1" t="s">
        <v>131</v>
      </c>
      <c r="E6781" s="3">
        <v>2</v>
      </c>
      <c r="F6781" s="1" t="s">
        <v>36</v>
      </c>
      <c r="G6781" s="1">
        <v>0</v>
      </c>
      <c r="H6781" s="1">
        <v>0</v>
      </c>
      <c r="I6781" s="1">
        <v>555.32500000000005</v>
      </c>
    </row>
    <row r="6782" spans="1:9" x14ac:dyDescent="0.25">
      <c r="A6782" s="1">
        <v>2600044359</v>
      </c>
      <c r="B6782" s="1" t="s">
        <v>4453</v>
      </c>
      <c r="C6782" s="1" t="s">
        <v>130</v>
      </c>
      <c r="D6782" s="1" t="s">
        <v>131</v>
      </c>
      <c r="E6782" s="1">
        <v>4</v>
      </c>
      <c r="F6782" s="1" t="s">
        <v>36</v>
      </c>
      <c r="G6782" s="1">
        <v>0</v>
      </c>
      <c r="H6782" s="1">
        <v>0</v>
      </c>
      <c r="I6782" s="1">
        <v>549.45500000000004</v>
      </c>
    </row>
    <row r="6783" spans="1:9" x14ac:dyDescent="0.25">
      <c r="A6783" s="1">
        <v>2600044383</v>
      </c>
      <c r="B6783" s="1" t="s">
        <v>4454</v>
      </c>
      <c r="C6783" s="1" t="s">
        <v>130</v>
      </c>
      <c r="D6783" s="1" t="s">
        <v>131</v>
      </c>
      <c r="E6783" s="1">
        <v>1</v>
      </c>
      <c r="F6783" s="1" t="s">
        <v>36</v>
      </c>
      <c r="G6783" s="1">
        <v>0</v>
      </c>
      <c r="H6783" s="1">
        <v>0</v>
      </c>
      <c r="I6783" s="1">
        <v>33.049999999999997</v>
      </c>
    </row>
    <row r="6784" spans="1:9" x14ac:dyDescent="0.25">
      <c r="A6784" s="1">
        <v>2600044437</v>
      </c>
      <c r="B6784" s="1" t="s">
        <v>4455</v>
      </c>
      <c r="C6784" s="1" t="s">
        <v>130</v>
      </c>
      <c r="D6784" s="1" t="s">
        <v>131</v>
      </c>
      <c r="E6784" s="1">
        <v>3</v>
      </c>
      <c r="F6784" s="1" t="s">
        <v>4073</v>
      </c>
      <c r="G6784" s="1">
        <v>0</v>
      </c>
      <c r="H6784" s="1">
        <v>0</v>
      </c>
      <c r="I6784" s="1">
        <v>141.066667</v>
      </c>
    </row>
    <row r="6785" spans="1:9" x14ac:dyDescent="0.25">
      <c r="A6785" s="1">
        <v>2600044438</v>
      </c>
      <c r="B6785" s="1" t="s">
        <v>4456</v>
      </c>
      <c r="C6785" s="1" t="s">
        <v>130</v>
      </c>
      <c r="D6785" s="1" t="s">
        <v>131</v>
      </c>
      <c r="E6785" s="1">
        <v>3</v>
      </c>
      <c r="F6785" s="1" t="s">
        <v>4073</v>
      </c>
      <c r="G6785" s="1">
        <v>0</v>
      </c>
      <c r="H6785" s="1">
        <v>0</v>
      </c>
      <c r="I6785" s="1">
        <v>169.46333300000001</v>
      </c>
    </row>
    <row r="6786" spans="1:9" x14ac:dyDescent="0.25">
      <c r="A6786" s="1">
        <v>2600044439</v>
      </c>
      <c r="B6786" s="1" t="s">
        <v>4457</v>
      </c>
      <c r="C6786" s="1" t="s">
        <v>130</v>
      </c>
      <c r="D6786" s="1" t="s">
        <v>131</v>
      </c>
      <c r="E6786" s="1">
        <v>2</v>
      </c>
      <c r="F6786" s="1" t="s">
        <v>36</v>
      </c>
      <c r="G6786" s="1">
        <v>0</v>
      </c>
      <c r="H6786" s="1">
        <v>0</v>
      </c>
      <c r="I6786" s="1">
        <v>177.965</v>
      </c>
    </row>
    <row r="6787" spans="1:9" x14ac:dyDescent="0.25">
      <c r="A6787" s="1">
        <v>2600044458</v>
      </c>
      <c r="B6787" s="1" t="s">
        <v>4458</v>
      </c>
      <c r="C6787" s="1" t="s">
        <v>167</v>
      </c>
      <c r="D6787" s="1" t="s">
        <v>168</v>
      </c>
      <c r="E6787" s="3">
        <v>5800</v>
      </c>
      <c r="F6787" s="1" t="s">
        <v>36</v>
      </c>
      <c r="G6787" s="1">
        <v>0</v>
      </c>
      <c r="H6787" s="1">
        <v>0</v>
      </c>
      <c r="I6787" s="1">
        <v>0.13800000000000001</v>
      </c>
    </row>
    <row r="6788" spans="1:9" x14ac:dyDescent="0.25">
      <c r="A6788" s="1">
        <v>2600044495</v>
      </c>
      <c r="B6788" s="1" t="s">
        <v>4459</v>
      </c>
      <c r="C6788" s="1" t="s">
        <v>130</v>
      </c>
      <c r="D6788" s="1" t="s">
        <v>131</v>
      </c>
      <c r="E6788" s="1">
        <v>3</v>
      </c>
      <c r="F6788" s="1" t="s">
        <v>36</v>
      </c>
      <c r="G6788" s="1">
        <v>0</v>
      </c>
      <c r="H6788" s="1">
        <v>0</v>
      </c>
      <c r="I6788" s="1">
        <v>17</v>
      </c>
    </row>
    <row r="6789" spans="1:9" x14ac:dyDescent="0.25">
      <c r="A6789" s="1">
        <v>2600044503</v>
      </c>
      <c r="B6789" s="1" t="s">
        <v>4460</v>
      </c>
      <c r="C6789" s="1" t="s">
        <v>130</v>
      </c>
      <c r="D6789" s="1" t="s">
        <v>131</v>
      </c>
      <c r="E6789" s="1">
        <v>15</v>
      </c>
      <c r="F6789" s="1" t="s">
        <v>36</v>
      </c>
      <c r="G6789" s="1">
        <v>0</v>
      </c>
      <c r="H6789" s="1">
        <v>0</v>
      </c>
      <c r="I6789" s="3">
        <v>2.37</v>
      </c>
    </row>
    <row r="6790" spans="1:9" x14ac:dyDescent="0.25">
      <c r="A6790" s="1">
        <v>2600044525</v>
      </c>
      <c r="B6790" s="1" t="s">
        <v>4461</v>
      </c>
      <c r="C6790" s="1" t="s">
        <v>130</v>
      </c>
      <c r="D6790" s="1" t="s">
        <v>131</v>
      </c>
      <c r="E6790" s="1">
        <v>1</v>
      </c>
      <c r="F6790" s="1" t="s">
        <v>36</v>
      </c>
      <c r="G6790" s="1">
        <v>0</v>
      </c>
      <c r="H6790" s="1">
        <v>0</v>
      </c>
      <c r="I6790" s="1">
        <v>50.85</v>
      </c>
    </row>
    <row r="6791" spans="1:9" x14ac:dyDescent="0.25">
      <c r="A6791" s="1">
        <v>2600044569</v>
      </c>
      <c r="B6791" s="1" t="s">
        <v>4462</v>
      </c>
      <c r="C6791" s="1" t="s">
        <v>130</v>
      </c>
      <c r="D6791" s="1" t="s">
        <v>131</v>
      </c>
      <c r="E6791" s="1">
        <v>1</v>
      </c>
      <c r="F6791" s="1" t="s">
        <v>36</v>
      </c>
      <c r="G6791" s="1">
        <v>0</v>
      </c>
      <c r="H6791" s="1">
        <v>0</v>
      </c>
      <c r="I6791" s="1">
        <v>38.130000000000003</v>
      </c>
    </row>
    <row r="6792" spans="1:9" x14ac:dyDescent="0.25">
      <c r="A6792" s="1">
        <v>2600044629</v>
      </c>
      <c r="B6792" s="1" t="s">
        <v>4463</v>
      </c>
      <c r="C6792" s="1" t="s">
        <v>130</v>
      </c>
      <c r="D6792" s="1" t="s">
        <v>131</v>
      </c>
      <c r="E6792" s="1">
        <v>3</v>
      </c>
      <c r="F6792" s="1" t="s">
        <v>36</v>
      </c>
      <c r="G6792" s="1">
        <v>0</v>
      </c>
      <c r="H6792" s="1">
        <v>0</v>
      </c>
      <c r="I6792" s="1">
        <v>10.5</v>
      </c>
    </row>
    <row r="6793" spans="1:9" x14ac:dyDescent="0.25">
      <c r="A6793" s="1">
        <v>2600044706</v>
      </c>
      <c r="B6793" s="1" t="s">
        <v>4464</v>
      </c>
      <c r="C6793" s="1" t="s">
        <v>130</v>
      </c>
      <c r="D6793" s="1" t="s">
        <v>131</v>
      </c>
      <c r="E6793" s="3">
        <v>14</v>
      </c>
      <c r="F6793" s="1" t="s">
        <v>36</v>
      </c>
      <c r="G6793" s="1">
        <v>0</v>
      </c>
      <c r="H6793" s="1">
        <v>0</v>
      </c>
      <c r="I6793" s="1">
        <v>11.261429</v>
      </c>
    </row>
    <row r="6794" spans="1:9" x14ac:dyDescent="0.25">
      <c r="A6794" s="1">
        <v>2600044709</v>
      </c>
      <c r="B6794" s="1" t="s">
        <v>4465</v>
      </c>
      <c r="C6794" s="1" t="s">
        <v>130</v>
      </c>
      <c r="D6794" s="1" t="s">
        <v>131</v>
      </c>
      <c r="E6794" s="1">
        <v>1</v>
      </c>
      <c r="F6794" s="1" t="s">
        <v>36</v>
      </c>
      <c r="G6794" s="1">
        <v>0</v>
      </c>
      <c r="H6794" s="1">
        <v>0</v>
      </c>
      <c r="I6794" s="1">
        <v>9.01</v>
      </c>
    </row>
    <row r="6795" spans="1:9" x14ac:dyDescent="0.25">
      <c r="A6795" s="1">
        <v>2600044724</v>
      </c>
      <c r="B6795" s="1" t="s">
        <v>4466</v>
      </c>
      <c r="C6795" s="1" t="s">
        <v>130</v>
      </c>
      <c r="D6795" s="1" t="s">
        <v>131</v>
      </c>
      <c r="E6795" s="1">
        <v>12</v>
      </c>
      <c r="F6795" s="1" t="s">
        <v>36</v>
      </c>
      <c r="G6795" s="1">
        <v>0</v>
      </c>
      <c r="H6795" s="1">
        <v>0</v>
      </c>
      <c r="I6795" s="1">
        <v>29.660833</v>
      </c>
    </row>
    <row r="6796" spans="1:9" x14ac:dyDescent="0.25">
      <c r="A6796" s="1">
        <v>2600044742</v>
      </c>
      <c r="B6796" s="1" t="s">
        <v>4467</v>
      </c>
      <c r="C6796" s="1" t="s">
        <v>167</v>
      </c>
      <c r="D6796" s="1" t="s">
        <v>168</v>
      </c>
      <c r="E6796" s="1">
        <v>151</v>
      </c>
      <c r="F6796" s="1" t="s">
        <v>36</v>
      </c>
      <c r="G6796" s="1">
        <v>0</v>
      </c>
      <c r="H6796" s="1">
        <v>0</v>
      </c>
      <c r="I6796" s="1">
        <v>5.9672850000000004</v>
      </c>
    </row>
    <row r="6797" spans="1:9" x14ac:dyDescent="0.25">
      <c r="A6797" s="1">
        <v>2600044743</v>
      </c>
      <c r="B6797" s="1" t="s">
        <v>4468</v>
      </c>
      <c r="C6797" s="1" t="s">
        <v>167</v>
      </c>
      <c r="D6797" s="1" t="s">
        <v>168</v>
      </c>
      <c r="E6797" s="1">
        <v>4</v>
      </c>
      <c r="F6797" s="1" t="s">
        <v>36</v>
      </c>
      <c r="G6797" s="1">
        <v>0</v>
      </c>
      <c r="H6797" s="1">
        <v>0</v>
      </c>
      <c r="I6797" s="1">
        <v>101.1875</v>
      </c>
    </row>
    <row r="6798" spans="1:9" x14ac:dyDescent="0.25">
      <c r="A6798" s="1">
        <v>2600044760</v>
      </c>
      <c r="B6798" s="1" t="s">
        <v>4469</v>
      </c>
      <c r="C6798" s="1" t="s">
        <v>130</v>
      </c>
      <c r="D6798" s="1" t="s">
        <v>131</v>
      </c>
      <c r="E6798" s="1">
        <v>2</v>
      </c>
      <c r="F6798" s="1" t="s">
        <v>36</v>
      </c>
      <c r="G6798" s="1">
        <v>0</v>
      </c>
      <c r="H6798" s="1">
        <v>0</v>
      </c>
      <c r="I6798" s="1">
        <v>205.9</v>
      </c>
    </row>
    <row r="6799" spans="1:9" x14ac:dyDescent="0.25">
      <c r="A6799" s="1">
        <v>2600044767</v>
      </c>
      <c r="B6799" s="1" t="s">
        <v>4470</v>
      </c>
      <c r="C6799" s="1" t="s">
        <v>167</v>
      </c>
      <c r="D6799" s="1" t="s">
        <v>168</v>
      </c>
      <c r="E6799" s="1">
        <v>9</v>
      </c>
      <c r="F6799" s="1" t="s">
        <v>36</v>
      </c>
      <c r="G6799" s="1">
        <v>0</v>
      </c>
      <c r="H6799" s="1">
        <v>0</v>
      </c>
      <c r="I6799" s="1">
        <v>69.016666999999998</v>
      </c>
    </row>
    <row r="6800" spans="1:9" x14ac:dyDescent="0.25">
      <c r="A6800" s="1">
        <v>2600044782</v>
      </c>
      <c r="B6800" s="1" t="s">
        <v>4471</v>
      </c>
      <c r="C6800" s="1" t="s">
        <v>167</v>
      </c>
      <c r="D6800" s="1" t="s">
        <v>168</v>
      </c>
      <c r="E6800" s="1">
        <v>58</v>
      </c>
      <c r="F6800" s="1" t="s">
        <v>36</v>
      </c>
      <c r="G6800" s="1">
        <v>0</v>
      </c>
      <c r="H6800" s="1">
        <v>0</v>
      </c>
      <c r="I6800" s="1">
        <v>7.8</v>
      </c>
    </row>
    <row r="6801" spans="1:9" x14ac:dyDescent="0.25">
      <c r="A6801" s="1">
        <v>2600044813</v>
      </c>
      <c r="B6801" s="1" t="s">
        <v>4472</v>
      </c>
      <c r="C6801" s="1" t="s">
        <v>167</v>
      </c>
      <c r="D6801" s="1" t="s">
        <v>168</v>
      </c>
      <c r="E6801" s="1">
        <v>63</v>
      </c>
      <c r="F6801" s="1" t="s">
        <v>36</v>
      </c>
      <c r="G6801" s="1">
        <v>0</v>
      </c>
      <c r="H6801" s="1">
        <v>0</v>
      </c>
      <c r="I6801" s="1">
        <v>11.3</v>
      </c>
    </row>
    <row r="6802" spans="1:9" x14ac:dyDescent="0.25">
      <c r="A6802" s="1">
        <v>2600044843</v>
      </c>
      <c r="B6802" s="1" t="s">
        <v>4473</v>
      </c>
      <c r="C6802" s="1" t="s">
        <v>130</v>
      </c>
      <c r="D6802" s="1" t="s">
        <v>131</v>
      </c>
      <c r="E6802" s="1">
        <v>400</v>
      </c>
      <c r="F6802" s="1" t="s">
        <v>36</v>
      </c>
      <c r="G6802" s="1">
        <v>0</v>
      </c>
      <c r="H6802" s="1">
        <v>0</v>
      </c>
      <c r="I6802" s="1">
        <v>1.258575</v>
      </c>
    </row>
    <row r="6803" spans="1:9" x14ac:dyDescent="0.25">
      <c r="A6803" s="1">
        <v>2600044843</v>
      </c>
      <c r="B6803" s="1" t="s">
        <v>4473</v>
      </c>
      <c r="C6803" s="1" t="s">
        <v>139</v>
      </c>
      <c r="D6803" s="1" t="s">
        <v>140</v>
      </c>
      <c r="E6803" s="3">
        <v>82000</v>
      </c>
      <c r="F6803" s="1" t="s">
        <v>36</v>
      </c>
      <c r="G6803" s="1">
        <v>0</v>
      </c>
      <c r="H6803" s="1">
        <v>0</v>
      </c>
      <c r="I6803" s="1">
        <v>1.2585679999999999</v>
      </c>
    </row>
    <row r="6804" spans="1:9" x14ac:dyDescent="0.25">
      <c r="A6804" s="1">
        <v>2600044880</v>
      </c>
      <c r="B6804" s="1" t="s">
        <v>4474</v>
      </c>
      <c r="C6804" s="1" t="s">
        <v>167</v>
      </c>
      <c r="D6804" s="1" t="s">
        <v>168</v>
      </c>
      <c r="E6804" s="1">
        <v>70</v>
      </c>
      <c r="F6804" s="1" t="s">
        <v>36</v>
      </c>
      <c r="G6804" s="1">
        <v>0</v>
      </c>
      <c r="H6804" s="1">
        <v>0</v>
      </c>
      <c r="I6804" s="1">
        <v>42</v>
      </c>
    </row>
    <row r="6805" spans="1:9" x14ac:dyDescent="0.25">
      <c r="A6805" s="1">
        <v>2600044881</v>
      </c>
      <c r="B6805" s="1" t="s">
        <v>4475</v>
      </c>
      <c r="C6805" s="1" t="s">
        <v>167</v>
      </c>
      <c r="D6805" s="1" t="s">
        <v>168</v>
      </c>
      <c r="E6805" s="1">
        <v>10</v>
      </c>
      <c r="F6805" s="1" t="s">
        <v>36</v>
      </c>
      <c r="G6805" s="1">
        <v>0</v>
      </c>
      <c r="H6805" s="1">
        <v>0</v>
      </c>
      <c r="I6805" s="1">
        <v>35</v>
      </c>
    </row>
    <row r="6806" spans="1:9" x14ac:dyDescent="0.25">
      <c r="A6806" s="1">
        <v>2600044884</v>
      </c>
      <c r="B6806" s="1" t="s">
        <v>4476</v>
      </c>
      <c r="C6806" s="1" t="s">
        <v>167</v>
      </c>
      <c r="D6806" s="1" t="s">
        <v>168</v>
      </c>
      <c r="E6806" s="1">
        <v>311</v>
      </c>
      <c r="F6806" s="1" t="s">
        <v>36</v>
      </c>
      <c r="G6806" s="1">
        <v>0</v>
      </c>
      <c r="H6806" s="1">
        <v>0</v>
      </c>
      <c r="I6806" s="1">
        <v>5.7722189999999998</v>
      </c>
    </row>
    <row r="6807" spans="1:9" x14ac:dyDescent="0.25">
      <c r="A6807" s="1">
        <v>2600044889</v>
      </c>
      <c r="B6807" s="1" t="s">
        <v>4477</v>
      </c>
      <c r="C6807" s="1" t="s">
        <v>167</v>
      </c>
      <c r="D6807" s="1" t="s">
        <v>168</v>
      </c>
      <c r="E6807" s="1">
        <v>9</v>
      </c>
      <c r="F6807" s="1" t="s">
        <v>36</v>
      </c>
      <c r="G6807" s="1">
        <v>0</v>
      </c>
      <c r="H6807" s="1">
        <v>0</v>
      </c>
      <c r="I6807" s="1">
        <v>275.71444400000001</v>
      </c>
    </row>
    <row r="6808" spans="1:9" x14ac:dyDescent="0.25">
      <c r="A6808" s="1">
        <v>2600044907</v>
      </c>
      <c r="B6808" s="1" t="s">
        <v>4478</v>
      </c>
      <c r="C6808" s="1" t="s">
        <v>130</v>
      </c>
      <c r="D6808" s="1" t="s">
        <v>131</v>
      </c>
      <c r="E6808" s="1">
        <v>1</v>
      </c>
      <c r="F6808" s="1" t="s">
        <v>36</v>
      </c>
      <c r="G6808" s="1">
        <v>0</v>
      </c>
      <c r="H6808" s="1">
        <v>0</v>
      </c>
      <c r="I6808" s="1">
        <v>4.92</v>
      </c>
    </row>
    <row r="6809" spans="1:9" x14ac:dyDescent="0.25">
      <c r="A6809" s="1">
        <v>2600044913</v>
      </c>
      <c r="B6809" s="1" t="s">
        <v>4479</v>
      </c>
      <c r="C6809" s="1" t="s">
        <v>130</v>
      </c>
      <c r="D6809" s="1" t="s">
        <v>131</v>
      </c>
      <c r="E6809" s="1">
        <v>50</v>
      </c>
      <c r="F6809" s="1" t="s">
        <v>36</v>
      </c>
      <c r="G6809" s="1">
        <v>0</v>
      </c>
      <c r="H6809" s="1">
        <v>0</v>
      </c>
      <c r="I6809" s="1">
        <v>38.47</v>
      </c>
    </row>
    <row r="6810" spans="1:9" x14ac:dyDescent="0.25">
      <c r="A6810" s="1">
        <v>2600044941</v>
      </c>
      <c r="B6810" s="1" t="s">
        <v>4480</v>
      </c>
      <c r="C6810" s="1" t="s">
        <v>130</v>
      </c>
      <c r="D6810" s="1" t="s">
        <v>131</v>
      </c>
      <c r="E6810" s="1">
        <v>4</v>
      </c>
      <c r="F6810" s="1" t="s">
        <v>36</v>
      </c>
      <c r="G6810" s="1">
        <v>0</v>
      </c>
      <c r="H6810" s="1">
        <v>0</v>
      </c>
      <c r="I6810" s="1">
        <v>8.4700000000000006</v>
      </c>
    </row>
    <row r="6811" spans="1:9" x14ac:dyDescent="0.25">
      <c r="A6811" s="1">
        <v>2600044973</v>
      </c>
      <c r="B6811" s="1" t="s">
        <v>4481</v>
      </c>
      <c r="C6811" s="1" t="s">
        <v>130</v>
      </c>
      <c r="D6811" s="1" t="s">
        <v>131</v>
      </c>
      <c r="E6811" s="1">
        <v>2</v>
      </c>
      <c r="F6811" s="1" t="s">
        <v>36</v>
      </c>
      <c r="G6811" s="1">
        <v>0</v>
      </c>
      <c r="H6811" s="1">
        <v>0</v>
      </c>
      <c r="I6811" s="1">
        <v>75.900000000000006</v>
      </c>
    </row>
    <row r="6812" spans="1:9" x14ac:dyDescent="0.25">
      <c r="A6812" s="1">
        <v>2600044974</v>
      </c>
      <c r="B6812" s="1" t="s">
        <v>4482</v>
      </c>
      <c r="C6812" s="1" t="s">
        <v>130</v>
      </c>
      <c r="D6812" s="1" t="s">
        <v>131</v>
      </c>
      <c r="E6812" s="1">
        <v>1</v>
      </c>
      <c r="F6812" s="1" t="s">
        <v>36</v>
      </c>
      <c r="G6812" s="1">
        <v>0</v>
      </c>
      <c r="H6812" s="1">
        <v>0</v>
      </c>
      <c r="I6812" s="1">
        <v>272.91000000000003</v>
      </c>
    </row>
    <row r="6813" spans="1:9" x14ac:dyDescent="0.25">
      <c r="A6813" s="1">
        <v>2600044975</v>
      </c>
      <c r="B6813" s="1" t="s">
        <v>4483</v>
      </c>
      <c r="C6813" s="1" t="s">
        <v>130</v>
      </c>
      <c r="D6813" s="1" t="s">
        <v>131</v>
      </c>
      <c r="E6813" s="1">
        <v>1</v>
      </c>
      <c r="F6813" s="1" t="s">
        <v>36</v>
      </c>
      <c r="G6813" s="1">
        <v>0</v>
      </c>
      <c r="H6813" s="1">
        <v>0</v>
      </c>
      <c r="I6813" s="1">
        <v>28.55</v>
      </c>
    </row>
    <row r="6814" spans="1:9" x14ac:dyDescent="0.25">
      <c r="A6814" s="1">
        <v>2600044976</v>
      </c>
      <c r="B6814" s="1" t="s">
        <v>4484</v>
      </c>
      <c r="C6814" s="1" t="s">
        <v>130</v>
      </c>
      <c r="D6814" s="1" t="s">
        <v>131</v>
      </c>
      <c r="E6814" s="1">
        <v>1</v>
      </c>
      <c r="F6814" s="1" t="s">
        <v>36</v>
      </c>
      <c r="G6814" s="1">
        <v>0</v>
      </c>
      <c r="H6814" s="1">
        <v>0</v>
      </c>
      <c r="I6814" s="1">
        <v>29.48</v>
      </c>
    </row>
    <row r="6815" spans="1:9" x14ac:dyDescent="0.25">
      <c r="A6815" s="1">
        <v>2600044977</v>
      </c>
      <c r="B6815" s="1" t="s">
        <v>4485</v>
      </c>
      <c r="C6815" s="1" t="s">
        <v>130</v>
      </c>
      <c r="D6815" s="1" t="s">
        <v>131</v>
      </c>
      <c r="E6815" s="1">
        <v>1</v>
      </c>
      <c r="F6815" s="1" t="s">
        <v>36</v>
      </c>
      <c r="G6815" s="1">
        <v>0</v>
      </c>
      <c r="H6815" s="1">
        <v>0</v>
      </c>
      <c r="I6815" s="1">
        <v>29.48</v>
      </c>
    </row>
    <row r="6816" spans="1:9" x14ac:dyDescent="0.25">
      <c r="A6816" s="1">
        <v>2600044978</v>
      </c>
      <c r="B6816" s="1" t="s">
        <v>4486</v>
      </c>
      <c r="C6816" s="1" t="s">
        <v>130</v>
      </c>
      <c r="D6816" s="1" t="s">
        <v>131</v>
      </c>
      <c r="E6816" s="1">
        <v>1</v>
      </c>
      <c r="F6816" s="1" t="s">
        <v>36</v>
      </c>
      <c r="G6816" s="1">
        <v>0</v>
      </c>
      <c r="H6816" s="1">
        <v>0</v>
      </c>
      <c r="I6816" s="1">
        <v>29.48</v>
      </c>
    </row>
    <row r="6817" spans="1:9" x14ac:dyDescent="0.25">
      <c r="A6817" s="1">
        <v>2600045002</v>
      </c>
      <c r="B6817" s="1" t="s">
        <v>4487</v>
      </c>
      <c r="C6817" s="1" t="s">
        <v>130</v>
      </c>
      <c r="D6817" s="1" t="s">
        <v>131</v>
      </c>
      <c r="E6817" s="1">
        <v>12.192</v>
      </c>
      <c r="F6817" s="1" t="s">
        <v>3382</v>
      </c>
      <c r="G6817" s="1">
        <v>0</v>
      </c>
      <c r="H6817" s="1">
        <v>0</v>
      </c>
      <c r="I6817" s="1">
        <v>110.455217</v>
      </c>
    </row>
    <row r="6818" spans="1:9" x14ac:dyDescent="0.25">
      <c r="A6818" s="1">
        <v>2600045004</v>
      </c>
      <c r="B6818" s="1" t="s">
        <v>4488</v>
      </c>
      <c r="C6818" s="1" t="s">
        <v>167</v>
      </c>
      <c r="D6818" s="1" t="s">
        <v>168</v>
      </c>
      <c r="E6818" s="1">
        <v>357</v>
      </c>
      <c r="F6818" s="1" t="s">
        <v>36</v>
      </c>
      <c r="G6818" s="1">
        <v>0</v>
      </c>
      <c r="H6818" s="1">
        <v>0</v>
      </c>
      <c r="I6818" s="3">
        <v>7.1389079999999998</v>
      </c>
    </row>
    <row r="6819" spans="1:9" x14ac:dyDescent="0.25">
      <c r="A6819" s="1">
        <v>2600045005</v>
      </c>
      <c r="B6819" s="1" t="s">
        <v>4489</v>
      </c>
      <c r="C6819" s="1" t="s">
        <v>167</v>
      </c>
      <c r="D6819" s="1" t="s">
        <v>168</v>
      </c>
      <c r="E6819" s="1">
        <v>31</v>
      </c>
      <c r="F6819" s="1" t="s">
        <v>36</v>
      </c>
      <c r="G6819" s="1">
        <v>0</v>
      </c>
      <c r="H6819" s="1">
        <v>0</v>
      </c>
      <c r="I6819" s="1">
        <v>7.2303230000000003</v>
      </c>
    </row>
    <row r="6820" spans="1:9" x14ac:dyDescent="0.25">
      <c r="A6820" s="1">
        <v>2600045006</v>
      </c>
      <c r="B6820" s="1" t="s">
        <v>4490</v>
      </c>
      <c r="C6820" s="1" t="s">
        <v>167</v>
      </c>
      <c r="D6820" s="1" t="s">
        <v>168</v>
      </c>
      <c r="E6820" s="1">
        <v>57</v>
      </c>
      <c r="F6820" s="1" t="s">
        <v>36</v>
      </c>
      <c r="G6820" s="1">
        <v>0</v>
      </c>
      <c r="H6820" s="1">
        <v>0</v>
      </c>
      <c r="I6820" s="1">
        <v>11.860526</v>
      </c>
    </row>
    <row r="6821" spans="1:9" x14ac:dyDescent="0.25">
      <c r="A6821" s="1">
        <v>2600045007</v>
      </c>
      <c r="B6821" s="1" t="s">
        <v>4491</v>
      </c>
      <c r="C6821" s="1" t="s">
        <v>167</v>
      </c>
      <c r="D6821" s="1" t="s">
        <v>168</v>
      </c>
      <c r="E6821" s="1">
        <v>108</v>
      </c>
      <c r="F6821" s="1" t="s">
        <v>36</v>
      </c>
      <c r="G6821" s="1">
        <v>0</v>
      </c>
      <c r="H6821" s="1">
        <v>0</v>
      </c>
      <c r="I6821" s="1">
        <v>3</v>
      </c>
    </row>
    <row r="6822" spans="1:9" x14ac:dyDescent="0.25">
      <c r="A6822" s="1">
        <v>2600045031</v>
      </c>
      <c r="B6822" s="1" t="s">
        <v>4492</v>
      </c>
      <c r="C6822" s="1" t="s">
        <v>167</v>
      </c>
      <c r="D6822" s="1" t="s">
        <v>168</v>
      </c>
      <c r="E6822" s="1">
        <v>1</v>
      </c>
      <c r="F6822" s="1" t="s">
        <v>36</v>
      </c>
      <c r="G6822" s="1">
        <v>0</v>
      </c>
      <c r="H6822" s="1">
        <v>0</v>
      </c>
      <c r="I6822" s="3">
        <v>6500</v>
      </c>
    </row>
    <row r="6823" spans="1:9" x14ac:dyDescent="0.25">
      <c r="A6823" s="1">
        <v>2600045049</v>
      </c>
      <c r="B6823" s="1" t="s">
        <v>4493</v>
      </c>
      <c r="C6823" s="1" t="s">
        <v>130</v>
      </c>
      <c r="D6823" s="1" t="s">
        <v>131</v>
      </c>
      <c r="E6823" s="1">
        <v>1</v>
      </c>
      <c r="F6823" s="1" t="s">
        <v>36</v>
      </c>
      <c r="G6823" s="1">
        <v>0</v>
      </c>
      <c r="H6823" s="1">
        <v>0</v>
      </c>
      <c r="I6823" s="1">
        <v>184.75</v>
      </c>
    </row>
    <row r="6824" spans="1:9" x14ac:dyDescent="0.25">
      <c r="A6824" s="1">
        <v>2600045051</v>
      </c>
      <c r="B6824" s="1" t="s">
        <v>4494</v>
      </c>
      <c r="C6824" s="1" t="s">
        <v>130</v>
      </c>
      <c r="D6824" s="1" t="s">
        <v>131</v>
      </c>
      <c r="E6824" s="1">
        <v>450</v>
      </c>
      <c r="F6824" s="1" t="s">
        <v>36</v>
      </c>
      <c r="G6824" s="1">
        <v>0</v>
      </c>
      <c r="H6824" s="1">
        <v>0</v>
      </c>
      <c r="I6824" s="1">
        <v>0.975267</v>
      </c>
    </row>
    <row r="6825" spans="1:9" x14ac:dyDescent="0.25">
      <c r="A6825" s="1">
        <v>2600045052</v>
      </c>
      <c r="B6825" s="1" t="s">
        <v>4495</v>
      </c>
      <c r="C6825" s="1" t="s">
        <v>130</v>
      </c>
      <c r="D6825" s="1" t="s">
        <v>131</v>
      </c>
      <c r="E6825" s="1">
        <v>2</v>
      </c>
      <c r="F6825" s="1" t="s">
        <v>36</v>
      </c>
      <c r="G6825" s="1">
        <v>0</v>
      </c>
      <c r="H6825" s="1">
        <v>0</v>
      </c>
      <c r="I6825" s="1">
        <v>84.745000000000005</v>
      </c>
    </row>
    <row r="6826" spans="1:9" x14ac:dyDescent="0.25">
      <c r="A6826" s="1">
        <v>2600045069</v>
      </c>
      <c r="B6826" s="1" t="s">
        <v>4496</v>
      </c>
      <c r="C6826" s="1" t="s">
        <v>130</v>
      </c>
      <c r="D6826" s="1" t="s">
        <v>131</v>
      </c>
      <c r="E6826" s="1">
        <v>37</v>
      </c>
      <c r="F6826" s="1" t="s">
        <v>36</v>
      </c>
      <c r="G6826" s="1">
        <v>0</v>
      </c>
      <c r="H6826" s="1">
        <v>0</v>
      </c>
      <c r="I6826" s="1">
        <v>12.317027</v>
      </c>
    </row>
    <row r="6827" spans="1:9" x14ac:dyDescent="0.25">
      <c r="A6827" s="1">
        <v>2600045114</v>
      </c>
      <c r="B6827" s="1" t="s">
        <v>4497</v>
      </c>
      <c r="C6827" s="1" t="s">
        <v>130</v>
      </c>
      <c r="D6827" s="1" t="s">
        <v>131</v>
      </c>
      <c r="E6827" s="1">
        <v>4</v>
      </c>
      <c r="F6827" s="1" t="s">
        <v>36</v>
      </c>
      <c r="G6827" s="1">
        <v>0</v>
      </c>
      <c r="H6827" s="1">
        <v>0</v>
      </c>
      <c r="I6827" s="1">
        <v>488.03500000000003</v>
      </c>
    </row>
    <row r="6828" spans="1:9" x14ac:dyDescent="0.25">
      <c r="A6828" s="1">
        <v>2600045114</v>
      </c>
      <c r="B6828" s="1" t="s">
        <v>4497</v>
      </c>
      <c r="C6828" s="1" t="s">
        <v>126</v>
      </c>
      <c r="D6828" s="1" t="s">
        <v>127</v>
      </c>
      <c r="E6828" s="1">
        <v>1</v>
      </c>
      <c r="F6828" s="1" t="s">
        <v>36</v>
      </c>
      <c r="G6828" s="1">
        <v>0</v>
      </c>
      <c r="H6828" s="1">
        <v>0</v>
      </c>
      <c r="I6828" s="1">
        <v>542.51</v>
      </c>
    </row>
    <row r="6829" spans="1:9" x14ac:dyDescent="0.25">
      <c r="A6829" s="1">
        <v>2600045115</v>
      </c>
      <c r="B6829" s="1" t="s">
        <v>4498</v>
      </c>
      <c r="C6829" s="1" t="s">
        <v>130</v>
      </c>
      <c r="D6829" s="1" t="s">
        <v>131</v>
      </c>
      <c r="E6829" s="1">
        <v>8</v>
      </c>
      <c r="F6829" s="1" t="s">
        <v>36</v>
      </c>
      <c r="G6829" s="1">
        <v>0</v>
      </c>
      <c r="H6829" s="1">
        <v>0</v>
      </c>
      <c r="I6829" s="1">
        <v>511.16125</v>
      </c>
    </row>
    <row r="6830" spans="1:9" x14ac:dyDescent="0.25">
      <c r="A6830" s="1">
        <v>2600045116</v>
      </c>
      <c r="B6830" s="1" t="s">
        <v>4499</v>
      </c>
      <c r="C6830" s="1" t="s">
        <v>130</v>
      </c>
      <c r="D6830" s="1" t="s">
        <v>131</v>
      </c>
      <c r="E6830" s="1">
        <v>8</v>
      </c>
      <c r="F6830" s="1" t="s">
        <v>36</v>
      </c>
      <c r="G6830" s="1">
        <v>0</v>
      </c>
      <c r="H6830" s="1">
        <v>0</v>
      </c>
      <c r="I6830" s="1">
        <v>534.95624999999995</v>
      </c>
    </row>
    <row r="6831" spans="1:9" x14ac:dyDescent="0.25">
      <c r="A6831" s="1">
        <v>2600045208</v>
      </c>
      <c r="B6831" s="1" t="s">
        <v>4500</v>
      </c>
      <c r="C6831" s="1" t="s">
        <v>130</v>
      </c>
      <c r="D6831" s="1" t="s">
        <v>131</v>
      </c>
      <c r="E6831" s="1">
        <v>42</v>
      </c>
      <c r="F6831" s="1" t="s">
        <v>36</v>
      </c>
      <c r="G6831" s="1">
        <v>0</v>
      </c>
      <c r="H6831" s="1">
        <v>0</v>
      </c>
      <c r="I6831" s="1">
        <v>615.24809500000003</v>
      </c>
    </row>
    <row r="6832" spans="1:9" x14ac:dyDescent="0.25">
      <c r="A6832" s="1">
        <v>2600045209</v>
      </c>
      <c r="B6832" s="1" t="s">
        <v>4501</v>
      </c>
      <c r="C6832" s="1" t="s">
        <v>130</v>
      </c>
      <c r="D6832" s="1" t="s">
        <v>131</v>
      </c>
      <c r="E6832" s="1">
        <v>2</v>
      </c>
      <c r="F6832" s="1" t="s">
        <v>36</v>
      </c>
      <c r="G6832" s="1">
        <v>0</v>
      </c>
      <c r="H6832" s="1">
        <v>0</v>
      </c>
      <c r="I6832" s="1">
        <v>372.5</v>
      </c>
    </row>
    <row r="6833" spans="1:9" x14ac:dyDescent="0.25">
      <c r="A6833" s="1">
        <v>2600045211</v>
      </c>
      <c r="B6833" s="1" t="s">
        <v>4502</v>
      </c>
      <c r="C6833" s="1" t="s">
        <v>167</v>
      </c>
      <c r="D6833" s="1" t="s">
        <v>168</v>
      </c>
      <c r="E6833" s="1">
        <v>176</v>
      </c>
      <c r="F6833" s="1" t="s">
        <v>36</v>
      </c>
      <c r="G6833" s="1">
        <v>0</v>
      </c>
      <c r="H6833" s="1">
        <v>0</v>
      </c>
      <c r="I6833" s="1">
        <v>1.5931820000000001</v>
      </c>
    </row>
    <row r="6834" spans="1:9" x14ac:dyDescent="0.25">
      <c r="A6834" s="1">
        <v>2600045225</v>
      </c>
      <c r="B6834" s="1" t="s">
        <v>4503</v>
      </c>
      <c r="C6834" s="1" t="s">
        <v>167</v>
      </c>
      <c r="D6834" s="1" t="s">
        <v>168</v>
      </c>
      <c r="E6834" s="1">
        <v>101</v>
      </c>
      <c r="F6834" s="1" t="s">
        <v>36</v>
      </c>
      <c r="G6834" s="1">
        <v>0</v>
      </c>
      <c r="H6834" s="1">
        <v>0</v>
      </c>
      <c r="I6834" s="1">
        <v>110</v>
      </c>
    </row>
    <row r="6835" spans="1:9" x14ac:dyDescent="0.25">
      <c r="A6835" s="1">
        <v>2600045231</v>
      </c>
      <c r="B6835" s="1" t="s">
        <v>4504</v>
      </c>
      <c r="C6835" s="1" t="s">
        <v>167</v>
      </c>
      <c r="D6835" s="1" t="s">
        <v>168</v>
      </c>
      <c r="E6835" s="1">
        <v>240</v>
      </c>
      <c r="F6835" s="1" t="s">
        <v>36</v>
      </c>
      <c r="G6835" s="1">
        <v>0</v>
      </c>
      <c r="H6835" s="1">
        <v>0</v>
      </c>
      <c r="I6835" s="1">
        <v>6.5</v>
      </c>
    </row>
    <row r="6836" spans="1:9" x14ac:dyDescent="0.25">
      <c r="A6836" s="1">
        <v>2600045232</v>
      </c>
      <c r="B6836" s="1" t="s">
        <v>4505</v>
      </c>
      <c r="C6836" s="1" t="s">
        <v>167</v>
      </c>
      <c r="D6836" s="1" t="s">
        <v>168</v>
      </c>
      <c r="E6836" s="1">
        <v>124</v>
      </c>
      <c r="F6836" s="1" t="s">
        <v>36</v>
      </c>
      <c r="G6836" s="1">
        <v>0</v>
      </c>
      <c r="H6836" s="1">
        <v>0</v>
      </c>
      <c r="I6836" s="1">
        <v>8.7212899999999998</v>
      </c>
    </row>
    <row r="6837" spans="1:9" x14ac:dyDescent="0.25">
      <c r="A6837" s="1">
        <v>2600045233</v>
      </c>
      <c r="B6837" s="1" t="s">
        <v>4506</v>
      </c>
      <c r="C6837" s="1" t="s">
        <v>167</v>
      </c>
      <c r="D6837" s="1" t="s">
        <v>168</v>
      </c>
      <c r="E6837" s="1">
        <v>163</v>
      </c>
      <c r="F6837" s="1" t="s">
        <v>36</v>
      </c>
      <c r="G6837" s="1">
        <v>0</v>
      </c>
      <c r="H6837" s="1">
        <v>0</v>
      </c>
      <c r="I6837" s="1">
        <v>5.5</v>
      </c>
    </row>
    <row r="6838" spans="1:9" x14ac:dyDescent="0.25">
      <c r="A6838" s="1">
        <v>2600045235</v>
      </c>
      <c r="B6838" s="1" t="s">
        <v>4507</v>
      </c>
      <c r="C6838" s="1" t="s">
        <v>167</v>
      </c>
      <c r="D6838" s="1" t="s">
        <v>168</v>
      </c>
      <c r="E6838" s="1">
        <v>82</v>
      </c>
      <c r="F6838" s="1" t="s">
        <v>36</v>
      </c>
      <c r="G6838" s="1">
        <v>0</v>
      </c>
      <c r="H6838" s="1">
        <v>0</v>
      </c>
      <c r="I6838" s="1">
        <v>12</v>
      </c>
    </row>
    <row r="6839" spans="1:9" x14ac:dyDescent="0.25">
      <c r="A6839" s="1">
        <v>2600045236</v>
      </c>
      <c r="B6839" s="1" t="s">
        <v>4508</v>
      </c>
      <c r="C6839" s="1" t="s">
        <v>167</v>
      </c>
      <c r="D6839" s="1" t="s">
        <v>168</v>
      </c>
      <c r="E6839" s="1">
        <v>154</v>
      </c>
      <c r="F6839" s="1" t="s">
        <v>36</v>
      </c>
      <c r="G6839" s="1">
        <v>0</v>
      </c>
      <c r="H6839" s="1">
        <v>0</v>
      </c>
      <c r="I6839" s="1">
        <v>7.25</v>
      </c>
    </row>
    <row r="6840" spans="1:9" x14ac:dyDescent="0.25">
      <c r="A6840" s="1">
        <v>2600045237</v>
      </c>
      <c r="B6840" s="1" t="s">
        <v>4509</v>
      </c>
      <c r="C6840" s="1" t="s">
        <v>130</v>
      </c>
      <c r="D6840" s="1" t="s">
        <v>131</v>
      </c>
      <c r="E6840" s="1">
        <v>25</v>
      </c>
      <c r="F6840" s="1" t="s">
        <v>36</v>
      </c>
      <c r="G6840" s="1">
        <v>0</v>
      </c>
      <c r="H6840" s="1">
        <v>0</v>
      </c>
      <c r="I6840" s="1">
        <v>100</v>
      </c>
    </row>
    <row r="6841" spans="1:9" x14ac:dyDescent="0.25">
      <c r="A6841" s="1">
        <v>2600045237</v>
      </c>
      <c r="B6841" s="1" t="s">
        <v>4509</v>
      </c>
      <c r="C6841" s="1" t="s">
        <v>167</v>
      </c>
      <c r="D6841" s="1" t="s">
        <v>168</v>
      </c>
      <c r="E6841" s="1">
        <v>42</v>
      </c>
      <c r="F6841" s="1" t="s">
        <v>36</v>
      </c>
      <c r="G6841" s="1">
        <v>0</v>
      </c>
      <c r="H6841" s="1">
        <v>0</v>
      </c>
      <c r="I6841" s="1">
        <v>100.16381</v>
      </c>
    </row>
    <row r="6842" spans="1:9" x14ac:dyDescent="0.25">
      <c r="A6842" s="1">
        <v>2600045238</v>
      </c>
      <c r="B6842" s="1" t="s">
        <v>4510</v>
      </c>
      <c r="C6842" s="1" t="s">
        <v>167</v>
      </c>
      <c r="D6842" s="1" t="s">
        <v>168</v>
      </c>
      <c r="E6842" s="1">
        <v>7</v>
      </c>
      <c r="F6842" s="1" t="s">
        <v>36</v>
      </c>
      <c r="G6842" s="1">
        <v>0</v>
      </c>
      <c r="H6842" s="1">
        <v>0</v>
      </c>
      <c r="I6842" s="1">
        <v>125</v>
      </c>
    </row>
    <row r="6843" spans="1:9" x14ac:dyDescent="0.25">
      <c r="A6843" s="1">
        <v>2600045239</v>
      </c>
      <c r="B6843" s="1" t="s">
        <v>4511</v>
      </c>
      <c r="C6843" s="1" t="s">
        <v>130</v>
      </c>
      <c r="D6843" s="1" t="s">
        <v>131</v>
      </c>
      <c r="E6843" s="1">
        <v>180</v>
      </c>
      <c r="F6843" s="1" t="s">
        <v>36</v>
      </c>
      <c r="G6843" s="1">
        <v>0</v>
      </c>
      <c r="H6843" s="1">
        <v>0</v>
      </c>
      <c r="I6843" s="1">
        <v>3.7</v>
      </c>
    </row>
    <row r="6844" spans="1:9" x14ac:dyDescent="0.25">
      <c r="A6844" s="1">
        <v>2600045239</v>
      </c>
      <c r="B6844" s="1" t="s">
        <v>4511</v>
      </c>
      <c r="C6844" s="1" t="s">
        <v>167</v>
      </c>
      <c r="D6844" s="1" t="s">
        <v>168</v>
      </c>
      <c r="E6844" s="1">
        <v>70</v>
      </c>
      <c r="F6844" s="1" t="s">
        <v>36</v>
      </c>
      <c r="G6844" s="1">
        <v>0</v>
      </c>
      <c r="H6844" s="1">
        <v>0</v>
      </c>
      <c r="I6844" s="1">
        <v>3.7</v>
      </c>
    </row>
    <row r="6845" spans="1:9" x14ac:dyDescent="0.25">
      <c r="A6845" s="1">
        <v>2600045244</v>
      </c>
      <c r="B6845" s="1" t="s">
        <v>4512</v>
      </c>
      <c r="C6845" s="1" t="s">
        <v>130</v>
      </c>
      <c r="D6845" s="1" t="s">
        <v>131</v>
      </c>
      <c r="E6845" s="1">
        <v>2</v>
      </c>
      <c r="F6845" s="1" t="s">
        <v>36</v>
      </c>
      <c r="G6845" s="1">
        <v>2</v>
      </c>
      <c r="H6845" s="1">
        <v>0</v>
      </c>
      <c r="I6845" s="1">
        <v>5.29</v>
      </c>
    </row>
    <row r="6846" spans="1:9" x14ac:dyDescent="0.25">
      <c r="A6846" s="1">
        <v>2600045244</v>
      </c>
      <c r="B6846" s="1" t="s">
        <v>4512</v>
      </c>
      <c r="C6846" s="1" t="s">
        <v>142</v>
      </c>
      <c r="D6846" s="1" t="s">
        <v>143</v>
      </c>
      <c r="E6846" s="1">
        <v>0</v>
      </c>
      <c r="F6846" s="1" t="s">
        <v>36</v>
      </c>
      <c r="G6846" s="1">
        <v>0</v>
      </c>
      <c r="H6846" s="1">
        <v>2</v>
      </c>
      <c r="I6846" s="1">
        <v>5.29</v>
      </c>
    </row>
    <row r="6847" spans="1:9" x14ac:dyDescent="0.25">
      <c r="A6847" s="1">
        <v>2600045245</v>
      </c>
      <c r="B6847" s="1" t="s">
        <v>4513</v>
      </c>
      <c r="C6847" s="1" t="s">
        <v>167</v>
      </c>
      <c r="D6847" s="1" t="s">
        <v>168</v>
      </c>
      <c r="E6847" s="1">
        <v>915</v>
      </c>
      <c r="F6847" s="1" t="s">
        <v>36</v>
      </c>
      <c r="G6847" s="1">
        <v>0</v>
      </c>
      <c r="H6847" s="1">
        <v>0</v>
      </c>
      <c r="I6847" s="1">
        <v>1.5409949999999999</v>
      </c>
    </row>
    <row r="6848" spans="1:9" x14ac:dyDescent="0.25">
      <c r="A6848" s="1">
        <v>2600045248</v>
      </c>
      <c r="B6848" s="1" t="s">
        <v>4514</v>
      </c>
      <c r="C6848" s="1" t="s">
        <v>167</v>
      </c>
      <c r="D6848" s="1" t="s">
        <v>168</v>
      </c>
      <c r="E6848" s="3">
        <v>4400</v>
      </c>
      <c r="F6848" s="1" t="s">
        <v>36</v>
      </c>
      <c r="G6848" s="1">
        <v>0</v>
      </c>
      <c r="H6848" s="1">
        <v>0</v>
      </c>
      <c r="I6848" s="1">
        <v>0.19</v>
      </c>
    </row>
    <row r="6849" spans="1:9" x14ac:dyDescent="0.25">
      <c r="A6849" s="1">
        <v>2600045249</v>
      </c>
      <c r="B6849" s="1" t="s">
        <v>4515</v>
      </c>
      <c r="C6849" s="1" t="s">
        <v>167</v>
      </c>
      <c r="D6849" s="1" t="s">
        <v>168</v>
      </c>
      <c r="E6849" s="1">
        <v>400</v>
      </c>
      <c r="F6849" s="1" t="s">
        <v>36</v>
      </c>
      <c r="G6849" s="1">
        <v>0</v>
      </c>
      <c r="H6849" s="1">
        <v>0</v>
      </c>
      <c r="I6849" s="1">
        <v>0.20649999999999999</v>
      </c>
    </row>
    <row r="6850" spans="1:9" x14ac:dyDescent="0.25">
      <c r="A6850" s="1">
        <v>2600045254</v>
      </c>
      <c r="B6850" s="1" t="s">
        <v>4516</v>
      </c>
      <c r="C6850" s="1" t="s">
        <v>167</v>
      </c>
      <c r="D6850" s="1" t="s">
        <v>168</v>
      </c>
      <c r="E6850" s="3">
        <v>3132</v>
      </c>
      <c r="F6850" s="1" t="s">
        <v>36</v>
      </c>
      <c r="G6850" s="1">
        <v>100</v>
      </c>
      <c r="H6850" s="1">
        <v>0</v>
      </c>
      <c r="I6850" s="1">
        <v>1.26</v>
      </c>
    </row>
    <row r="6851" spans="1:9" x14ac:dyDescent="0.25">
      <c r="A6851" s="1">
        <v>2600045254</v>
      </c>
      <c r="B6851" s="1" t="s">
        <v>4516</v>
      </c>
      <c r="C6851" s="1" t="s">
        <v>137</v>
      </c>
      <c r="D6851" s="1" t="s">
        <v>138</v>
      </c>
      <c r="E6851" s="1">
        <v>300</v>
      </c>
      <c r="F6851" s="1" t="s">
        <v>36</v>
      </c>
      <c r="G6851" s="1">
        <v>0</v>
      </c>
      <c r="H6851" s="1">
        <v>100</v>
      </c>
      <c r="I6851" s="1">
        <v>1.26</v>
      </c>
    </row>
    <row r="6852" spans="1:9" x14ac:dyDescent="0.25">
      <c r="A6852" s="1">
        <v>2600045255</v>
      </c>
      <c r="B6852" s="1" t="s">
        <v>3013</v>
      </c>
      <c r="C6852" s="1" t="s">
        <v>167</v>
      </c>
      <c r="D6852" s="1" t="s">
        <v>168</v>
      </c>
      <c r="E6852" s="3">
        <v>4499</v>
      </c>
      <c r="F6852" s="1" t="s">
        <v>36</v>
      </c>
      <c r="G6852" s="1">
        <v>0</v>
      </c>
      <c r="H6852" s="1">
        <v>0</v>
      </c>
      <c r="I6852" s="1">
        <v>0.73</v>
      </c>
    </row>
    <row r="6853" spans="1:9" x14ac:dyDescent="0.25">
      <c r="A6853" s="1">
        <v>2600045256</v>
      </c>
      <c r="B6853" s="1" t="s">
        <v>4517</v>
      </c>
      <c r="C6853" s="1" t="s">
        <v>167</v>
      </c>
      <c r="D6853" s="1" t="s">
        <v>168</v>
      </c>
      <c r="E6853" s="1">
        <v>50</v>
      </c>
      <c r="F6853" s="1" t="s">
        <v>36</v>
      </c>
      <c r="G6853" s="1">
        <v>0</v>
      </c>
      <c r="H6853" s="1">
        <v>0</v>
      </c>
      <c r="I6853" s="1">
        <v>0.52700000000000002</v>
      </c>
    </row>
    <row r="6854" spans="1:9" x14ac:dyDescent="0.25">
      <c r="A6854" s="1">
        <v>2600045302</v>
      </c>
      <c r="B6854" s="1" t="s">
        <v>4518</v>
      </c>
      <c r="C6854" s="1" t="s">
        <v>130</v>
      </c>
      <c r="D6854" s="1" t="s">
        <v>131</v>
      </c>
      <c r="E6854" s="3">
        <v>1</v>
      </c>
      <c r="F6854" s="1" t="s">
        <v>36</v>
      </c>
      <c r="G6854" s="1">
        <v>0</v>
      </c>
      <c r="H6854" s="1">
        <v>0</v>
      </c>
      <c r="I6854" s="1">
        <v>2.14</v>
      </c>
    </row>
    <row r="6855" spans="1:9" x14ac:dyDescent="0.25">
      <c r="A6855" s="1">
        <v>2600045313</v>
      </c>
      <c r="B6855" s="1" t="s">
        <v>4519</v>
      </c>
      <c r="C6855" s="1" t="s">
        <v>130</v>
      </c>
      <c r="D6855" s="1" t="s">
        <v>131</v>
      </c>
      <c r="E6855" s="1">
        <v>6</v>
      </c>
      <c r="F6855" s="1" t="s">
        <v>36</v>
      </c>
      <c r="G6855" s="1">
        <v>0</v>
      </c>
      <c r="H6855" s="1">
        <v>0</v>
      </c>
      <c r="I6855" s="1">
        <v>0.24333299999999999</v>
      </c>
    </row>
    <row r="6856" spans="1:9" x14ac:dyDescent="0.25">
      <c r="A6856" s="1">
        <v>2600045315</v>
      </c>
      <c r="B6856" s="1" t="s">
        <v>4520</v>
      </c>
      <c r="C6856" s="1" t="s">
        <v>130</v>
      </c>
      <c r="D6856" s="1" t="s">
        <v>131</v>
      </c>
      <c r="E6856" s="1">
        <v>2</v>
      </c>
      <c r="F6856" s="1" t="s">
        <v>36</v>
      </c>
      <c r="G6856" s="1">
        <v>0</v>
      </c>
      <c r="H6856" s="1">
        <v>0</v>
      </c>
      <c r="I6856" s="1">
        <v>0.45500000000000002</v>
      </c>
    </row>
    <row r="6857" spans="1:9" x14ac:dyDescent="0.25">
      <c r="A6857" s="1">
        <v>2600045317</v>
      </c>
      <c r="B6857" s="1" t="s">
        <v>4521</v>
      </c>
      <c r="C6857" s="1" t="s">
        <v>130</v>
      </c>
      <c r="D6857" s="1" t="s">
        <v>131</v>
      </c>
      <c r="E6857" s="1">
        <v>15</v>
      </c>
      <c r="F6857" s="1" t="s">
        <v>36</v>
      </c>
      <c r="G6857" s="1">
        <v>0</v>
      </c>
      <c r="H6857" s="1">
        <v>0</v>
      </c>
      <c r="I6857" s="1">
        <v>2.54</v>
      </c>
    </row>
    <row r="6858" spans="1:9" x14ac:dyDescent="0.25">
      <c r="A6858" s="1">
        <v>2600045318</v>
      </c>
      <c r="B6858" s="1" t="s">
        <v>4522</v>
      </c>
      <c r="C6858" s="1" t="s">
        <v>523</v>
      </c>
      <c r="D6858" s="1" t="s">
        <v>524</v>
      </c>
      <c r="E6858" s="1">
        <v>2E-3</v>
      </c>
      <c r="F6858" s="1" t="s">
        <v>36</v>
      </c>
      <c r="G6858" s="1">
        <v>0</v>
      </c>
      <c r="H6858" s="1">
        <v>0</v>
      </c>
      <c r="I6858" s="1">
        <v>5</v>
      </c>
    </row>
    <row r="6859" spans="1:9" x14ac:dyDescent="0.25">
      <c r="A6859" s="1">
        <v>2600045330</v>
      </c>
      <c r="B6859" s="1" t="s">
        <v>4523</v>
      </c>
      <c r="C6859" s="1" t="s">
        <v>130</v>
      </c>
      <c r="D6859" s="1" t="s">
        <v>131</v>
      </c>
      <c r="E6859" s="1">
        <v>1</v>
      </c>
      <c r="F6859" s="1" t="s">
        <v>36</v>
      </c>
      <c r="G6859" s="1">
        <v>0</v>
      </c>
      <c r="H6859" s="1">
        <v>0</v>
      </c>
      <c r="I6859" s="1">
        <v>92.7</v>
      </c>
    </row>
    <row r="6860" spans="1:9" x14ac:dyDescent="0.25">
      <c r="A6860" s="1">
        <v>2600045331</v>
      </c>
      <c r="B6860" s="1" t="s">
        <v>4524</v>
      </c>
      <c r="C6860" s="1" t="s">
        <v>130</v>
      </c>
      <c r="D6860" s="1" t="s">
        <v>131</v>
      </c>
      <c r="E6860" s="1">
        <v>1</v>
      </c>
      <c r="F6860" s="1" t="s">
        <v>36</v>
      </c>
      <c r="G6860" s="1">
        <v>0</v>
      </c>
      <c r="H6860" s="1">
        <v>0</v>
      </c>
      <c r="I6860" s="1">
        <v>21.03</v>
      </c>
    </row>
    <row r="6861" spans="1:9" x14ac:dyDescent="0.25">
      <c r="A6861" s="1">
        <v>2600045332</v>
      </c>
      <c r="B6861" s="1" t="s">
        <v>4525</v>
      </c>
      <c r="C6861" s="1" t="s">
        <v>130</v>
      </c>
      <c r="D6861" s="1" t="s">
        <v>131</v>
      </c>
      <c r="E6861" s="1">
        <v>4</v>
      </c>
      <c r="F6861" s="1" t="s">
        <v>36</v>
      </c>
      <c r="G6861" s="1">
        <v>0</v>
      </c>
      <c r="H6861" s="1">
        <v>0</v>
      </c>
      <c r="I6861" s="1">
        <v>536.75</v>
      </c>
    </row>
    <row r="6862" spans="1:9" x14ac:dyDescent="0.25">
      <c r="A6862" s="1">
        <v>2600045348</v>
      </c>
      <c r="B6862" s="1" t="s">
        <v>4526</v>
      </c>
      <c r="C6862" s="1" t="s">
        <v>130</v>
      </c>
      <c r="D6862" s="1" t="s">
        <v>131</v>
      </c>
      <c r="E6862" s="1">
        <v>1</v>
      </c>
      <c r="F6862" s="1" t="s">
        <v>36</v>
      </c>
      <c r="G6862" s="1">
        <v>0</v>
      </c>
      <c r="H6862" s="1">
        <v>0</v>
      </c>
      <c r="I6862" s="1">
        <v>211.07</v>
      </c>
    </row>
    <row r="6863" spans="1:9" x14ac:dyDescent="0.25">
      <c r="A6863" s="1">
        <v>2600045355</v>
      </c>
      <c r="B6863" s="1" t="s">
        <v>4527</v>
      </c>
      <c r="C6863" s="1" t="s">
        <v>130</v>
      </c>
      <c r="D6863" s="1" t="s">
        <v>131</v>
      </c>
      <c r="E6863" s="1">
        <v>1</v>
      </c>
      <c r="F6863" s="1" t="s">
        <v>36</v>
      </c>
      <c r="G6863" s="1">
        <v>0</v>
      </c>
      <c r="H6863" s="1">
        <v>0</v>
      </c>
      <c r="I6863" s="1">
        <v>30</v>
      </c>
    </row>
    <row r="6864" spans="1:9" x14ac:dyDescent="0.25">
      <c r="A6864" s="1">
        <v>2600045362</v>
      </c>
      <c r="B6864" s="1" t="s">
        <v>4528</v>
      </c>
      <c r="C6864" s="1" t="s">
        <v>167</v>
      </c>
      <c r="D6864" s="1" t="s">
        <v>168</v>
      </c>
      <c r="E6864" s="1">
        <v>59</v>
      </c>
      <c r="F6864" s="1" t="s">
        <v>36</v>
      </c>
      <c r="G6864" s="1">
        <v>0</v>
      </c>
      <c r="H6864" s="1">
        <v>50</v>
      </c>
      <c r="I6864" s="1">
        <v>20.25</v>
      </c>
    </row>
    <row r="6865" spans="1:9" x14ac:dyDescent="0.25">
      <c r="A6865" s="1">
        <v>2600045363</v>
      </c>
      <c r="B6865" s="1" t="s">
        <v>4529</v>
      </c>
      <c r="C6865" s="1" t="s">
        <v>130</v>
      </c>
      <c r="D6865" s="1" t="s">
        <v>131</v>
      </c>
      <c r="E6865" s="1">
        <v>5</v>
      </c>
      <c r="F6865" s="1" t="s">
        <v>36</v>
      </c>
      <c r="G6865" s="1">
        <v>0</v>
      </c>
      <c r="H6865" s="1">
        <v>0</v>
      </c>
      <c r="I6865" s="1">
        <v>206.012</v>
      </c>
    </row>
    <row r="6866" spans="1:9" x14ac:dyDescent="0.25">
      <c r="A6866" s="1">
        <v>2600045378</v>
      </c>
      <c r="B6866" s="1" t="s">
        <v>4530</v>
      </c>
      <c r="C6866" s="1" t="s">
        <v>130</v>
      </c>
      <c r="D6866" s="1" t="s">
        <v>131</v>
      </c>
      <c r="E6866" s="1">
        <v>263</v>
      </c>
      <c r="F6866" s="1" t="s">
        <v>89</v>
      </c>
      <c r="G6866" s="1">
        <v>0</v>
      </c>
      <c r="H6866" s="1">
        <v>300</v>
      </c>
      <c r="I6866" s="1">
        <v>3.65</v>
      </c>
    </row>
    <row r="6867" spans="1:9" x14ac:dyDescent="0.25">
      <c r="A6867" s="1">
        <v>2600045385</v>
      </c>
      <c r="B6867" s="1" t="s">
        <v>4531</v>
      </c>
      <c r="C6867" s="1" t="s">
        <v>130</v>
      </c>
      <c r="D6867" s="1" t="s">
        <v>131</v>
      </c>
      <c r="E6867" s="1">
        <v>0</v>
      </c>
      <c r="F6867" s="1" t="s">
        <v>36</v>
      </c>
      <c r="G6867" s="1">
        <v>90</v>
      </c>
      <c r="H6867" s="1">
        <v>0</v>
      </c>
      <c r="I6867" s="1">
        <v>1.8883239999999999</v>
      </c>
    </row>
    <row r="6868" spans="1:9" x14ac:dyDescent="0.25">
      <c r="A6868" s="1">
        <v>2600045385</v>
      </c>
      <c r="B6868" s="1" t="s">
        <v>4531</v>
      </c>
      <c r="C6868" s="1" t="s">
        <v>167</v>
      </c>
      <c r="D6868" s="1" t="s">
        <v>168</v>
      </c>
      <c r="E6868" s="3">
        <v>4814</v>
      </c>
      <c r="F6868" s="1" t="s">
        <v>36</v>
      </c>
      <c r="G6868" s="1">
        <v>10</v>
      </c>
      <c r="H6868" s="1">
        <v>0</v>
      </c>
      <c r="I6868" s="1">
        <v>1.841907</v>
      </c>
    </row>
    <row r="6869" spans="1:9" x14ac:dyDescent="0.25">
      <c r="A6869" s="1">
        <v>2600045385</v>
      </c>
      <c r="B6869" s="1" t="s">
        <v>4531</v>
      </c>
      <c r="C6869" s="1" t="s">
        <v>137</v>
      </c>
      <c r="D6869" s="1" t="s">
        <v>138</v>
      </c>
      <c r="E6869" s="1">
        <v>960</v>
      </c>
      <c r="F6869" s="1" t="s">
        <v>36</v>
      </c>
      <c r="G6869" s="1">
        <v>0</v>
      </c>
      <c r="H6869" s="1">
        <v>100</v>
      </c>
      <c r="I6869" s="1">
        <v>1.841917</v>
      </c>
    </row>
    <row r="6870" spans="1:9" x14ac:dyDescent="0.25">
      <c r="A6870" s="1">
        <v>2600045398</v>
      </c>
      <c r="B6870" s="1" t="s">
        <v>4532</v>
      </c>
      <c r="C6870" s="1" t="s">
        <v>523</v>
      </c>
      <c r="D6870" s="1" t="s">
        <v>524</v>
      </c>
      <c r="E6870" s="1">
        <v>8.9999999999999998E-4</v>
      </c>
      <c r="F6870" s="1" t="s">
        <v>36</v>
      </c>
      <c r="G6870" s="1">
        <v>0</v>
      </c>
      <c r="H6870" s="1">
        <v>0</v>
      </c>
      <c r="I6870" s="1">
        <v>544.44444399999998</v>
      </c>
    </row>
    <row r="6871" spans="1:9" x14ac:dyDescent="0.25">
      <c r="A6871" s="1">
        <v>2600045422</v>
      </c>
      <c r="B6871" s="1" t="s">
        <v>4533</v>
      </c>
      <c r="C6871" s="1" t="s">
        <v>167</v>
      </c>
      <c r="D6871" s="1" t="s">
        <v>168</v>
      </c>
      <c r="E6871" s="3">
        <v>8500</v>
      </c>
      <c r="F6871" s="1" t="s">
        <v>36</v>
      </c>
      <c r="G6871" s="1">
        <v>0</v>
      </c>
      <c r="H6871" s="1">
        <v>0</v>
      </c>
      <c r="I6871" s="1">
        <v>0.55000000000000004</v>
      </c>
    </row>
    <row r="6872" spans="1:9" x14ac:dyDescent="0.25">
      <c r="A6872" s="1">
        <v>2600045424</v>
      </c>
      <c r="B6872" s="1" t="s">
        <v>4534</v>
      </c>
      <c r="C6872" s="1" t="s">
        <v>167</v>
      </c>
      <c r="D6872" s="1" t="s">
        <v>168</v>
      </c>
      <c r="E6872" s="1">
        <v>1</v>
      </c>
      <c r="F6872" s="1" t="s">
        <v>36</v>
      </c>
      <c r="G6872" s="1">
        <v>0</v>
      </c>
      <c r="H6872" s="1">
        <v>0</v>
      </c>
      <c r="I6872" s="1">
        <v>195</v>
      </c>
    </row>
    <row r="6873" spans="1:9" x14ac:dyDescent="0.25">
      <c r="A6873" s="1">
        <v>2600045425</v>
      </c>
      <c r="B6873" s="1" t="s">
        <v>4535</v>
      </c>
      <c r="C6873" s="1" t="s">
        <v>167</v>
      </c>
      <c r="D6873" s="1" t="s">
        <v>168</v>
      </c>
      <c r="E6873" s="1">
        <v>611</v>
      </c>
      <c r="F6873" s="1" t="s">
        <v>36</v>
      </c>
      <c r="G6873" s="1">
        <v>0</v>
      </c>
      <c r="H6873" s="1">
        <v>0</v>
      </c>
      <c r="I6873" s="1">
        <v>7.4</v>
      </c>
    </row>
    <row r="6874" spans="1:9" x14ac:dyDescent="0.25">
      <c r="A6874" s="1">
        <v>2600045426</v>
      </c>
      <c r="B6874" s="1" t="s">
        <v>4536</v>
      </c>
      <c r="C6874" s="1" t="s">
        <v>167</v>
      </c>
      <c r="D6874" s="1" t="s">
        <v>168</v>
      </c>
      <c r="E6874" s="1">
        <v>1</v>
      </c>
      <c r="F6874" s="1" t="s">
        <v>36</v>
      </c>
      <c r="G6874" s="1">
        <v>0</v>
      </c>
      <c r="H6874" s="1">
        <v>0</v>
      </c>
      <c r="I6874" s="1">
        <v>18</v>
      </c>
    </row>
    <row r="6875" spans="1:9" x14ac:dyDescent="0.25">
      <c r="A6875" s="1">
        <v>2600045426</v>
      </c>
      <c r="B6875" s="1" t="s">
        <v>4536</v>
      </c>
      <c r="C6875" s="1" t="s">
        <v>137</v>
      </c>
      <c r="D6875" s="1" t="s">
        <v>138</v>
      </c>
      <c r="E6875" s="1">
        <v>8</v>
      </c>
      <c r="F6875" s="1" t="s">
        <v>36</v>
      </c>
      <c r="G6875" s="1">
        <v>0</v>
      </c>
      <c r="H6875" s="3">
        <v>0</v>
      </c>
      <c r="I6875" s="1">
        <v>18</v>
      </c>
    </row>
    <row r="6876" spans="1:9" x14ac:dyDescent="0.25">
      <c r="A6876" s="1">
        <v>2600045427</v>
      </c>
      <c r="B6876" s="1" t="s">
        <v>4537</v>
      </c>
      <c r="C6876" s="1" t="s">
        <v>167</v>
      </c>
      <c r="D6876" s="1" t="s">
        <v>168</v>
      </c>
      <c r="E6876" s="1">
        <v>12</v>
      </c>
      <c r="F6876" s="1" t="s">
        <v>36</v>
      </c>
      <c r="G6876" s="1">
        <v>0</v>
      </c>
      <c r="H6876" s="1">
        <v>0</v>
      </c>
      <c r="I6876" s="1">
        <v>15</v>
      </c>
    </row>
    <row r="6877" spans="1:9" x14ac:dyDescent="0.25">
      <c r="A6877" s="1">
        <v>2600045428</v>
      </c>
      <c r="B6877" s="1" t="s">
        <v>4538</v>
      </c>
      <c r="C6877" s="1" t="s">
        <v>167</v>
      </c>
      <c r="D6877" s="1" t="s">
        <v>168</v>
      </c>
      <c r="E6877" s="1">
        <v>30</v>
      </c>
      <c r="F6877" s="1" t="s">
        <v>36</v>
      </c>
      <c r="G6877" s="1">
        <v>0</v>
      </c>
      <c r="H6877" s="1">
        <v>0</v>
      </c>
      <c r="I6877" s="1">
        <v>18</v>
      </c>
    </row>
    <row r="6878" spans="1:9" x14ac:dyDescent="0.25">
      <c r="A6878" s="1">
        <v>2600045429</v>
      </c>
      <c r="B6878" s="1" t="s">
        <v>4539</v>
      </c>
      <c r="C6878" s="1" t="s">
        <v>167</v>
      </c>
      <c r="D6878" s="1" t="s">
        <v>168</v>
      </c>
      <c r="E6878" s="1">
        <v>37</v>
      </c>
      <c r="F6878" s="1" t="s">
        <v>36</v>
      </c>
      <c r="G6878" s="1">
        <v>0</v>
      </c>
      <c r="H6878" s="1">
        <v>0</v>
      </c>
      <c r="I6878" s="1">
        <v>6</v>
      </c>
    </row>
    <row r="6879" spans="1:9" x14ac:dyDescent="0.25">
      <c r="A6879" s="1">
        <v>2600045430</v>
      </c>
      <c r="B6879" s="1" t="s">
        <v>4540</v>
      </c>
      <c r="C6879" s="1" t="s">
        <v>167</v>
      </c>
      <c r="D6879" s="1" t="s">
        <v>168</v>
      </c>
      <c r="E6879" s="1">
        <v>159</v>
      </c>
      <c r="F6879" s="1" t="s">
        <v>36</v>
      </c>
      <c r="G6879" s="1">
        <v>0</v>
      </c>
      <c r="H6879" s="1">
        <v>0</v>
      </c>
      <c r="I6879" s="1">
        <v>7.5</v>
      </c>
    </row>
    <row r="6880" spans="1:9" x14ac:dyDescent="0.25">
      <c r="A6880" s="1">
        <v>2600045431</v>
      </c>
      <c r="B6880" s="1" t="s">
        <v>4541</v>
      </c>
      <c r="C6880" s="1" t="s">
        <v>167</v>
      </c>
      <c r="D6880" s="1" t="s">
        <v>168</v>
      </c>
      <c r="E6880" s="1">
        <v>51</v>
      </c>
      <c r="F6880" s="1" t="s">
        <v>36</v>
      </c>
      <c r="G6880" s="1">
        <v>0</v>
      </c>
      <c r="H6880" s="1">
        <v>0</v>
      </c>
      <c r="I6880" s="1">
        <v>5.3</v>
      </c>
    </row>
    <row r="6881" spans="1:9" x14ac:dyDescent="0.25">
      <c r="A6881" s="1">
        <v>2600045434</v>
      </c>
      <c r="B6881" s="1" t="s">
        <v>4542</v>
      </c>
      <c r="C6881" s="1" t="s">
        <v>130</v>
      </c>
      <c r="D6881" s="1" t="s">
        <v>131</v>
      </c>
      <c r="E6881" s="1">
        <v>14</v>
      </c>
      <c r="F6881" s="1" t="s">
        <v>36</v>
      </c>
      <c r="G6881" s="1">
        <v>0</v>
      </c>
      <c r="H6881" s="1">
        <v>0</v>
      </c>
      <c r="I6881" s="1">
        <v>60.395000000000003</v>
      </c>
    </row>
    <row r="6882" spans="1:9" x14ac:dyDescent="0.25">
      <c r="A6882" s="1">
        <v>2600045444</v>
      </c>
      <c r="B6882" s="1" t="s">
        <v>4543</v>
      </c>
      <c r="C6882" s="1" t="s">
        <v>130</v>
      </c>
      <c r="D6882" s="1" t="s">
        <v>131</v>
      </c>
      <c r="E6882" s="1">
        <v>7</v>
      </c>
      <c r="F6882" s="1" t="s">
        <v>36</v>
      </c>
      <c r="G6882" s="1">
        <v>0</v>
      </c>
      <c r="H6882" s="1">
        <v>0</v>
      </c>
      <c r="I6882" s="1">
        <v>450.25285700000001</v>
      </c>
    </row>
    <row r="6883" spans="1:9" x14ac:dyDescent="0.25">
      <c r="A6883" s="1">
        <v>2600045445</v>
      </c>
      <c r="B6883" s="1" t="s">
        <v>4544</v>
      </c>
      <c r="C6883" s="1" t="s">
        <v>130</v>
      </c>
      <c r="D6883" s="1" t="s">
        <v>131</v>
      </c>
      <c r="E6883" s="1">
        <v>6</v>
      </c>
      <c r="F6883" s="1" t="s">
        <v>36</v>
      </c>
      <c r="G6883" s="1">
        <v>0</v>
      </c>
      <c r="H6883" s="1">
        <v>0</v>
      </c>
      <c r="I6883" s="1">
        <v>76.343333000000001</v>
      </c>
    </row>
    <row r="6884" spans="1:9" x14ac:dyDescent="0.25">
      <c r="A6884" s="1">
        <v>2600045455</v>
      </c>
      <c r="B6884" s="1" t="s">
        <v>4545</v>
      </c>
      <c r="C6884" s="1" t="s">
        <v>130</v>
      </c>
      <c r="D6884" s="1" t="s">
        <v>131</v>
      </c>
      <c r="E6884" s="1">
        <v>5</v>
      </c>
      <c r="F6884" s="1" t="s">
        <v>36</v>
      </c>
      <c r="G6884" s="1">
        <v>0</v>
      </c>
      <c r="H6884" s="1">
        <v>0</v>
      </c>
      <c r="I6884" s="1">
        <v>152.09800000000001</v>
      </c>
    </row>
    <row r="6885" spans="1:9" x14ac:dyDescent="0.25">
      <c r="A6885" s="1">
        <v>2600045460</v>
      </c>
      <c r="B6885" s="1" t="s">
        <v>4546</v>
      </c>
      <c r="C6885" s="1" t="s">
        <v>523</v>
      </c>
      <c r="D6885" s="1" t="s">
        <v>524</v>
      </c>
      <c r="E6885" s="1">
        <v>0</v>
      </c>
      <c r="F6885" s="1" t="s">
        <v>36</v>
      </c>
      <c r="G6885" s="1">
        <v>0</v>
      </c>
      <c r="H6885" s="1">
        <v>1</v>
      </c>
      <c r="I6885" s="1">
        <v>0</v>
      </c>
    </row>
    <row r="6886" spans="1:9" x14ac:dyDescent="0.25">
      <c r="A6886" s="1">
        <v>2600045463</v>
      </c>
      <c r="B6886" s="1" t="s">
        <v>4547</v>
      </c>
      <c r="C6886" s="1" t="s">
        <v>130</v>
      </c>
      <c r="D6886" s="1" t="s">
        <v>131</v>
      </c>
      <c r="E6886" s="1">
        <v>1</v>
      </c>
      <c r="F6886" s="1" t="s">
        <v>36</v>
      </c>
      <c r="G6886" s="1">
        <v>0</v>
      </c>
      <c r="H6886" s="1">
        <v>0</v>
      </c>
      <c r="I6886" s="1">
        <v>9.5</v>
      </c>
    </row>
    <row r="6887" spans="1:9" x14ac:dyDescent="0.25">
      <c r="A6887" s="1">
        <v>2600045473</v>
      </c>
      <c r="B6887" s="1" t="s">
        <v>4548</v>
      </c>
      <c r="C6887" s="1" t="s">
        <v>130</v>
      </c>
      <c r="D6887" s="1" t="s">
        <v>131</v>
      </c>
      <c r="E6887" s="1">
        <v>3</v>
      </c>
      <c r="F6887" s="1" t="s">
        <v>36</v>
      </c>
      <c r="G6887" s="1">
        <v>0</v>
      </c>
      <c r="H6887" s="1">
        <v>0</v>
      </c>
      <c r="I6887" s="1">
        <v>2.12</v>
      </c>
    </row>
    <row r="6888" spans="1:9" x14ac:dyDescent="0.25">
      <c r="A6888" s="1">
        <v>2600045474</v>
      </c>
      <c r="B6888" s="1" t="s">
        <v>4549</v>
      </c>
      <c r="C6888" s="1" t="s">
        <v>130</v>
      </c>
      <c r="D6888" s="1" t="s">
        <v>131</v>
      </c>
      <c r="E6888" s="1">
        <v>8</v>
      </c>
      <c r="F6888" s="1" t="s">
        <v>3382</v>
      </c>
      <c r="G6888" s="1">
        <v>0</v>
      </c>
      <c r="H6888" s="1">
        <v>0</v>
      </c>
      <c r="I6888" s="1">
        <v>2.54</v>
      </c>
    </row>
    <row r="6889" spans="1:9" x14ac:dyDescent="0.25">
      <c r="A6889" s="1">
        <v>2600045476</v>
      </c>
      <c r="B6889" s="1" t="s">
        <v>4550</v>
      </c>
      <c r="C6889" s="1" t="s">
        <v>523</v>
      </c>
      <c r="D6889" s="1" t="s">
        <v>524</v>
      </c>
      <c r="E6889" s="1">
        <v>0</v>
      </c>
      <c r="F6889" s="1" t="s">
        <v>36</v>
      </c>
      <c r="G6889" s="1">
        <v>0</v>
      </c>
      <c r="H6889" s="1">
        <v>1</v>
      </c>
      <c r="I6889" s="1">
        <v>0</v>
      </c>
    </row>
    <row r="6890" spans="1:9" x14ac:dyDescent="0.25">
      <c r="A6890" s="1">
        <v>2600050074</v>
      </c>
      <c r="B6890" s="1" t="s">
        <v>4551</v>
      </c>
      <c r="C6890" s="1" t="s">
        <v>523</v>
      </c>
      <c r="D6890" s="1" t="s">
        <v>524</v>
      </c>
      <c r="E6890" s="1">
        <v>1</v>
      </c>
      <c r="F6890" s="1" t="s">
        <v>89</v>
      </c>
      <c r="G6890" s="1">
        <v>0</v>
      </c>
      <c r="H6890" s="1">
        <v>0</v>
      </c>
      <c r="I6890" s="1">
        <v>34.29</v>
      </c>
    </row>
    <row r="6891" spans="1:9" x14ac:dyDescent="0.25">
      <c r="A6891" s="1">
        <v>2600050075</v>
      </c>
      <c r="B6891" s="1" t="s">
        <v>4552</v>
      </c>
      <c r="C6891" s="1" t="s">
        <v>523</v>
      </c>
      <c r="D6891" s="1" t="s">
        <v>524</v>
      </c>
      <c r="E6891" s="1">
        <v>0.75</v>
      </c>
      <c r="F6891" s="1" t="s">
        <v>3218</v>
      </c>
      <c r="G6891" s="1">
        <v>0</v>
      </c>
      <c r="H6891" s="1">
        <v>0</v>
      </c>
      <c r="I6891" s="1">
        <v>88.026667000000003</v>
      </c>
    </row>
    <row r="6892" spans="1:9" x14ac:dyDescent="0.25">
      <c r="A6892" s="1">
        <v>2600050098</v>
      </c>
      <c r="B6892" s="1" t="s">
        <v>4553</v>
      </c>
      <c r="C6892" s="1" t="s">
        <v>523</v>
      </c>
      <c r="D6892" s="1" t="s">
        <v>524</v>
      </c>
      <c r="E6892" s="1">
        <v>10.1</v>
      </c>
      <c r="F6892" s="1" t="s">
        <v>89</v>
      </c>
      <c r="G6892" s="1">
        <v>0</v>
      </c>
      <c r="H6892" s="1">
        <v>2</v>
      </c>
      <c r="I6892" s="1">
        <v>28.173266999999999</v>
      </c>
    </row>
    <row r="6893" spans="1:9" x14ac:dyDescent="0.25">
      <c r="A6893" s="1">
        <v>2600050338</v>
      </c>
      <c r="B6893" s="1" t="s">
        <v>4554</v>
      </c>
      <c r="C6893" s="1" t="s">
        <v>130</v>
      </c>
      <c r="D6893" s="1" t="s">
        <v>131</v>
      </c>
      <c r="E6893" s="1">
        <v>2</v>
      </c>
      <c r="F6893" s="1" t="s">
        <v>36</v>
      </c>
      <c r="G6893" s="1">
        <v>0</v>
      </c>
      <c r="H6893" s="1">
        <v>0</v>
      </c>
      <c r="I6893" s="1">
        <v>90.334999999999994</v>
      </c>
    </row>
    <row r="6894" spans="1:9" x14ac:dyDescent="0.25">
      <c r="A6894" s="1">
        <v>2600050386</v>
      </c>
      <c r="B6894" s="1" t="s">
        <v>4555</v>
      </c>
      <c r="C6894" s="1" t="s">
        <v>523</v>
      </c>
      <c r="D6894" s="1" t="s">
        <v>524</v>
      </c>
      <c r="E6894" s="1">
        <v>17.5</v>
      </c>
      <c r="F6894" s="1" t="s">
        <v>3209</v>
      </c>
      <c r="G6894" s="1">
        <v>0</v>
      </c>
      <c r="H6894" s="1">
        <v>0</v>
      </c>
      <c r="I6894" s="1">
        <v>15.403428999999999</v>
      </c>
    </row>
    <row r="6895" spans="1:9" x14ac:dyDescent="0.25">
      <c r="A6895" s="1">
        <v>2600050423</v>
      </c>
      <c r="B6895" s="1" t="s">
        <v>4556</v>
      </c>
      <c r="C6895" s="1" t="s">
        <v>523</v>
      </c>
      <c r="D6895" s="1" t="s">
        <v>524</v>
      </c>
      <c r="E6895" s="1">
        <v>0</v>
      </c>
      <c r="F6895" s="1" t="s">
        <v>89</v>
      </c>
      <c r="G6895" s="1">
        <v>0</v>
      </c>
      <c r="H6895" s="1">
        <v>4</v>
      </c>
      <c r="I6895" s="1">
        <v>25.74</v>
      </c>
    </row>
    <row r="6896" spans="1:9" x14ac:dyDescent="0.25">
      <c r="A6896" s="1">
        <v>2600050475</v>
      </c>
      <c r="B6896" s="1" t="s">
        <v>4557</v>
      </c>
      <c r="C6896" s="1" t="s">
        <v>130</v>
      </c>
      <c r="D6896" s="1" t="s">
        <v>131</v>
      </c>
      <c r="E6896" s="1">
        <v>2</v>
      </c>
      <c r="F6896" s="1" t="s">
        <v>36</v>
      </c>
      <c r="G6896" s="1">
        <v>0</v>
      </c>
      <c r="H6896" s="1">
        <v>0</v>
      </c>
      <c r="I6896" s="1">
        <v>71.930000000000007</v>
      </c>
    </row>
    <row r="6897" spans="1:9" x14ac:dyDescent="0.25">
      <c r="A6897" s="1">
        <v>2600050658</v>
      </c>
      <c r="B6897" s="1" t="s">
        <v>4558</v>
      </c>
      <c r="C6897" s="1" t="s">
        <v>130</v>
      </c>
      <c r="D6897" s="1" t="s">
        <v>131</v>
      </c>
      <c r="E6897" s="1">
        <v>11</v>
      </c>
      <c r="F6897" s="1" t="s">
        <v>36</v>
      </c>
      <c r="G6897" s="1">
        <v>0</v>
      </c>
      <c r="H6897" s="3">
        <v>0</v>
      </c>
      <c r="I6897" s="1">
        <v>0.466364</v>
      </c>
    </row>
    <row r="6898" spans="1:9" x14ac:dyDescent="0.25">
      <c r="A6898" s="1">
        <v>2600050685</v>
      </c>
      <c r="B6898" s="1" t="s">
        <v>4559</v>
      </c>
      <c r="C6898" s="1" t="s">
        <v>130</v>
      </c>
      <c r="D6898" s="1" t="s">
        <v>131</v>
      </c>
      <c r="E6898" s="1">
        <v>7</v>
      </c>
      <c r="F6898" s="1" t="s">
        <v>36</v>
      </c>
      <c r="G6898" s="1">
        <v>0</v>
      </c>
      <c r="H6898" s="3">
        <v>0</v>
      </c>
      <c r="I6898" s="1">
        <v>9.3714289999999991</v>
      </c>
    </row>
    <row r="6899" spans="1:9" x14ac:dyDescent="0.25">
      <c r="A6899" s="1">
        <v>2600050688</v>
      </c>
      <c r="B6899" s="1" t="s">
        <v>4560</v>
      </c>
      <c r="C6899" s="1" t="s">
        <v>130</v>
      </c>
      <c r="D6899" s="1" t="s">
        <v>131</v>
      </c>
      <c r="E6899" s="1">
        <v>2</v>
      </c>
      <c r="F6899" s="1" t="s">
        <v>36</v>
      </c>
      <c r="G6899" s="1">
        <v>0</v>
      </c>
      <c r="H6899" s="1">
        <v>0</v>
      </c>
      <c r="I6899" s="1">
        <v>130.685</v>
      </c>
    </row>
    <row r="6900" spans="1:9" x14ac:dyDescent="0.25">
      <c r="A6900" s="1">
        <v>2600060005</v>
      </c>
      <c r="B6900" s="1" t="s">
        <v>4561</v>
      </c>
      <c r="C6900" s="1" t="s">
        <v>130</v>
      </c>
      <c r="D6900" s="1" t="s">
        <v>131</v>
      </c>
      <c r="E6900" s="1">
        <v>8</v>
      </c>
      <c r="F6900" s="1" t="s">
        <v>36</v>
      </c>
      <c r="G6900" s="3">
        <v>0</v>
      </c>
      <c r="H6900" s="1">
        <v>0</v>
      </c>
      <c r="I6900" s="1">
        <v>27.815000000000001</v>
      </c>
    </row>
    <row r="6901" spans="1:9" x14ac:dyDescent="0.25">
      <c r="A6901" s="1">
        <v>2600060021</v>
      </c>
      <c r="B6901" s="1" t="s">
        <v>4562</v>
      </c>
      <c r="C6901" s="1" t="s">
        <v>130</v>
      </c>
      <c r="D6901" s="1" t="s">
        <v>131</v>
      </c>
      <c r="E6901" s="1">
        <v>5</v>
      </c>
      <c r="F6901" s="1" t="s">
        <v>36</v>
      </c>
      <c r="G6901" s="1">
        <v>0</v>
      </c>
      <c r="H6901" s="1">
        <v>0</v>
      </c>
      <c r="I6901" s="1">
        <v>16.95</v>
      </c>
    </row>
    <row r="6902" spans="1:9" x14ac:dyDescent="0.25">
      <c r="A6902" s="1">
        <v>2600060029</v>
      </c>
      <c r="B6902" s="1" t="s">
        <v>4563</v>
      </c>
      <c r="C6902" s="1" t="s">
        <v>167</v>
      </c>
      <c r="D6902" s="1" t="s">
        <v>168</v>
      </c>
      <c r="E6902" s="1">
        <v>40</v>
      </c>
      <c r="F6902" s="1" t="s">
        <v>36</v>
      </c>
      <c r="G6902" s="1">
        <v>0</v>
      </c>
      <c r="H6902" s="1">
        <v>0</v>
      </c>
      <c r="I6902" s="1">
        <v>28</v>
      </c>
    </row>
    <row r="6903" spans="1:9" x14ac:dyDescent="0.25">
      <c r="A6903" s="1">
        <v>2600060030</v>
      </c>
      <c r="B6903" s="1" t="s">
        <v>4564</v>
      </c>
      <c r="C6903" s="1" t="s">
        <v>130</v>
      </c>
      <c r="D6903" s="1" t="s">
        <v>131</v>
      </c>
      <c r="E6903" s="1">
        <v>11</v>
      </c>
      <c r="F6903" s="1" t="s">
        <v>36</v>
      </c>
      <c r="G6903" s="1">
        <v>0</v>
      </c>
      <c r="H6903" s="3">
        <v>0</v>
      </c>
      <c r="I6903" s="1">
        <v>20.494544999999999</v>
      </c>
    </row>
    <row r="6904" spans="1:9" x14ac:dyDescent="0.25">
      <c r="A6904" s="1">
        <v>2600060032</v>
      </c>
      <c r="B6904" s="1" t="s">
        <v>4565</v>
      </c>
      <c r="C6904" s="1" t="s">
        <v>130</v>
      </c>
      <c r="D6904" s="1" t="s">
        <v>131</v>
      </c>
      <c r="E6904" s="1">
        <v>7</v>
      </c>
      <c r="F6904" s="1" t="s">
        <v>36</v>
      </c>
      <c r="G6904" s="1">
        <v>0</v>
      </c>
      <c r="H6904" s="1">
        <v>0</v>
      </c>
      <c r="I6904" s="1">
        <v>62.81</v>
      </c>
    </row>
    <row r="6905" spans="1:9" x14ac:dyDescent="0.25">
      <c r="A6905" s="1">
        <v>2600060039</v>
      </c>
      <c r="B6905" s="1" t="s">
        <v>4566</v>
      </c>
      <c r="C6905" s="1" t="s">
        <v>130</v>
      </c>
      <c r="D6905" s="1" t="s">
        <v>131</v>
      </c>
      <c r="E6905" s="1">
        <v>3</v>
      </c>
      <c r="F6905" s="1" t="s">
        <v>36</v>
      </c>
      <c r="G6905" s="1">
        <v>0</v>
      </c>
      <c r="H6905" s="1">
        <v>0</v>
      </c>
      <c r="I6905" s="1">
        <v>11</v>
      </c>
    </row>
    <row r="6906" spans="1:9" x14ac:dyDescent="0.25">
      <c r="A6906" s="1">
        <v>2600060041</v>
      </c>
      <c r="B6906" s="1" t="s">
        <v>4567</v>
      </c>
      <c r="C6906" s="1" t="s">
        <v>130</v>
      </c>
      <c r="D6906" s="1" t="s">
        <v>131</v>
      </c>
      <c r="E6906" s="1">
        <v>63</v>
      </c>
      <c r="F6906" s="1" t="s">
        <v>36</v>
      </c>
      <c r="G6906" s="3">
        <v>0</v>
      </c>
      <c r="H6906" s="1">
        <v>0</v>
      </c>
      <c r="I6906" s="1">
        <v>5.5868250000000002</v>
      </c>
    </row>
    <row r="6907" spans="1:9" x14ac:dyDescent="0.25">
      <c r="A6907" s="1">
        <v>2600060041</v>
      </c>
      <c r="B6907" s="1" t="s">
        <v>4567</v>
      </c>
      <c r="C6907" s="1" t="s">
        <v>167</v>
      </c>
      <c r="D6907" s="1" t="s">
        <v>168</v>
      </c>
      <c r="E6907" s="1">
        <v>100</v>
      </c>
      <c r="F6907" s="1" t="s">
        <v>36</v>
      </c>
      <c r="G6907" s="3">
        <v>0</v>
      </c>
      <c r="H6907" s="1">
        <v>0</v>
      </c>
      <c r="I6907" s="1">
        <v>3.4571000000000001</v>
      </c>
    </row>
    <row r="6908" spans="1:9" x14ac:dyDescent="0.25">
      <c r="A6908" s="1">
        <v>2600060047</v>
      </c>
      <c r="B6908" s="1" t="s">
        <v>4568</v>
      </c>
      <c r="C6908" s="1" t="s">
        <v>130</v>
      </c>
      <c r="D6908" s="1" t="s">
        <v>131</v>
      </c>
      <c r="E6908" s="1">
        <v>30</v>
      </c>
      <c r="F6908" s="1" t="s">
        <v>4315</v>
      </c>
      <c r="G6908" s="1">
        <v>0</v>
      </c>
      <c r="H6908" s="1">
        <v>0</v>
      </c>
      <c r="I6908" s="1">
        <v>57.625332999999998</v>
      </c>
    </row>
    <row r="6909" spans="1:9" x14ac:dyDescent="0.25">
      <c r="A6909" s="1">
        <v>2600060060</v>
      </c>
      <c r="B6909" s="1" t="s">
        <v>4569</v>
      </c>
      <c r="C6909" s="1" t="s">
        <v>167</v>
      </c>
      <c r="D6909" s="1" t="s">
        <v>168</v>
      </c>
      <c r="E6909" s="1">
        <v>68</v>
      </c>
      <c r="F6909" s="1" t="s">
        <v>36</v>
      </c>
      <c r="G6909" s="1">
        <v>0</v>
      </c>
      <c r="H6909" s="3">
        <v>0</v>
      </c>
      <c r="I6909" s="1">
        <v>38.010882000000002</v>
      </c>
    </row>
    <row r="6910" spans="1:9" x14ac:dyDescent="0.25">
      <c r="A6910" s="1">
        <v>2600060069</v>
      </c>
      <c r="B6910" s="1" t="s">
        <v>4570</v>
      </c>
      <c r="C6910" s="1" t="s">
        <v>167</v>
      </c>
      <c r="D6910" s="1" t="s">
        <v>168</v>
      </c>
      <c r="E6910" s="1">
        <v>38</v>
      </c>
      <c r="F6910" s="1" t="s">
        <v>36</v>
      </c>
      <c r="G6910" s="1">
        <v>0</v>
      </c>
      <c r="H6910" s="1">
        <v>0</v>
      </c>
      <c r="I6910" s="1">
        <v>57.463158</v>
      </c>
    </row>
    <row r="6911" spans="1:9" x14ac:dyDescent="0.25">
      <c r="A6911" s="1">
        <v>2600060080</v>
      </c>
      <c r="B6911" s="1" t="s">
        <v>4571</v>
      </c>
      <c r="C6911" s="1" t="s">
        <v>130</v>
      </c>
      <c r="D6911" s="1" t="s">
        <v>131</v>
      </c>
      <c r="E6911" s="1">
        <v>35</v>
      </c>
      <c r="F6911" s="1" t="s">
        <v>36</v>
      </c>
      <c r="G6911" s="1">
        <v>0</v>
      </c>
      <c r="H6911" s="3">
        <v>0</v>
      </c>
      <c r="I6911" s="1">
        <v>4.5</v>
      </c>
    </row>
    <row r="6912" spans="1:9" x14ac:dyDescent="0.25">
      <c r="A6912" s="1">
        <v>2600060082</v>
      </c>
      <c r="B6912" s="1" t="s">
        <v>4572</v>
      </c>
      <c r="C6912" s="1" t="s">
        <v>130</v>
      </c>
      <c r="D6912" s="1" t="s">
        <v>131</v>
      </c>
      <c r="E6912" s="1">
        <v>4</v>
      </c>
      <c r="F6912" s="1" t="s">
        <v>36</v>
      </c>
      <c r="G6912" s="1">
        <v>0</v>
      </c>
      <c r="H6912" s="3">
        <v>0</v>
      </c>
      <c r="I6912" s="1">
        <v>35</v>
      </c>
    </row>
    <row r="6913" spans="1:9" x14ac:dyDescent="0.25">
      <c r="A6913" s="1">
        <v>2600060089</v>
      </c>
      <c r="B6913" s="1" t="s">
        <v>4573</v>
      </c>
      <c r="C6913" s="1" t="s">
        <v>130</v>
      </c>
      <c r="D6913" s="1" t="s">
        <v>131</v>
      </c>
      <c r="E6913" s="1">
        <v>4</v>
      </c>
      <c r="F6913" s="1" t="s">
        <v>36</v>
      </c>
      <c r="G6913" s="1">
        <v>0</v>
      </c>
      <c r="H6913" s="1">
        <v>0</v>
      </c>
      <c r="I6913" s="1">
        <v>10.5</v>
      </c>
    </row>
    <row r="6914" spans="1:9" x14ac:dyDescent="0.25">
      <c r="A6914" s="1">
        <v>2600060090</v>
      </c>
      <c r="B6914" s="1" t="s">
        <v>4574</v>
      </c>
      <c r="C6914" s="1" t="s">
        <v>130</v>
      </c>
      <c r="D6914" s="1" t="s">
        <v>131</v>
      </c>
      <c r="E6914" s="1">
        <v>39</v>
      </c>
      <c r="F6914" s="1" t="s">
        <v>36</v>
      </c>
      <c r="G6914" s="1">
        <v>0</v>
      </c>
      <c r="H6914" s="1">
        <v>0</v>
      </c>
      <c r="I6914" s="1">
        <v>13.5</v>
      </c>
    </row>
    <row r="6915" spans="1:9" x14ac:dyDescent="0.25">
      <c r="A6915" s="1">
        <v>2600080013</v>
      </c>
      <c r="B6915" s="1" t="s">
        <v>4575</v>
      </c>
      <c r="C6915" s="1" t="s">
        <v>130</v>
      </c>
      <c r="D6915" s="1" t="s">
        <v>131</v>
      </c>
      <c r="E6915" s="3">
        <v>1100</v>
      </c>
      <c r="F6915" s="1" t="s">
        <v>36</v>
      </c>
      <c r="G6915" s="1">
        <v>0</v>
      </c>
      <c r="H6915" s="1">
        <v>0</v>
      </c>
      <c r="I6915" s="1">
        <v>8.9026999999999995E-2</v>
      </c>
    </row>
    <row r="6916" spans="1:9" x14ac:dyDescent="0.25">
      <c r="A6916" s="1">
        <v>2600080121</v>
      </c>
      <c r="B6916" s="1" t="s">
        <v>4576</v>
      </c>
      <c r="C6916" s="1" t="s">
        <v>167</v>
      </c>
      <c r="D6916" s="1" t="s">
        <v>168</v>
      </c>
      <c r="E6916" s="1">
        <v>4</v>
      </c>
      <c r="F6916" s="1" t="s">
        <v>36</v>
      </c>
      <c r="G6916" s="1">
        <v>0</v>
      </c>
      <c r="H6916" s="1">
        <v>0</v>
      </c>
      <c r="I6916" s="1">
        <v>84.857500000000002</v>
      </c>
    </row>
    <row r="6917" spans="1:9" x14ac:dyDescent="0.25">
      <c r="A6917" s="1">
        <v>2600080323</v>
      </c>
      <c r="B6917" s="1" t="s">
        <v>4577</v>
      </c>
      <c r="C6917" s="1" t="s">
        <v>130</v>
      </c>
      <c r="D6917" s="1" t="s">
        <v>131</v>
      </c>
      <c r="E6917" s="1">
        <v>2</v>
      </c>
      <c r="F6917" s="1" t="s">
        <v>36</v>
      </c>
      <c r="G6917" s="3">
        <v>0</v>
      </c>
      <c r="H6917" s="1">
        <v>0</v>
      </c>
      <c r="I6917" s="1">
        <v>465.25</v>
      </c>
    </row>
    <row r="6918" spans="1:9" x14ac:dyDescent="0.25">
      <c r="A6918" s="1">
        <v>2600090006</v>
      </c>
      <c r="B6918" s="1" t="s">
        <v>4578</v>
      </c>
      <c r="C6918" s="1" t="s">
        <v>130</v>
      </c>
      <c r="D6918" s="1" t="s">
        <v>131</v>
      </c>
      <c r="E6918" s="1">
        <v>1</v>
      </c>
      <c r="F6918" s="1" t="s">
        <v>36</v>
      </c>
      <c r="G6918" s="1">
        <v>0</v>
      </c>
      <c r="H6918" s="1">
        <v>0</v>
      </c>
      <c r="I6918" s="1">
        <v>6.61</v>
      </c>
    </row>
    <row r="6919" spans="1:9" x14ac:dyDescent="0.25">
      <c r="A6919" s="1">
        <v>2600090016</v>
      </c>
      <c r="B6919" s="1" t="s">
        <v>4579</v>
      </c>
      <c r="C6919" s="1" t="s">
        <v>130</v>
      </c>
      <c r="D6919" s="1" t="s">
        <v>131</v>
      </c>
      <c r="E6919" s="1">
        <v>6</v>
      </c>
      <c r="F6919" s="1" t="s">
        <v>36</v>
      </c>
      <c r="G6919" s="1">
        <v>0</v>
      </c>
      <c r="H6919" s="1">
        <v>0</v>
      </c>
      <c r="I6919" s="1">
        <v>16</v>
      </c>
    </row>
    <row r="6920" spans="1:9" x14ac:dyDescent="0.25">
      <c r="A6920" s="1">
        <v>2600090021</v>
      </c>
      <c r="B6920" s="1" t="s">
        <v>4580</v>
      </c>
      <c r="C6920" s="1" t="s">
        <v>130</v>
      </c>
      <c r="D6920" s="1" t="s">
        <v>131</v>
      </c>
      <c r="E6920" s="1">
        <v>8</v>
      </c>
      <c r="F6920" s="1" t="s">
        <v>3218</v>
      </c>
      <c r="G6920" s="1">
        <v>0</v>
      </c>
      <c r="H6920" s="1">
        <v>0</v>
      </c>
      <c r="I6920" s="1">
        <v>9.3524999999999991</v>
      </c>
    </row>
    <row r="6921" spans="1:9" x14ac:dyDescent="0.25">
      <c r="A6921" s="1">
        <v>2600090031</v>
      </c>
      <c r="B6921" s="1" t="s">
        <v>4581</v>
      </c>
      <c r="C6921" s="1" t="s">
        <v>130</v>
      </c>
      <c r="D6921" s="1" t="s">
        <v>131</v>
      </c>
      <c r="E6921" s="1">
        <v>37</v>
      </c>
      <c r="F6921" s="1" t="s">
        <v>36</v>
      </c>
      <c r="G6921" s="1">
        <v>0</v>
      </c>
      <c r="H6921" s="1">
        <v>0</v>
      </c>
      <c r="I6921" s="1">
        <v>2.82</v>
      </c>
    </row>
    <row r="6922" spans="1:9" x14ac:dyDescent="0.25">
      <c r="A6922" s="1">
        <v>2600090040</v>
      </c>
      <c r="B6922" s="1" t="s">
        <v>4582</v>
      </c>
      <c r="C6922" s="1" t="s">
        <v>130</v>
      </c>
      <c r="D6922" s="1" t="s">
        <v>131</v>
      </c>
      <c r="E6922" s="1">
        <v>1</v>
      </c>
      <c r="F6922" s="1" t="s">
        <v>36</v>
      </c>
      <c r="G6922" s="1">
        <v>0</v>
      </c>
      <c r="H6922" s="1">
        <v>0</v>
      </c>
      <c r="I6922" s="1">
        <v>9.24</v>
      </c>
    </row>
    <row r="6923" spans="1:9" x14ac:dyDescent="0.25">
      <c r="A6923" s="1">
        <v>2600090052</v>
      </c>
      <c r="B6923" s="1" t="s">
        <v>4583</v>
      </c>
      <c r="C6923" s="1" t="s">
        <v>130</v>
      </c>
      <c r="D6923" s="1" t="s">
        <v>131</v>
      </c>
      <c r="E6923" s="1">
        <v>1</v>
      </c>
      <c r="F6923" s="1" t="s">
        <v>36</v>
      </c>
      <c r="G6923" s="1">
        <v>0</v>
      </c>
      <c r="H6923" s="1">
        <v>0</v>
      </c>
      <c r="I6923" s="1">
        <v>12.71</v>
      </c>
    </row>
    <row r="6924" spans="1:9" x14ac:dyDescent="0.25">
      <c r="A6924" s="1">
        <v>2600090053</v>
      </c>
      <c r="B6924" s="1" t="s">
        <v>4584</v>
      </c>
      <c r="C6924" s="1" t="s">
        <v>130</v>
      </c>
      <c r="D6924" s="1" t="s">
        <v>131</v>
      </c>
      <c r="E6924" s="1">
        <v>2</v>
      </c>
      <c r="F6924" s="1" t="s">
        <v>36</v>
      </c>
      <c r="G6924" s="1">
        <v>0</v>
      </c>
      <c r="H6924" s="1">
        <v>0</v>
      </c>
      <c r="I6924" s="1">
        <v>2.2999999999999998</v>
      </c>
    </row>
    <row r="6925" spans="1:9" x14ac:dyDescent="0.25">
      <c r="A6925" s="1">
        <v>2600090064</v>
      </c>
      <c r="B6925" s="1" t="s">
        <v>4585</v>
      </c>
      <c r="C6925" s="1" t="s">
        <v>130</v>
      </c>
      <c r="D6925" s="1" t="s">
        <v>131</v>
      </c>
      <c r="E6925" s="1">
        <v>2</v>
      </c>
      <c r="F6925" s="1" t="s">
        <v>36</v>
      </c>
      <c r="G6925" s="1">
        <v>0</v>
      </c>
      <c r="H6925" s="1">
        <v>0</v>
      </c>
      <c r="I6925" s="1">
        <v>10.635</v>
      </c>
    </row>
    <row r="6926" spans="1:9" x14ac:dyDescent="0.25">
      <c r="A6926" s="1">
        <v>2600090067</v>
      </c>
      <c r="B6926" s="1" t="s">
        <v>4586</v>
      </c>
      <c r="C6926" s="1" t="s">
        <v>130</v>
      </c>
      <c r="D6926" s="1" t="s">
        <v>131</v>
      </c>
      <c r="E6926" s="1">
        <v>30</v>
      </c>
      <c r="F6926" s="1" t="s">
        <v>36</v>
      </c>
      <c r="G6926" s="1">
        <v>0</v>
      </c>
      <c r="H6926" s="1">
        <v>0</v>
      </c>
      <c r="I6926" s="1">
        <v>1.6033329999999999</v>
      </c>
    </row>
    <row r="6927" spans="1:9" x14ac:dyDescent="0.25">
      <c r="A6927" s="1">
        <v>2600090072</v>
      </c>
      <c r="B6927" s="1" t="s">
        <v>4587</v>
      </c>
      <c r="C6927" s="1" t="s">
        <v>130</v>
      </c>
      <c r="D6927" s="1" t="s">
        <v>131</v>
      </c>
      <c r="E6927" s="1">
        <v>10</v>
      </c>
      <c r="F6927" s="1" t="s">
        <v>36</v>
      </c>
      <c r="G6927" s="1">
        <v>0</v>
      </c>
      <c r="H6927" s="1">
        <v>0</v>
      </c>
      <c r="I6927" s="1">
        <v>18.613</v>
      </c>
    </row>
    <row r="6928" spans="1:9" x14ac:dyDescent="0.25">
      <c r="A6928" s="1">
        <v>2600090074</v>
      </c>
      <c r="B6928" s="1" t="s">
        <v>4588</v>
      </c>
      <c r="C6928" s="1" t="s">
        <v>130</v>
      </c>
      <c r="D6928" s="1" t="s">
        <v>131</v>
      </c>
      <c r="E6928" s="1">
        <v>11</v>
      </c>
      <c r="F6928" s="1" t="s">
        <v>1015</v>
      </c>
      <c r="G6928" s="1">
        <v>0</v>
      </c>
      <c r="H6928" s="1">
        <v>0</v>
      </c>
      <c r="I6928" s="1">
        <v>13.392727000000001</v>
      </c>
    </row>
    <row r="6929" spans="1:9" x14ac:dyDescent="0.25">
      <c r="A6929" s="1">
        <v>2600090079</v>
      </c>
      <c r="B6929" s="1" t="s">
        <v>4589</v>
      </c>
      <c r="C6929" s="1" t="s">
        <v>130</v>
      </c>
      <c r="D6929" s="1" t="s">
        <v>131</v>
      </c>
      <c r="E6929" s="1">
        <v>100</v>
      </c>
      <c r="F6929" s="1" t="s">
        <v>36</v>
      </c>
      <c r="G6929" s="1">
        <v>0</v>
      </c>
      <c r="H6929" s="1">
        <v>0</v>
      </c>
      <c r="I6929" s="1">
        <v>0.2437</v>
      </c>
    </row>
    <row r="6930" spans="1:9" x14ac:dyDescent="0.25">
      <c r="A6930" s="1">
        <v>2600090082</v>
      </c>
      <c r="B6930" s="1" t="s">
        <v>4590</v>
      </c>
      <c r="C6930" s="1" t="s">
        <v>130</v>
      </c>
      <c r="D6930" s="1" t="s">
        <v>131</v>
      </c>
      <c r="E6930" s="1">
        <v>32</v>
      </c>
      <c r="F6930" s="1" t="s">
        <v>36</v>
      </c>
      <c r="G6930" s="1">
        <v>0</v>
      </c>
      <c r="H6930" s="1">
        <v>0</v>
      </c>
      <c r="I6930" s="1">
        <v>19.173438000000001</v>
      </c>
    </row>
    <row r="6931" spans="1:9" x14ac:dyDescent="0.25">
      <c r="A6931" s="1">
        <v>2600090083</v>
      </c>
      <c r="B6931" s="1" t="s">
        <v>4591</v>
      </c>
      <c r="C6931" s="1" t="s">
        <v>130</v>
      </c>
      <c r="D6931" s="1" t="s">
        <v>131</v>
      </c>
      <c r="E6931" s="1">
        <v>2</v>
      </c>
      <c r="F6931" s="1" t="s">
        <v>36</v>
      </c>
      <c r="G6931" s="1">
        <v>0</v>
      </c>
      <c r="H6931" s="1">
        <v>0</v>
      </c>
      <c r="I6931" s="1">
        <v>8.5</v>
      </c>
    </row>
    <row r="6932" spans="1:9" x14ac:dyDescent="0.25">
      <c r="A6932" s="1">
        <v>2600100001</v>
      </c>
      <c r="B6932" s="1" t="s">
        <v>4592</v>
      </c>
      <c r="C6932" s="1" t="s">
        <v>130</v>
      </c>
      <c r="D6932" s="1" t="s">
        <v>131</v>
      </c>
      <c r="E6932" s="1">
        <v>2</v>
      </c>
      <c r="F6932" s="1" t="s">
        <v>36</v>
      </c>
      <c r="G6932" s="1">
        <v>0</v>
      </c>
      <c r="H6932" s="1">
        <v>0</v>
      </c>
      <c r="I6932" s="1">
        <v>65.364999999999995</v>
      </c>
    </row>
    <row r="6933" spans="1:9" x14ac:dyDescent="0.25">
      <c r="A6933" s="1">
        <v>2600100015</v>
      </c>
      <c r="B6933" s="1" t="s">
        <v>4593</v>
      </c>
      <c r="C6933" s="1" t="s">
        <v>130</v>
      </c>
      <c r="D6933" s="1" t="s">
        <v>131</v>
      </c>
      <c r="E6933" s="1">
        <v>1</v>
      </c>
      <c r="F6933" s="1" t="s">
        <v>36</v>
      </c>
      <c r="G6933" s="1">
        <v>0</v>
      </c>
      <c r="H6933" s="1">
        <v>0</v>
      </c>
      <c r="I6933" s="1">
        <v>12.47</v>
      </c>
    </row>
    <row r="6934" spans="1:9" x14ac:dyDescent="0.25">
      <c r="A6934" s="1">
        <v>2600100018</v>
      </c>
      <c r="B6934" s="1" t="s">
        <v>4594</v>
      </c>
      <c r="C6934" s="1" t="s">
        <v>130</v>
      </c>
      <c r="D6934" s="1" t="s">
        <v>131</v>
      </c>
      <c r="E6934" s="1">
        <v>1</v>
      </c>
      <c r="F6934" s="1" t="s">
        <v>36</v>
      </c>
      <c r="G6934" s="1">
        <v>0</v>
      </c>
      <c r="H6934" s="3">
        <v>0</v>
      </c>
      <c r="I6934" s="1">
        <v>33.909999999999997</v>
      </c>
    </row>
    <row r="6935" spans="1:9" x14ac:dyDescent="0.25">
      <c r="A6935" s="1">
        <v>2600100036</v>
      </c>
      <c r="B6935" s="1" t="s">
        <v>4595</v>
      </c>
      <c r="C6935" s="1" t="s">
        <v>130</v>
      </c>
      <c r="D6935" s="1" t="s">
        <v>131</v>
      </c>
      <c r="E6935" s="1">
        <v>3</v>
      </c>
      <c r="F6935" s="1" t="s">
        <v>36</v>
      </c>
      <c r="G6935" s="1">
        <v>0</v>
      </c>
      <c r="H6935" s="1">
        <v>0</v>
      </c>
      <c r="I6935" s="1">
        <v>15.25</v>
      </c>
    </row>
    <row r="6936" spans="1:9" x14ac:dyDescent="0.25">
      <c r="A6936" s="1">
        <v>2600100038</v>
      </c>
      <c r="B6936" s="1" t="s">
        <v>4596</v>
      </c>
      <c r="C6936" s="1" t="s">
        <v>130</v>
      </c>
      <c r="D6936" s="1" t="s">
        <v>131</v>
      </c>
      <c r="E6936" s="1">
        <v>12</v>
      </c>
      <c r="F6936" s="1" t="s">
        <v>36</v>
      </c>
      <c r="G6936" s="3">
        <v>0</v>
      </c>
      <c r="H6936" s="3">
        <v>0</v>
      </c>
      <c r="I6936" s="1">
        <v>59.321666999999998</v>
      </c>
    </row>
    <row r="6937" spans="1:9" x14ac:dyDescent="0.25">
      <c r="A6937" s="1">
        <v>2600100039</v>
      </c>
      <c r="B6937" s="1" t="s">
        <v>4597</v>
      </c>
      <c r="C6937" s="1" t="s">
        <v>130</v>
      </c>
      <c r="D6937" s="1" t="s">
        <v>131</v>
      </c>
      <c r="E6937" s="1">
        <v>34</v>
      </c>
      <c r="F6937" s="1" t="s">
        <v>36</v>
      </c>
      <c r="G6937" s="1">
        <v>0</v>
      </c>
      <c r="H6937" s="3">
        <v>0</v>
      </c>
      <c r="I6937" s="1">
        <v>6.8694119999999996</v>
      </c>
    </row>
    <row r="6938" spans="1:9" x14ac:dyDescent="0.25">
      <c r="A6938" s="1">
        <v>2600100040</v>
      </c>
      <c r="B6938" s="1" t="s">
        <v>4598</v>
      </c>
      <c r="C6938" s="1" t="s">
        <v>130</v>
      </c>
      <c r="D6938" s="1" t="s">
        <v>131</v>
      </c>
      <c r="E6938" s="1">
        <v>10</v>
      </c>
      <c r="F6938" s="1" t="s">
        <v>36</v>
      </c>
      <c r="G6938" s="3">
        <v>0</v>
      </c>
      <c r="H6938" s="3">
        <v>0</v>
      </c>
      <c r="I6938" s="1">
        <v>5.8470000000000004</v>
      </c>
    </row>
    <row r="6939" spans="1:9" x14ac:dyDescent="0.25">
      <c r="A6939" s="1">
        <v>2600100044</v>
      </c>
      <c r="B6939" s="1" t="s">
        <v>4599</v>
      </c>
      <c r="C6939" s="1" t="s">
        <v>130</v>
      </c>
      <c r="D6939" s="1" t="s">
        <v>131</v>
      </c>
      <c r="E6939" s="1">
        <v>8</v>
      </c>
      <c r="F6939" s="1" t="s">
        <v>36</v>
      </c>
      <c r="G6939" s="1">
        <v>0</v>
      </c>
      <c r="H6939" s="1">
        <v>0</v>
      </c>
      <c r="I6939" s="1">
        <v>4.1675000000000004</v>
      </c>
    </row>
    <row r="6940" spans="1:9" x14ac:dyDescent="0.25">
      <c r="A6940" s="1">
        <v>2600100053</v>
      </c>
      <c r="B6940" s="1" t="s">
        <v>4600</v>
      </c>
      <c r="C6940" s="1" t="s">
        <v>130</v>
      </c>
      <c r="D6940" s="1" t="s">
        <v>131</v>
      </c>
      <c r="E6940" s="1">
        <v>13</v>
      </c>
      <c r="F6940" s="1" t="s">
        <v>4315</v>
      </c>
      <c r="G6940" s="1">
        <v>0</v>
      </c>
      <c r="H6940" s="1">
        <v>0</v>
      </c>
      <c r="I6940" s="1">
        <v>7.6023079999999998</v>
      </c>
    </row>
    <row r="6941" spans="1:9" x14ac:dyDescent="0.25">
      <c r="A6941" s="1">
        <v>2600100054</v>
      </c>
      <c r="B6941" s="1" t="s">
        <v>4601</v>
      </c>
      <c r="C6941" s="1" t="s">
        <v>130</v>
      </c>
      <c r="D6941" s="1" t="s">
        <v>131</v>
      </c>
      <c r="E6941" s="1">
        <v>2</v>
      </c>
      <c r="F6941" s="1" t="s">
        <v>36</v>
      </c>
      <c r="G6941" s="1">
        <v>0</v>
      </c>
      <c r="H6941" s="1">
        <v>0</v>
      </c>
      <c r="I6941" s="1">
        <v>180.01</v>
      </c>
    </row>
    <row r="6942" spans="1:9" x14ac:dyDescent="0.25">
      <c r="A6942" s="1">
        <v>2600100063</v>
      </c>
      <c r="B6942" s="1" t="s">
        <v>4602</v>
      </c>
      <c r="C6942" s="1" t="s">
        <v>130</v>
      </c>
      <c r="D6942" s="1" t="s">
        <v>131</v>
      </c>
      <c r="E6942" s="1">
        <v>12</v>
      </c>
      <c r="F6942" s="1" t="s">
        <v>36</v>
      </c>
      <c r="G6942" s="3">
        <v>0</v>
      </c>
      <c r="H6942" s="1">
        <v>0</v>
      </c>
      <c r="I6942" s="1">
        <v>5.2750000000000004</v>
      </c>
    </row>
    <row r="6943" spans="1:9" x14ac:dyDescent="0.25">
      <c r="A6943" s="1">
        <v>2600100071</v>
      </c>
      <c r="B6943" s="1" t="s">
        <v>4603</v>
      </c>
      <c r="C6943" s="1" t="s">
        <v>130</v>
      </c>
      <c r="D6943" s="1" t="s">
        <v>131</v>
      </c>
      <c r="E6943" s="1">
        <v>3</v>
      </c>
      <c r="F6943" s="1" t="s">
        <v>36</v>
      </c>
      <c r="G6943" s="3">
        <v>0</v>
      </c>
      <c r="H6943" s="1">
        <v>0</v>
      </c>
      <c r="I6943" s="1">
        <v>111.67666699999999</v>
      </c>
    </row>
    <row r="6944" spans="1:9" x14ac:dyDescent="0.25">
      <c r="A6944" s="1">
        <v>2600100074</v>
      </c>
      <c r="B6944" s="1" t="s">
        <v>4604</v>
      </c>
      <c r="C6944" s="1" t="s">
        <v>130</v>
      </c>
      <c r="D6944" s="1" t="s">
        <v>131</v>
      </c>
      <c r="E6944" s="1">
        <v>1</v>
      </c>
      <c r="F6944" s="1" t="s">
        <v>36</v>
      </c>
      <c r="G6944" s="1">
        <v>0</v>
      </c>
      <c r="H6944" s="1">
        <v>0</v>
      </c>
      <c r="I6944" s="1">
        <v>70.989999999999995</v>
      </c>
    </row>
    <row r="6945" spans="1:9" x14ac:dyDescent="0.25">
      <c r="A6945" s="1">
        <v>2600100083</v>
      </c>
      <c r="B6945" s="1" t="s">
        <v>4605</v>
      </c>
      <c r="C6945" s="1" t="s">
        <v>130</v>
      </c>
      <c r="D6945" s="1" t="s">
        <v>131</v>
      </c>
      <c r="E6945" s="1">
        <v>13</v>
      </c>
      <c r="F6945" s="1" t="s">
        <v>36</v>
      </c>
      <c r="G6945" s="3">
        <v>0</v>
      </c>
      <c r="H6945" s="1">
        <v>0</v>
      </c>
      <c r="I6945" s="1">
        <v>12.142308</v>
      </c>
    </row>
    <row r="6946" spans="1:9" x14ac:dyDescent="0.25">
      <c r="A6946" s="1">
        <v>2600100086</v>
      </c>
      <c r="B6946" s="1" t="s">
        <v>4606</v>
      </c>
      <c r="C6946" s="1" t="s">
        <v>130</v>
      </c>
      <c r="D6946" s="1" t="s">
        <v>131</v>
      </c>
      <c r="E6946" s="1">
        <v>12</v>
      </c>
      <c r="F6946" s="1" t="s">
        <v>36</v>
      </c>
      <c r="G6946" s="3">
        <v>0</v>
      </c>
      <c r="H6946" s="1">
        <v>0</v>
      </c>
      <c r="I6946" s="1">
        <v>63.088332999999999</v>
      </c>
    </row>
    <row r="6947" spans="1:9" x14ac:dyDescent="0.25">
      <c r="A6947" s="1">
        <v>2600100098</v>
      </c>
      <c r="B6947" s="1" t="s">
        <v>4607</v>
      </c>
      <c r="C6947" s="1" t="s">
        <v>130</v>
      </c>
      <c r="D6947" s="1" t="s">
        <v>131</v>
      </c>
      <c r="E6947" s="1">
        <v>1</v>
      </c>
      <c r="F6947" s="1" t="s">
        <v>36</v>
      </c>
      <c r="G6947" s="3">
        <v>0</v>
      </c>
      <c r="H6947" s="1">
        <v>0</v>
      </c>
      <c r="I6947" s="3">
        <v>14.63</v>
      </c>
    </row>
    <row r="6948" spans="1:9" x14ac:dyDescent="0.25">
      <c r="A6948" s="1">
        <v>2600100113</v>
      </c>
      <c r="B6948" s="1" t="s">
        <v>4608</v>
      </c>
      <c r="C6948" s="1" t="s">
        <v>130</v>
      </c>
      <c r="D6948" s="1" t="s">
        <v>131</v>
      </c>
      <c r="E6948" s="1">
        <v>3</v>
      </c>
      <c r="F6948" s="1" t="s">
        <v>36</v>
      </c>
      <c r="G6948" s="3">
        <v>0</v>
      </c>
      <c r="H6948" s="1">
        <v>0</v>
      </c>
      <c r="I6948" s="1">
        <v>97.326667</v>
      </c>
    </row>
    <row r="6949" spans="1:9" x14ac:dyDescent="0.25">
      <c r="A6949" s="1">
        <v>2600100123</v>
      </c>
      <c r="B6949" s="1" t="s">
        <v>4609</v>
      </c>
      <c r="C6949" s="1" t="s">
        <v>130</v>
      </c>
      <c r="D6949" s="1" t="s">
        <v>131</v>
      </c>
      <c r="E6949" s="1">
        <v>2</v>
      </c>
      <c r="F6949" s="1" t="s">
        <v>36</v>
      </c>
      <c r="G6949" s="3">
        <v>0</v>
      </c>
      <c r="H6949" s="3">
        <v>0</v>
      </c>
      <c r="I6949" s="1">
        <v>0.6</v>
      </c>
    </row>
    <row r="6950" spans="1:9" x14ac:dyDescent="0.25">
      <c r="A6950" s="1">
        <v>2600100125</v>
      </c>
      <c r="B6950" s="1" t="s">
        <v>4610</v>
      </c>
      <c r="C6950" s="1" t="s">
        <v>130</v>
      </c>
      <c r="D6950" s="1" t="s">
        <v>131</v>
      </c>
      <c r="E6950" s="1">
        <v>11</v>
      </c>
      <c r="F6950" s="1" t="s">
        <v>4315</v>
      </c>
      <c r="G6950" s="1">
        <v>0</v>
      </c>
      <c r="H6950" s="3">
        <v>0</v>
      </c>
      <c r="I6950" s="1">
        <v>5.5645449999999999</v>
      </c>
    </row>
    <row r="6951" spans="1:9" x14ac:dyDescent="0.25">
      <c r="A6951" s="1">
        <v>2600100127</v>
      </c>
      <c r="B6951" s="1" t="s">
        <v>4611</v>
      </c>
      <c r="C6951" s="1" t="s">
        <v>130</v>
      </c>
      <c r="D6951" s="1" t="s">
        <v>131</v>
      </c>
      <c r="E6951" s="1">
        <v>16</v>
      </c>
      <c r="F6951" s="1" t="s">
        <v>4315</v>
      </c>
      <c r="G6951" s="1">
        <v>0</v>
      </c>
      <c r="H6951" s="3">
        <v>0</v>
      </c>
      <c r="I6951" s="1">
        <v>4.9262499999999996</v>
      </c>
    </row>
    <row r="6952" spans="1:9" x14ac:dyDescent="0.25">
      <c r="A6952" s="1">
        <v>2600100128</v>
      </c>
      <c r="B6952" s="1" t="s">
        <v>4612</v>
      </c>
      <c r="C6952" s="1" t="s">
        <v>130</v>
      </c>
      <c r="D6952" s="1" t="s">
        <v>131</v>
      </c>
      <c r="E6952" s="1">
        <v>25</v>
      </c>
      <c r="F6952" s="1" t="s">
        <v>36</v>
      </c>
      <c r="G6952" s="1">
        <v>0</v>
      </c>
      <c r="H6952" s="3">
        <v>0</v>
      </c>
      <c r="I6952" s="1">
        <v>10.199999999999999</v>
      </c>
    </row>
    <row r="6953" spans="1:9" x14ac:dyDescent="0.25">
      <c r="A6953" s="1">
        <v>2600100131</v>
      </c>
      <c r="B6953" s="1" t="s">
        <v>4613</v>
      </c>
      <c r="C6953" s="1" t="s">
        <v>130</v>
      </c>
      <c r="D6953" s="1" t="s">
        <v>131</v>
      </c>
      <c r="E6953" s="1">
        <v>2</v>
      </c>
      <c r="F6953" s="1" t="s">
        <v>36</v>
      </c>
      <c r="G6953" s="3">
        <v>0</v>
      </c>
      <c r="H6953" s="1">
        <v>0</v>
      </c>
      <c r="I6953" s="1">
        <v>52.67</v>
      </c>
    </row>
    <row r="6954" spans="1:9" x14ac:dyDescent="0.25">
      <c r="A6954" s="1">
        <v>2600100133</v>
      </c>
      <c r="B6954" s="1" t="s">
        <v>4614</v>
      </c>
      <c r="C6954" s="1" t="s">
        <v>130</v>
      </c>
      <c r="D6954" s="1" t="s">
        <v>131</v>
      </c>
      <c r="E6954" s="1">
        <v>5</v>
      </c>
      <c r="F6954" s="1" t="s">
        <v>4315</v>
      </c>
      <c r="G6954" s="3">
        <v>0</v>
      </c>
      <c r="H6954" s="1">
        <v>0</v>
      </c>
      <c r="I6954" s="1">
        <v>25.734000000000002</v>
      </c>
    </row>
    <row r="6955" spans="1:9" x14ac:dyDescent="0.25">
      <c r="A6955" s="1">
        <v>2600100137</v>
      </c>
      <c r="B6955" s="1" t="s">
        <v>4615</v>
      </c>
      <c r="C6955" s="1" t="s">
        <v>130</v>
      </c>
      <c r="D6955" s="1" t="s">
        <v>131</v>
      </c>
      <c r="E6955" s="1">
        <v>7</v>
      </c>
      <c r="F6955" s="1" t="s">
        <v>4315</v>
      </c>
      <c r="G6955" s="1">
        <v>0</v>
      </c>
      <c r="H6955" s="1">
        <v>0</v>
      </c>
      <c r="I6955" s="1">
        <v>40.344285999999997</v>
      </c>
    </row>
    <row r="6956" spans="1:9" x14ac:dyDescent="0.25">
      <c r="A6956" s="1">
        <v>2600100139</v>
      </c>
      <c r="B6956" s="1" t="s">
        <v>4616</v>
      </c>
      <c r="C6956" s="1" t="s">
        <v>130</v>
      </c>
      <c r="D6956" s="1" t="s">
        <v>131</v>
      </c>
      <c r="E6956" s="1">
        <v>4</v>
      </c>
      <c r="F6956" s="1" t="s">
        <v>36</v>
      </c>
      <c r="G6956" s="1">
        <v>0</v>
      </c>
      <c r="H6956" s="1">
        <v>0</v>
      </c>
      <c r="I6956" s="1">
        <v>17.172499999999999</v>
      </c>
    </row>
    <row r="6957" spans="1:9" x14ac:dyDescent="0.25">
      <c r="A6957" s="1">
        <v>2600100148</v>
      </c>
      <c r="B6957" s="1" t="s">
        <v>4617</v>
      </c>
      <c r="C6957" s="1" t="s">
        <v>130</v>
      </c>
      <c r="D6957" s="1" t="s">
        <v>131</v>
      </c>
      <c r="E6957" s="3">
        <v>5400</v>
      </c>
      <c r="F6957" s="1" t="s">
        <v>36</v>
      </c>
      <c r="G6957" s="1">
        <v>0</v>
      </c>
      <c r="H6957" s="1">
        <v>0</v>
      </c>
      <c r="I6957" s="1">
        <v>0.119256</v>
      </c>
    </row>
    <row r="6958" spans="1:9" x14ac:dyDescent="0.25">
      <c r="A6958" s="1">
        <v>2600100149</v>
      </c>
      <c r="B6958" s="1" t="s">
        <v>4618</v>
      </c>
      <c r="C6958" s="1" t="s">
        <v>130</v>
      </c>
      <c r="D6958" s="1" t="s">
        <v>131</v>
      </c>
      <c r="E6958" s="1">
        <v>17</v>
      </c>
      <c r="F6958" s="1" t="s">
        <v>36</v>
      </c>
      <c r="G6958" s="1">
        <v>0</v>
      </c>
      <c r="H6958" s="1">
        <v>0</v>
      </c>
      <c r="I6958" s="1">
        <v>4.5905880000000003</v>
      </c>
    </row>
    <row r="6959" spans="1:9" x14ac:dyDescent="0.25">
      <c r="A6959" s="1">
        <v>2600100150</v>
      </c>
      <c r="B6959" s="1" t="s">
        <v>4619</v>
      </c>
      <c r="C6959" s="1" t="s">
        <v>130</v>
      </c>
      <c r="D6959" s="1" t="s">
        <v>131</v>
      </c>
      <c r="E6959" s="1">
        <v>52</v>
      </c>
      <c r="F6959" s="1" t="s">
        <v>36</v>
      </c>
      <c r="G6959" s="1">
        <v>0</v>
      </c>
      <c r="H6959" s="1">
        <v>0</v>
      </c>
      <c r="I6959" s="1">
        <v>3.3142309999999999</v>
      </c>
    </row>
    <row r="6960" spans="1:9" x14ac:dyDescent="0.25">
      <c r="A6960" s="1">
        <v>2600100151</v>
      </c>
      <c r="B6960" s="1" t="s">
        <v>4620</v>
      </c>
      <c r="C6960" s="1" t="s">
        <v>130</v>
      </c>
      <c r="D6960" s="1" t="s">
        <v>131</v>
      </c>
      <c r="E6960" s="1">
        <v>25</v>
      </c>
      <c r="F6960" s="1" t="s">
        <v>36</v>
      </c>
      <c r="G6960" s="1">
        <v>0</v>
      </c>
      <c r="H6960" s="1">
        <v>0</v>
      </c>
      <c r="I6960" s="1">
        <v>10.814399999999999</v>
      </c>
    </row>
    <row r="6961" spans="1:9" x14ac:dyDescent="0.25">
      <c r="A6961" s="1">
        <v>2600100154</v>
      </c>
      <c r="B6961" s="1" t="s">
        <v>4621</v>
      </c>
      <c r="C6961" s="1" t="s">
        <v>130</v>
      </c>
      <c r="D6961" s="1" t="s">
        <v>131</v>
      </c>
      <c r="E6961" s="1">
        <v>200</v>
      </c>
      <c r="F6961" s="1" t="s">
        <v>4315</v>
      </c>
      <c r="G6961" s="1">
        <v>0</v>
      </c>
      <c r="H6961" s="1">
        <v>0</v>
      </c>
      <c r="I6961" s="1">
        <v>0.41525000000000001</v>
      </c>
    </row>
    <row r="6962" spans="1:9" x14ac:dyDescent="0.25">
      <c r="A6962" s="1">
        <v>2600100158</v>
      </c>
      <c r="B6962" s="1" t="s">
        <v>4622</v>
      </c>
      <c r="C6962" s="1" t="s">
        <v>130</v>
      </c>
      <c r="D6962" s="1" t="s">
        <v>131</v>
      </c>
      <c r="E6962" s="1">
        <v>30</v>
      </c>
      <c r="F6962" s="1" t="s">
        <v>4315</v>
      </c>
      <c r="G6962" s="3">
        <v>0</v>
      </c>
      <c r="H6962" s="1">
        <v>0</v>
      </c>
      <c r="I6962" s="1">
        <v>8.7073330000000002</v>
      </c>
    </row>
    <row r="6963" spans="1:9" x14ac:dyDescent="0.25">
      <c r="A6963" s="1">
        <v>2600100162</v>
      </c>
      <c r="B6963" s="1" t="s">
        <v>4623</v>
      </c>
      <c r="C6963" s="1" t="s">
        <v>130</v>
      </c>
      <c r="D6963" s="1" t="s">
        <v>131</v>
      </c>
      <c r="E6963" s="3">
        <v>2604</v>
      </c>
      <c r="F6963" s="1" t="s">
        <v>36</v>
      </c>
      <c r="G6963" s="3">
        <v>0</v>
      </c>
      <c r="H6963" s="1">
        <v>0</v>
      </c>
      <c r="I6963" s="1">
        <v>2.528184</v>
      </c>
    </row>
    <row r="6964" spans="1:9" x14ac:dyDescent="0.25">
      <c r="A6964" s="1">
        <v>2600100165</v>
      </c>
      <c r="B6964" s="1" t="s">
        <v>4624</v>
      </c>
      <c r="C6964" s="1" t="s">
        <v>130</v>
      </c>
      <c r="D6964" s="1" t="s">
        <v>131</v>
      </c>
      <c r="E6964" s="1">
        <v>1</v>
      </c>
      <c r="F6964" s="1" t="s">
        <v>4315</v>
      </c>
      <c r="G6964" s="1">
        <v>0</v>
      </c>
      <c r="H6964" s="1">
        <v>0</v>
      </c>
      <c r="I6964" s="1">
        <v>30.09</v>
      </c>
    </row>
    <row r="6965" spans="1:9" x14ac:dyDescent="0.25">
      <c r="A6965" s="1">
        <v>2600100169</v>
      </c>
      <c r="B6965" s="1" t="s">
        <v>4625</v>
      </c>
      <c r="C6965" s="1" t="s">
        <v>130</v>
      </c>
      <c r="D6965" s="1" t="s">
        <v>131</v>
      </c>
      <c r="E6965" s="1">
        <v>18</v>
      </c>
      <c r="F6965" s="1" t="s">
        <v>4315</v>
      </c>
      <c r="G6965" s="1">
        <v>0</v>
      </c>
      <c r="H6965" s="1">
        <v>0</v>
      </c>
      <c r="I6965" s="1">
        <v>3.2611110000000001</v>
      </c>
    </row>
    <row r="6966" spans="1:9" x14ac:dyDescent="0.25">
      <c r="A6966" s="1">
        <v>2600100170</v>
      </c>
      <c r="B6966" s="1" t="s">
        <v>4626</v>
      </c>
      <c r="C6966" s="1" t="s">
        <v>130</v>
      </c>
      <c r="D6966" s="1" t="s">
        <v>131</v>
      </c>
      <c r="E6966" s="1">
        <v>20</v>
      </c>
      <c r="F6966" s="1" t="s">
        <v>4315</v>
      </c>
      <c r="G6966" s="1">
        <v>0</v>
      </c>
      <c r="H6966" s="1">
        <v>0</v>
      </c>
      <c r="I6966" s="1">
        <v>3.0055000000000001</v>
      </c>
    </row>
    <row r="6967" spans="1:9" x14ac:dyDescent="0.25">
      <c r="A6967" s="1">
        <v>2600100173</v>
      </c>
      <c r="B6967" s="1" t="s">
        <v>4627</v>
      </c>
      <c r="C6967" s="1" t="s">
        <v>130</v>
      </c>
      <c r="D6967" s="1" t="s">
        <v>131</v>
      </c>
      <c r="E6967" s="1">
        <v>4</v>
      </c>
      <c r="F6967" s="1" t="s">
        <v>36</v>
      </c>
      <c r="G6967" s="1">
        <v>0</v>
      </c>
      <c r="H6967" s="1">
        <v>0</v>
      </c>
      <c r="I6967" s="1">
        <v>122.88249999999999</v>
      </c>
    </row>
    <row r="6968" spans="1:9" x14ac:dyDescent="0.25">
      <c r="A6968" s="1">
        <v>2600100179</v>
      </c>
      <c r="B6968" s="1" t="s">
        <v>4628</v>
      </c>
      <c r="C6968" s="1" t="s">
        <v>167</v>
      </c>
      <c r="D6968" s="1" t="s">
        <v>168</v>
      </c>
      <c r="E6968" s="1">
        <v>24</v>
      </c>
      <c r="F6968" s="1" t="s">
        <v>36</v>
      </c>
      <c r="G6968" s="1">
        <v>0</v>
      </c>
      <c r="H6968" s="1">
        <v>0</v>
      </c>
      <c r="I6968" s="1">
        <v>20</v>
      </c>
    </row>
    <row r="6969" spans="1:9" x14ac:dyDescent="0.25">
      <c r="A6969" s="1">
        <v>2600100183</v>
      </c>
      <c r="B6969" s="1" t="s">
        <v>4629</v>
      </c>
      <c r="C6969" s="1" t="s">
        <v>130</v>
      </c>
      <c r="D6969" s="1" t="s">
        <v>131</v>
      </c>
      <c r="E6969" s="1">
        <v>1</v>
      </c>
      <c r="F6969" s="1" t="s">
        <v>36</v>
      </c>
      <c r="G6969" s="1">
        <v>0</v>
      </c>
      <c r="H6969" s="1">
        <v>0</v>
      </c>
      <c r="I6969" s="1">
        <v>32.520000000000003</v>
      </c>
    </row>
    <row r="6970" spans="1:9" x14ac:dyDescent="0.25">
      <c r="A6970" s="1">
        <v>2600100192</v>
      </c>
      <c r="B6970" s="1" t="s">
        <v>4630</v>
      </c>
      <c r="C6970" s="1" t="s">
        <v>130</v>
      </c>
      <c r="D6970" s="1" t="s">
        <v>131</v>
      </c>
      <c r="E6970" s="1">
        <v>29</v>
      </c>
      <c r="F6970" s="1" t="s">
        <v>36</v>
      </c>
      <c r="G6970" s="3">
        <v>0</v>
      </c>
      <c r="H6970" s="1">
        <v>0</v>
      </c>
      <c r="I6970" s="1">
        <v>19.541034</v>
      </c>
    </row>
    <row r="6971" spans="1:9" x14ac:dyDescent="0.25">
      <c r="A6971" s="1">
        <v>2600100198</v>
      </c>
      <c r="B6971" s="1" t="s">
        <v>4631</v>
      </c>
      <c r="C6971" s="1" t="s">
        <v>130</v>
      </c>
      <c r="D6971" s="1" t="s">
        <v>131</v>
      </c>
      <c r="E6971" s="1">
        <v>2</v>
      </c>
      <c r="F6971" s="1" t="s">
        <v>36</v>
      </c>
      <c r="G6971" s="1">
        <v>0</v>
      </c>
      <c r="H6971" s="3">
        <v>0</v>
      </c>
      <c r="I6971" s="1">
        <v>220.34</v>
      </c>
    </row>
    <row r="6972" spans="1:9" x14ac:dyDescent="0.25">
      <c r="A6972" s="1">
        <v>2600100202</v>
      </c>
      <c r="B6972" s="1" t="s">
        <v>4632</v>
      </c>
      <c r="C6972" s="1" t="s">
        <v>130</v>
      </c>
      <c r="D6972" s="1" t="s">
        <v>131</v>
      </c>
      <c r="E6972" s="1">
        <v>16</v>
      </c>
      <c r="F6972" s="1" t="s">
        <v>4315</v>
      </c>
      <c r="G6972" s="1">
        <v>0</v>
      </c>
      <c r="H6972" s="3">
        <v>0</v>
      </c>
      <c r="I6972" s="1">
        <v>17.5</v>
      </c>
    </row>
    <row r="6973" spans="1:9" x14ac:dyDescent="0.25">
      <c r="A6973" s="1">
        <v>2600100209</v>
      </c>
      <c r="B6973" s="1" t="s">
        <v>4633</v>
      </c>
      <c r="C6973" s="1" t="s">
        <v>130</v>
      </c>
      <c r="D6973" s="1" t="s">
        <v>131</v>
      </c>
      <c r="E6973" s="1">
        <v>48</v>
      </c>
      <c r="F6973" s="1" t="s">
        <v>4315</v>
      </c>
      <c r="G6973" s="3">
        <v>0</v>
      </c>
      <c r="H6973" s="3">
        <v>0</v>
      </c>
      <c r="I6973" s="1">
        <v>14.13</v>
      </c>
    </row>
    <row r="6974" spans="1:9" x14ac:dyDescent="0.25">
      <c r="A6974" s="1">
        <v>2600100212</v>
      </c>
      <c r="B6974" s="1" t="s">
        <v>4634</v>
      </c>
      <c r="C6974" s="1" t="s">
        <v>130</v>
      </c>
      <c r="D6974" s="1" t="s">
        <v>131</v>
      </c>
      <c r="E6974" s="1">
        <v>12</v>
      </c>
      <c r="F6974" s="1" t="s">
        <v>36</v>
      </c>
      <c r="G6974" s="3">
        <v>0</v>
      </c>
      <c r="H6974" s="1">
        <v>0</v>
      </c>
      <c r="I6974" s="1">
        <v>2.5</v>
      </c>
    </row>
    <row r="6975" spans="1:9" x14ac:dyDescent="0.25">
      <c r="A6975" s="1">
        <v>2600060005</v>
      </c>
      <c r="B6975" s="1" t="s">
        <v>4561</v>
      </c>
      <c r="C6975" s="1" t="s">
        <v>130</v>
      </c>
      <c r="D6975" s="1" t="s">
        <v>131</v>
      </c>
      <c r="E6975" s="1">
        <v>8</v>
      </c>
      <c r="F6975" s="1" t="s">
        <v>36</v>
      </c>
      <c r="G6975" s="1">
        <v>0</v>
      </c>
      <c r="H6975" s="1">
        <v>0</v>
      </c>
      <c r="I6975" s="1">
        <v>27.815000000000001</v>
      </c>
    </row>
    <row r="6976" spans="1:9" x14ac:dyDescent="0.25">
      <c r="A6976" s="1">
        <v>2600060013</v>
      </c>
      <c r="B6976" s="1" t="s">
        <v>4635</v>
      </c>
      <c r="C6976" s="1" t="s">
        <v>137</v>
      </c>
      <c r="D6976" s="1" t="s">
        <v>138</v>
      </c>
      <c r="E6976" s="1">
        <v>200</v>
      </c>
      <c r="F6976" s="1" t="s">
        <v>36</v>
      </c>
      <c r="G6976" s="1">
        <v>0</v>
      </c>
      <c r="H6976" s="1">
        <v>0</v>
      </c>
      <c r="I6976" s="1">
        <v>8.75</v>
      </c>
    </row>
    <row r="6977" spans="1:9" x14ac:dyDescent="0.25">
      <c r="A6977" s="1">
        <v>2600060021</v>
      </c>
      <c r="B6977" s="1" t="s">
        <v>4562</v>
      </c>
      <c r="C6977" s="1" t="s">
        <v>130</v>
      </c>
      <c r="D6977" s="1" t="s">
        <v>131</v>
      </c>
      <c r="E6977" s="1">
        <v>7</v>
      </c>
      <c r="F6977" s="1" t="s">
        <v>36</v>
      </c>
      <c r="G6977" s="1">
        <v>0</v>
      </c>
      <c r="H6977" s="1">
        <v>0</v>
      </c>
      <c r="I6977" s="1">
        <v>16.95</v>
      </c>
    </row>
    <row r="6978" spans="1:9" x14ac:dyDescent="0.25">
      <c r="A6978" s="1">
        <v>2600060026</v>
      </c>
      <c r="B6978" s="1" t="s">
        <v>4636</v>
      </c>
      <c r="C6978" s="1" t="s">
        <v>137</v>
      </c>
      <c r="D6978" s="1" t="s">
        <v>138</v>
      </c>
      <c r="E6978" s="1">
        <v>235</v>
      </c>
      <c r="F6978" s="1" t="s">
        <v>36</v>
      </c>
      <c r="G6978" s="1">
        <v>0</v>
      </c>
      <c r="H6978" s="1">
        <v>0</v>
      </c>
      <c r="I6978" s="1">
        <v>4</v>
      </c>
    </row>
    <row r="6979" spans="1:9" x14ac:dyDescent="0.25">
      <c r="A6979" s="1">
        <v>2600060029</v>
      </c>
      <c r="B6979" s="1" t="s">
        <v>4563</v>
      </c>
      <c r="C6979" s="1" t="s">
        <v>167</v>
      </c>
      <c r="D6979" s="1" t="s">
        <v>168</v>
      </c>
      <c r="E6979" s="1">
        <v>40</v>
      </c>
      <c r="F6979" s="1" t="s">
        <v>36</v>
      </c>
      <c r="G6979" s="1">
        <v>0</v>
      </c>
      <c r="H6979" s="1">
        <v>0</v>
      </c>
      <c r="I6979" s="1">
        <v>28</v>
      </c>
    </row>
    <row r="6980" spans="1:9" x14ac:dyDescent="0.25">
      <c r="A6980" s="1">
        <v>2600060030</v>
      </c>
      <c r="B6980" s="1" t="s">
        <v>4564</v>
      </c>
      <c r="C6980" s="1" t="s">
        <v>130</v>
      </c>
      <c r="D6980" s="1" t="s">
        <v>131</v>
      </c>
      <c r="E6980" s="1">
        <v>11</v>
      </c>
      <c r="F6980" s="1" t="s">
        <v>36</v>
      </c>
      <c r="G6980" s="1">
        <v>0</v>
      </c>
      <c r="H6980" s="1">
        <v>0</v>
      </c>
      <c r="I6980" s="1">
        <v>20.494544999999999</v>
      </c>
    </row>
    <row r="6981" spans="1:9" x14ac:dyDescent="0.25">
      <c r="A6981" s="1">
        <v>2600060032</v>
      </c>
      <c r="B6981" s="1" t="s">
        <v>4565</v>
      </c>
      <c r="C6981" s="1" t="s">
        <v>130</v>
      </c>
      <c r="D6981" s="1" t="s">
        <v>131</v>
      </c>
      <c r="E6981" s="1">
        <v>7</v>
      </c>
      <c r="F6981" s="1" t="s">
        <v>36</v>
      </c>
      <c r="G6981" s="1">
        <v>0</v>
      </c>
      <c r="H6981" s="1">
        <v>0</v>
      </c>
      <c r="I6981" s="1">
        <v>62.81</v>
      </c>
    </row>
    <row r="6982" spans="1:9" x14ac:dyDescent="0.25">
      <c r="A6982" s="1">
        <v>2600060034</v>
      </c>
      <c r="B6982" s="1" t="s">
        <v>4637</v>
      </c>
      <c r="C6982" s="1" t="s">
        <v>137</v>
      </c>
      <c r="D6982" s="1" t="s">
        <v>138</v>
      </c>
      <c r="E6982" s="1">
        <v>112</v>
      </c>
      <c r="F6982" s="1" t="s">
        <v>36</v>
      </c>
      <c r="G6982" s="1">
        <v>0</v>
      </c>
      <c r="H6982" s="1">
        <v>0</v>
      </c>
      <c r="I6982" s="1">
        <v>15.121696</v>
      </c>
    </row>
    <row r="6983" spans="1:9" x14ac:dyDescent="0.25">
      <c r="A6983" s="1">
        <v>2600060039</v>
      </c>
      <c r="B6983" s="1" t="s">
        <v>4566</v>
      </c>
      <c r="C6983" s="1" t="s">
        <v>130</v>
      </c>
      <c r="D6983" s="1" t="s">
        <v>131</v>
      </c>
      <c r="E6983" s="1">
        <v>3</v>
      </c>
      <c r="F6983" s="1" t="s">
        <v>36</v>
      </c>
      <c r="G6983" s="1">
        <v>0</v>
      </c>
      <c r="H6983" s="1">
        <v>0</v>
      </c>
      <c r="I6983" s="1">
        <v>11</v>
      </c>
    </row>
    <row r="6984" spans="1:9" x14ac:dyDescent="0.25">
      <c r="A6984" s="1">
        <v>2600060040</v>
      </c>
      <c r="B6984" s="1" t="s">
        <v>4638</v>
      </c>
      <c r="C6984" s="1" t="s">
        <v>137</v>
      </c>
      <c r="D6984" s="1" t="s">
        <v>138</v>
      </c>
      <c r="E6984" s="3">
        <v>2517</v>
      </c>
      <c r="F6984" s="1" t="s">
        <v>36</v>
      </c>
      <c r="G6984" s="1">
        <v>0</v>
      </c>
      <c r="H6984" s="1">
        <v>0</v>
      </c>
      <c r="I6984" s="1">
        <v>4.9422410000000001</v>
      </c>
    </row>
    <row r="6985" spans="1:9" x14ac:dyDescent="0.25">
      <c r="A6985" s="1">
        <v>2600060041</v>
      </c>
      <c r="B6985" s="1" t="s">
        <v>4567</v>
      </c>
      <c r="C6985" s="1" t="s">
        <v>130</v>
      </c>
      <c r="D6985" s="1" t="s">
        <v>131</v>
      </c>
      <c r="E6985" s="1">
        <v>63</v>
      </c>
      <c r="F6985" s="1" t="s">
        <v>36</v>
      </c>
      <c r="G6985" s="1">
        <v>0</v>
      </c>
      <c r="H6985" s="1">
        <v>0</v>
      </c>
      <c r="I6985" s="1">
        <v>5.5868250000000002</v>
      </c>
    </row>
    <row r="6986" spans="1:9" x14ac:dyDescent="0.25">
      <c r="A6986" s="1">
        <v>2600060041</v>
      </c>
      <c r="B6986" s="1" t="s">
        <v>4567</v>
      </c>
      <c r="C6986" s="1" t="s">
        <v>167</v>
      </c>
      <c r="D6986" s="1" t="s">
        <v>168</v>
      </c>
      <c r="E6986" s="1">
        <v>100</v>
      </c>
      <c r="F6986" s="1" t="s">
        <v>36</v>
      </c>
      <c r="G6986" s="1">
        <v>0</v>
      </c>
      <c r="H6986" s="3">
        <v>0</v>
      </c>
      <c r="I6986" s="1">
        <v>3.4571000000000001</v>
      </c>
    </row>
    <row r="6987" spans="1:9" x14ac:dyDescent="0.25">
      <c r="A6987" s="1">
        <v>2600060047</v>
      </c>
      <c r="B6987" s="1" t="s">
        <v>4568</v>
      </c>
      <c r="C6987" s="1" t="s">
        <v>130</v>
      </c>
      <c r="D6987" s="1" t="s">
        <v>131</v>
      </c>
      <c r="E6987" s="1">
        <v>17</v>
      </c>
      <c r="F6987" s="1" t="s">
        <v>4315</v>
      </c>
      <c r="G6987" s="1">
        <v>0</v>
      </c>
      <c r="H6987" s="1">
        <v>0</v>
      </c>
      <c r="I6987" s="1">
        <v>57.624706000000003</v>
      </c>
    </row>
    <row r="6988" spans="1:9" x14ac:dyDescent="0.25">
      <c r="A6988" s="1">
        <v>2600060060</v>
      </c>
      <c r="B6988" s="1" t="s">
        <v>4569</v>
      </c>
      <c r="C6988" s="1" t="s">
        <v>167</v>
      </c>
      <c r="D6988" s="1" t="s">
        <v>168</v>
      </c>
      <c r="E6988" s="1">
        <v>68</v>
      </c>
      <c r="F6988" s="1" t="s">
        <v>36</v>
      </c>
      <c r="G6988" s="1">
        <v>0</v>
      </c>
      <c r="H6988" s="3">
        <v>0</v>
      </c>
      <c r="I6988" s="1">
        <v>38.010882000000002</v>
      </c>
    </row>
    <row r="6989" spans="1:9" x14ac:dyDescent="0.25">
      <c r="A6989" s="1">
        <v>2600060062</v>
      </c>
      <c r="B6989" s="1" t="s">
        <v>4639</v>
      </c>
      <c r="C6989" s="1" t="s">
        <v>137</v>
      </c>
      <c r="D6989" s="1" t="s">
        <v>138</v>
      </c>
      <c r="E6989" s="1">
        <v>271</v>
      </c>
      <c r="F6989" s="1" t="s">
        <v>36</v>
      </c>
      <c r="G6989" s="1">
        <v>0</v>
      </c>
      <c r="H6989" s="3">
        <v>0</v>
      </c>
      <c r="I6989" s="1">
        <v>15.859779</v>
      </c>
    </row>
    <row r="6990" spans="1:9" x14ac:dyDescent="0.25">
      <c r="A6990" s="1">
        <v>2600060069</v>
      </c>
      <c r="B6990" s="1" t="s">
        <v>4570</v>
      </c>
      <c r="C6990" s="1" t="s">
        <v>167</v>
      </c>
      <c r="D6990" s="1" t="s">
        <v>168</v>
      </c>
      <c r="E6990" s="1">
        <v>38</v>
      </c>
      <c r="F6990" s="1" t="s">
        <v>36</v>
      </c>
      <c r="G6990" s="1">
        <v>0</v>
      </c>
      <c r="H6990" s="1">
        <v>0</v>
      </c>
      <c r="I6990" s="1">
        <v>57.463158</v>
      </c>
    </row>
    <row r="6991" spans="1:9" x14ac:dyDescent="0.25">
      <c r="A6991" s="1">
        <v>2600060074</v>
      </c>
      <c r="B6991" s="1" t="s">
        <v>4640</v>
      </c>
      <c r="C6991" s="1" t="s">
        <v>137</v>
      </c>
      <c r="D6991" s="1" t="s">
        <v>138</v>
      </c>
      <c r="E6991" s="1">
        <v>209</v>
      </c>
      <c r="F6991" s="1" t="s">
        <v>36</v>
      </c>
      <c r="G6991" s="1">
        <v>0</v>
      </c>
      <c r="H6991" s="1">
        <v>0</v>
      </c>
      <c r="I6991" s="1">
        <v>14.583014</v>
      </c>
    </row>
    <row r="6992" spans="1:9" x14ac:dyDescent="0.25">
      <c r="A6992" s="1">
        <v>2600060080</v>
      </c>
      <c r="B6992" s="1" t="s">
        <v>4571</v>
      </c>
      <c r="C6992" s="1" t="s">
        <v>130</v>
      </c>
      <c r="D6992" s="1" t="s">
        <v>131</v>
      </c>
      <c r="E6992" s="1">
        <v>35</v>
      </c>
      <c r="F6992" s="1" t="s">
        <v>36</v>
      </c>
      <c r="G6992" s="1">
        <v>0</v>
      </c>
      <c r="H6992" s="1">
        <v>0</v>
      </c>
      <c r="I6992" s="1">
        <v>4.5</v>
      </c>
    </row>
    <row r="6993" spans="1:9" x14ac:dyDescent="0.25">
      <c r="A6993" s="1">
        <v>2600060082</v>
      </c>
      <c r="B6993" s="1" t="s">
        <v>4572</v>
      </c>
      <c r="C6993" s="1" t="s">
        <v>130</v>
      </c>
      <c r="D6993" s="1" t="s">
        <v>131</v>
      </c>
      <c r="E6993" s="1">
        <v>29</v>
      </c>
      <c r="F6993" s="1" t="s">
        <v>36</v>
      </c>
      <c r="G6993" s="1">
        <v>0</v>
      </c>
      <c r="H6993" s="1">
        <v>0</v>
      </c>
      <c r="I6993" s="1">
        <v>35</v>
      </c>
    </row>
    <row r="6994" spans="1:9" x14ac:dyDescent="0.25">
      <c r="A6994" s="1">
        <v>2600060085</v>
      </c>
      <c r="B6994" s="1" t="s">
        <v>4641</v>
      </c>
      <c r="C6994" s="1" t="s">
        <v>137</v>
      </c>
      <c r="D6994" s="1" t="s">
        <v>138</v>
      </c>
      <c r="E6994" s="1">
        <v>398</v>
      </c>
      <c r="F6994" s="1" t="s">
        <v>36</v>
      </c>
      <c r="G6994" s="1">
        <v>0</v>
      </c>
      <c r="H6994" s="1">
        <v>0</v>
      </c>
      <c r="I6994" s="1">
        <v>12.990100999999999</v>
      </c>
    </row>
    <row r="6995" spans="1:9" x14ac:dyDescent="0.25">
      <c r="A6995" s="1">
        <v>2600060089</v>
      </c>
      <c r="B6995" s="1" t="s">
        <v>4573</v>
      </c>
      <c r="C6995" s="1" t="s">
        <v>130</v>
      </c>
      <c r="D6995" s="1" t="s">
        <v>131</v>
      </c>
      <c r="E6995" s="1">
        <v>69</v>
      </c>
      <c r="F6995" s="1" t="s">
        <v>36</v>
      </c>
      <c r="G6995" s="1">
        <v>0</v>
      </c>
      <c r="H6995" s="3">
        <v>0</v>
      </c>
      <c r="I6995" s="1">
        <v>10.5</v>
      </c>
    </row>
    <row r="6996" spans="1:9" x14ac:dyDescent="0.25">
      <c r="A6996" s="1">
        <v>2600060090</v>
      </c>
      <c r="B6996" s="1" t="s">
        <v>4574</v>
      </c>
      <c r="C6996" s="1" t="s">
        <v>130</v>
      </c>
      <c r="D6996" s="1" t="s">
        <v>131</v>
      </c>
      <c r="E6996" s="1">
        <v>47</v>
      </c>
      <c r="F6996" s="1" t="s">
        <v>36</v>
      </c>
      <c r="G6996" s="1">
        <v>0</v>
      </c>
      <c r="H6996" s="3">
        <v>0</v>
      </c>
      <c r="I6996" s="1">
        <v>13.5</v>
      </c>
    </row>
    <row r="6997" spans="1:9" x14ac:dyDescent="0.25">
      <c r="A6997" s="1">
        <v>2600080013</v>
      </c>
      <c r="B6997" s="1" t="s">
        <v>4575</v>
      </c>
      <c r="C6997" s="1" t="s">
        <v>130</v>
      </c>
      <c r="D6997" s="1" t="s">
        <v>131</v>
      </c>
      <c r="E6997" s="1">
        <v>100</v>
      </c>
      <c r="F6997" s="1" t="s">
        <v>36</v>
      </c>
      <c r="G6997" s="1">
        <v>0</v>
      </c>
      <c r="H6997" s="3">
        <v>0</v>
      </c>
      <c r="I6997" s="1">
        <v>0.1293</v>
      </c>
    </row>
    <row r="6998" spans="1:9" x14ac:dyDescent="0.25">
      <c r="A6998" s="1">
        <v>2600080121</v>
      </c>
      <c r="B6998" s="1" t="s">
        <v>4576</v>
      </c>
      <c r="C6998" s="1" t="s">
        <v>167</v>
      </c>
      <c r="D6998" s="1" t="s">
        <v>168</v>
      </c>
      <c r="E6998" s="1">
        <v>4</v>
      </c>
      <c r="F6998" s="1" t="s">
        <v>36</v>
      </c>
      <c r="G6998" s="3">
        <v>0</v>
      </c>
      <c r="H6998" s="1">
        <v>0</v>
      </c>
      <c r="I6998" s="1">
        <v>84.857500000000002</v>
      </c>
    </row>
    <row r="6999" spans="1:9" x14ac:dyDescent="0.25">
      <c r="A6999" s="1">
        <v>2600080323</v>
      </c>
      <c r="B6999" s="1" t="s">
        <v>4577</v>
      </c>
      <c r="C6999" s="1" t="s">
        <v>130</v>
      </c>
      <c r="D6999" s="1" t="s">
        <v>131</v>
      </c>
      <c r="E6999" s="1">
        <v>2</v>
      </c>
      <c r="F6999" s="1" t="s">
        <v>36</v>
      </c>
      <c r="G6999" s="1">
        <v>0</v>
      </c>
      <c r="H6999" s="1">
        <v>0</v>
      </c>
      <c r="I6999" s="1">
        <v>465.25</v>
      </c>
    </row>
    <row r="7000" spans="1:9" x14ac:dyDescent="0.25">
      <c r="A7000" s="1">
        <v>2600090006</v>
      </c>
      <c r="B7000" s="1" t="s">
        <v>4578</v>
      </c>
      <c r="C7000" s="1" t="s">
        <v>130</v>
      </c>
      <c r="D7000" s="1" t="s">
        <v>131</v>
      </c>
      <c r="E7000" s="1">
        <v>1</v>
      </c>
      <c r="F7000" s="1" t="s">
        <v>36</v>
      </c>
      <c r="G7000" s="1">
        <v>0</v>
      </c>
      <c r="H7000" s="1">
        <v>0</v>
      </c>
      <c r="I7000" s="1">
        <v>6.61</v>
      </c>
    </row>
    <row r="7001" spans="1:9" x14ac:dyDescent="0.25">
      <c r="A7001" s="1">
        <v>2600090016</v>
      </c>
      <c r="B7001" s="1" t="s">
        <v>4579</v>
      </c>
      <c r="C7001" s="1" t="s">
        <v>130</v>
      </c>
      <c r="D7001" s="1" t="s">
        <v>131</v>
      </c>
      <c r="E7001" s="1">
        <v>6</v>
      </c>
      <c r="F7001" s="1" t="s">
        <v>36</v>
      </c>
      <c r="G7001" s="1">
        <v>0</v>
      </c>
      <c r="H7001" s="1">
        <v>0</v>
      </c>
      <c r="I7001" s="1">
        <v>16</v>
      </c>
    </row>
    <row r="7002" spans="1:9" x14ac:dyDescent="0.25">
      <c r="A7002" s="1">
        <v>2600090021</v>
      </c>
      <c r="B7002" s="1" t="s">
        <v>4580</v>
      </c>
      <c r="C7002" s="1" t="s">
        <v>130</v>
      </c>
      <c r="D7002" s="1" t="s">
        <v>131</v>
      </c>
      <c r="E7002" s="1">
        <v>8</v>
      </c>
      <c r="F7002" s="1" t="s">
        <v>3218</v>
      </c>
      <c r="G7002" s="1">
        <v>0</v>
      </c>
      <c r="H7002" s="1">
        <v>0</v>
      </c>
      <c r="I7002" s="1">
        <v>9.3524999999999991</v>
      </c>
    </row>
    <row r="7003" spans="1:9" x14ac:dyDescent="0.25">
      <c r="A7003" s="1">
        <v>2600090031</v>
      </c>
      <c r="B7003" s="1" t="s">
        <v>4581</v>
      </c>
      <c r="C7003" s="1" t="s">
        <v>130</v>
      </c>
      <c r="D7003" s="1" t="s">
        <v>131</v>
      </c>
      <c r="E7003" s="1">
        <v>40</v>
      </c>
      <c r="F7003" s="1" t="s">
        <v>36</v>
      </c>
      <c r="G7003" s="1">
        <v>0</v>
      </c>
      <c r="H7003" s="1">
        <v>0</v>
      </c>
      <c r="I7003" s="1">
        <v>2.82</v>
      </c>
    </row>
    <row r="7004" spans="1:9" x14ac:dyDescent="0.25">
      <c r="A7004" s="1">
        <v>2600090040</v>
      </c>
      <c r="B7004" s="1" t="s">
        <v>4582</v>
      </c>
      <c r="C7004" s="1" t="s">
        <v>130</v>
      </c>
      <c r="D7004" s="1" t="s">
        <v>131</v>
      </c>
      <c r="E7004" s="1">
        <v>1</v>
      </c>
      <c r="F7004" s="1" t="s">
        <v>36</v>
      </c>
      <c r="G7004" s="1">
        <v>0</v>
      </c>
      <c r="H7004" s="1">
        <v>0</v>
      </c>
      <c r="I7004" s="1">
        <v>9.24</v>
      </c>
    </row>
    <row r="7005" spans="1:9" x14ac:dyDescent="0.25">
      <c r="A7005" s="1">
        <v>2600090053</v>
      </c>
      <c r="B7005" s="1" t="s">
        <v>4584</v>
      </c>
      <c r="C7005" s="1" t="s">
        <v>130</v>
      </c>
      <c r="D7005" s="1" t="s">
        <v>131</v>
      </c>
      <c r="E7005" s="1">
        <v>2</v>
      </c>
      <c r="F7005" s="1" t="s">
        <v>36</v>
      </c>
      <c r="G7005" s="1">
        <v>0</v>
      </c>
      <c r="H7005" s="1">
        <v>0</v>
      </c>
      <c r="I7005" s="1">
        <v>2.2999999999999998</v>
      </c>
    </row>
    <row r="7006" spans="1:9" x14ac:dyDescent="0.25">
      <c r="A7006" s="1">
        <v>2600090064</v>
      </c>
      <c r="B7006" s="1" t="s">
        <v>4585</v>
      </c>
      <c r="C7006" s="1" t="s">
        <v>130</v>
      </c>
      <c r="D7006" s="1" t="s">
        <v>131</v>
      </c>
      <c r="E7006" s="1">
        <v>2</v>
      </c>
      <c r="F7006" s="1" t="s">
        <v>36</v>
      </c>
      <c r="G7006" s="3">
        <v>0</v>
      </c>
      <c r="H7006" s="1">
        <v>0</v>
      </c>
      <c r="I7006" s="1">
        <v>10.635</v>
      </c>
    </row>
    <row r="7007" spans="1:9" x14ac:dyDescent="0.25">
      <c r="A7007" s="1">
        <v>2600090067</v>
      </c>
      <c r="B7007" s="1" t="s">
        <v>4586</v>
      </c>
      <c r="C7007" s="1" t="s">
        <v>130</v>
      </c>
      <c r="D7007" s="1" t="s">
        <v>131</v>
      </c>
      <c r="E7007" s="1">
        <v>30</v>
      </c>
      <c r="F7007" s="1" t="s">
        <v>36</v>
      </c>
      <c r="G7007" s="1">
        <v>0</v>
      </c>
      <c r="H7007" s="1">
        <v>0</v>
      </c>
      <c r="I7007" s="1">
        <v>1.6033329999999999</v>
      </c>
    </row>
    <row r="7008" spans="1:9" x14ac:dyDescent="0.25">
      <c r="A7008" s="1">
        <v>2600090072</v>
      </c>
      <c r="B7008" s="1" t="s">
        <v>4587</v>
      </c>
      <c r="C7008" s="1" t="s">
        <v>130</v>
      </c>
      <c r="D7008" s="1" t="s">
        <v>131</v>
      </c>
      <c r="E7008" s="1">
        <v>10</v>
      </c>
      <c r="F7008" s="1" t="s">
        <v>36</v>
      </c>
      <c r="G7008" s="1">
        <v>0</v>
      </c>
      <c r="H7008" s="1">
        <v>0</v>
      </c>
      <c r="I7008" s="1">
        <v>18.613</v>
      </c>
    </row>
    <row r="7009" spans="1:9" x14ac:dyDescent="0.25">
      <c r="A7009" s="1">
        <v>2600090074</v>
      </c>
      <c r="B7009" s="1" t="s">
        <v>4588</v>
      </c>
      <c r="C7009" s="1" t="s">
        <v>130</v>
      </c>
      <c r="D7009" s="1" t="s">
        <v>131</v>
      </c>
      <c r="E7009" s="1">
        <v>11</v>
      </c>
      <c r="F7009" s="1" t="s">
        <v>1015</v>
      </c>
      <c r="G7009" s="1">
        <v>0</v>
      </c>
      <c r="H7009" s="1">
        <v>0</v>
      </c>
      <c r="I7009" s="1">
        <v>13.392727000000001</v>
      </c>
    </row>
    <row r="7010" spans="1:9" x14ac:dyDescent="0.25">
      <c r="A7010" s="1">
        <v>2600090079</v>
      </c>
      <c r="B7010" s="1" t="s">
        <v>4589</v>
      </c>
      <c r="C7010" s="1" t="s">
        <v>130</v>
      </c>
      <c r="D7010" s="1" t="s">
        <v>131</v>
      </c>
      <c r="E7010" s="1">
        <v>100</v>
      </c>
      <c r="F7010" s="1" t="s">
        <v>36</v>
      </c>
      <c r="G7010" s="1">
        <v>0</v>
      </c>
      <c r="H7010" s="1">
        <v>0</v>
      </c>
      <c r="I7010" s="1">
        <v>0.2437</v>
      </c>
    </row>
    <row r="7011" spans="1:9" x14ac:dyDescent="0.25">
      <c r="A7011" s="1">
        <v>2600090082</v>
      </c>
      <c r="B7011" s="1" t="s">
        <v>4590</v>
      </c>
      <c r="C7011" s="1" t="s">
        <v>130</v>
      </c>
      <c r="D7011" s="1" t="s">
        <v>131</v>
      </c>
      <c r="E7011" s="1">
        <v>32</v>
      </c>
      <c r="F7011" s="1" t="s">
        <v>36</v>
      </c>
      <c r="G7011" s="1">
        <v>0</v>
      </c>
      <c r="H7011" s="1">
        <v>0</v>
      </c>
      <c r="I7011" s="1">
        <v>19.173438000000001</v>
      </c>
    </row>
    <row r="7012" spans="1:9" x14ac:dyDescent="0.25">
      <c r="A7012" s="1">
        <v>2600090083</v>
      </c>
      <c r="B7012" s="1" t="s">
        <v>4591</v>
      </c>
      <c r="C7012" s="1" t="s">
        <v>130</v>
      </c>
      <c r="D7012" s="1" t="s">
        <v>131</v>
      </c>
      <c r="E7012" s="1">
        <v>2</v>
      </c>
      <c r="F7012" s="1" t="s">
        <v>36</v>
      </c>
      <c r="G7012" s="3">
        <v>0</v>
      </c>
      <c r="H7012" s="1">
        <v>0</v>
      </c>
      <c r="I7012" s="1">
        <v>8.5</v>
      </c>
    </row>
    <row r="7013" spans="1:9" x14ac:dyDescent="0.25">
      <c r="A7013" s="1">
        <v>2600100001</v>
      </c>
      <c r="B7013" s="1" t="s">
        <v>4592</v>
      </c>
      <c r="C7013" s="1" t="s">
        <v>130</v>
      </c>
      <c r="D7013" s="1" t="s">
        <v>131</v>
      </c>
      <c r="E7013" s="1">
        <v>2</v>
      </c>
      <c r="F7013" s="1" t="s">
        <v>36</v>
      </c>
      <c r="G7013" s="1">
        <v>0</v>
      </c>
      <c r="H7013" s="1">
        <v>0</v>
      </c>
      <c r="I7013" s="1">
        <v>65.364999999999995</v>
      </c>
    </row>
    <row r="7014" spans="1:9" x14ac:dyDescent="0.25">
      <c r="A7014" s="1">
        <v>2600100015</v>
      </c>
      <c r="B7014" s="1" t="s">
        <v>4593</v>
      </c>
      <c r="C7014" s="1" t="s">
        <v>130</v>
      </c>
      <c r="D7014" s="1" t="s">
        <v>131</v>
      </c>
      <c r="E7014" s="1">
        <v>1</v>
      </c>
      <c r="F7014" s="1" t="s">
        <v>36</v>
      </c>
      <c r="G7014" s="1">
        <v>0</v>
      </c>
      <c r="H7014" s="1">
        <v>0</v>
      </c>
      <c r="I7014" s="1">
        <v>12.47</v>
      </c>
    </row>
    <row r="7015" spans="1:9" x14ac:dyDescent="0.25">
      <c r="A7015" s="1">
        <v>2600100018</v>
      </c>
      <c r="B7015" s="1" t="s">
        <v>4594</v>
      </c>
      <c r="C7015" s="1" t="s">
        <v>130</v>
      </c>
      <c r="D7015" s="1" t="s">
        <v>131</v>
      </c>
      <c r="E7015" s="1">
        <v>1</v>
      </c>
      <c r="F7015" s="1" t="s">
        <v>36</v>
      </c>
      <c r="G7015" s="3">
        <v>0</v>
      </c>
      <c r="H7015" s="1">
        <v>0</v>
      </c>
      <c r="I7015" s="1">
        <v>33.909999999999997</v>
      </c>
    </row>
    <row r="7016" spans="1:9" x14ac:dyDescent="0.25">
      <c r="A7016" s="1">
        <v>2600100036</v>
      </c>
      <c r="B7016" s="1" t="s">
        <v>4595</v>
      </c>
      <c r="C7016" s="1" t="s">
        <v>130</v>
      </c>
      <c r="D7016" s="1" t="s">
        <v>131</v>
      </c>
      <c r="E7016" s="1">
        <v>3</v>
      </c>
      <c r="F7016" s="1" t="s">
        <v>36</v>
      </c>
      <c r="G7016" s="3">
        <v>0</v>
      </c>
      <c r="H7016" s="1">
        <v>0</v>
      </c>
      <c r="I7016" s="1">
        <v>15.25</v>
      </c>
    </row>
    <row r="7017" spans="1:9" x14ac:dyDescent="0.25">
      <c r="A7017" s="1">
        <v>2600100038</v>
      </c>
      <c r="B7017" s="1" t="s">
        <v>4596</v>
      </c>
      <c r="C7017" s="1" t="s">
        <v>130</v>
      </c>
      <c r="D7017" s="1" t="s">
        <v>131</v>
      </c>
      <c r="E7017" s="1">
        <v>12</v>
      </c>
      <c r="F7017" s="1" t="s">
        <v>36</v>
      </c>
      <c r="G7017" s="3">
        <v>0</v>
      </c>
      <c r="H7017" s="1">
        <v>0</v>
      </c>
      <c r="I7017" s="1">
        <v>59.321666999999998</v>
      </c>
    </row>
    <row r="7018" spans="1:9" x14ac:dyDescent="0.25">
      <c r="A7018" s="1">
        <v>2600100039</v>
      </c>
      <c r="B7018" s="1" t="s">
        <v>4597</v>
      </c>
      <c r="C7018" s="1" t="s">
        <v>130</v>
      </c>
      <c r="D7018" s="1" t="s">
        <v>131</v>
      </c>
      <c r="E7018" s="1">
        <v>34</v>
      </c>
      <c r="F7018" s="1" t="s">
        <v>36</v>
      </c>
      <c r="G7018" s="1">
        <v>0</v>
      </c>
      <c r="H7018" s="1">
        <v>0</v>
      </c>
      <c r="I7018" s="1">
        <v>6.8694119999999996</v>
      </c>
    </row>
    <row r="7019" spans="1:9" x14ac:dyDescent="0.25">
      <c r="A7019" s="1">
        <v>2600100040</v>
      </c>
      <c r="B7019" s="1" t="s">
        <v>4598</v>
      </c>
      <c r="C7019" s="1" t="s">
        <v>130</v>
      </c>
      <c r="D7019" s="1" t="s">
        <v>131</v>
      </c>
      <c r="E7019" s="1">
        <v>10</v>
      </c>
      <c r="F7019" s="1" t="s">
        <v>36</v>
      </c>
      <c r="G7019" s="3">
        <v>0</v>
      </c>
      <c r="H7019" s="1">
        <v>0</v>
      </c>
      <c r="I7019" s="1">
        <v>5.8470000000000004</v>
      </c>
    </row>
    <row r="7020" spans="1:9" x14ac:dyDescent="0.25">
      <c r="A7020" s="1">
        <v>2600100044</v>
      </c>
      <c r="B7020" s="1" t="s">
        <v>4599</v>
      </c>
      <c r="C7020" s="1" t="s">
        <v>130</v>
      </c>
      <c r="D7020" s="1" t="s">
        <v>131</v>
      </c>
      <c r="E7020" s="1">
        <v>8</v>
      </c>
      <c r="F7020" s="1" t="s">
        <v>36</v>
      </c>
      <c r="G7020" s="1">
        <v>0</v>
      </c>
      <c r="H7020" s="1">
        <v>0</v>
      </c>
      <c r="I7020" s="1">
        <v>4.1675000000000004</v>
      </c>
    </row>
    <row r="7021" spans="1:9" x14ac:dyDescent="0.25">
      <c r="A7021" s="1">
        <v>2600100053</v>
      </c>
      <c r="B7021" s="1" t="s">
        <v>4600</v>
      </c>
      <c r="C7021" s="1" t="s">
        <v>130</v>
      </c>
      <c r="D7021" s="1" t="s">
        <v>131</v>
      </c>
      <c r="E7021" s="1">
        <v>13</v>
      </c>
      <c r="F7021" s="1" t="s">
        <v>4315</v>
      </c>
      <c r="G7021" s="3">
        <v>0</v>
      </c>
      <c r="H7021" s="1">
        <v>0</v>
      </c>
      <c r="I7021" s="1">
        <v>7.6023079999999998</v>
      </c>
    </row>
    <row r="7022" spans="1:9" x14ac:dyDescent="0.25">
      <c r="A7022" s="1">
        <v>2600100054</v>
      </c>
      <c r="B7022" s="1" t="s">
        <v>4601</v>
      </c>
      <c r="C7022" s="1" t="s">
        <v>130</v>
      </c>
      <c r="D7022" s="1" t="s">
        <v>131</v>
      </c>
      <c r="E7022" s="1">
        <v>2</v>
      </c>
      <c r="F7022" s="1" t="s">
        <v>36</v>
      </c>
      <c r="G7022" s="3">
        <v>0</v>
      </c>
      <c r="H7022" s="1">
        <v>0</v>
      </c>
      <c r="I7022" s="1">
        <v>180.01</v>
      </c>
    </row>
    <row r="7023" spans="1:9" x14ac:dyDescent="0.25">
      <c r="A7023" s="1">
        <v>2600100063</v>
      </c>
      <c r="B7023" s="1" t="s">
        <v>4602</v>
      </c>
      <c r="C7023" s="1" t="s">
        <v>130</v>
      </c>
      <c r="D7023" s="1" t="s">
        <v>131</v>
      </c>
      <c r="E7023" s="1">
        <v>13</v>
      </c>
      <c r="F7023" s="1" t="s">
        <v>36</v>
      </c>
      <c r="G7023" s="1">
        <v>0</v>
      </c>
      <c r="H7023" s="1">
        <v>0</v>
      </c>
      <c r="I7023" s="1">
        <v>5.2746149999999998</v>
      </c>
    </row>
    <row r="7024" spans="1:9" x14ac:dyDescent="0.25">
      <c r="A7024" s="1">
        <v>2600100071</v>
      </c>
      <c r="B7024" s="1" t="s">
        <v>4603</v>
      </c>
      <c r="C7024" s="1" t="s">
        <v>130</v>
      </c>
      <c r="D7024" s="1" t="s">
        <v>131</v>
      </c>
      <c r="E7024" s="1">
        <v>3</v>
      </c>
      <c r="F7024" s="1" t="s">
        <v>36</v>
      </c>
      <c r="G7024" s="3">
        <v>0</v>
      </c>
      <c r="H7024" s="1">
        <v>0</v>
      </c>
      <c r="I7024" s="1">
        <v>111.67666699999999</v>
      </c>
    </row>
    <row r="7025" spans="1:9" x14ac:dyDescent="0.25">
      <c r="A7025" s="1">
        <v>2600100074</v>
      </c>
      <c r="B7025" s="1" t="s">
        <v>4604</v>
      </c>
      <c r="C7025" s="1" t="s">
        <v>130</v>
      </c>
      <c r="D7025" s="1" t="s">
        <v>131</v>
      </c>
      <c r="E7025" s="1">
        <v>1</v>
      </c>
      <c r="F7025" s="1" t="s">
        <v>36</v>
      </c>
      <c r="G7025" s="3">
        <v>0</v>
      </c>
      <c r="H7025" s="1">
        <v>0</v>
      </c>
      <c r="I7025" s="1">
        <v>70.989999999999995</v>
      </c>
    </row>
    <row r="7026" spans="1:9" x14ac:dyDescent="0.25">
      <c r="A7026" s="1">
        <v>2600100083</v>
      </c>
      <c r="B7026" s="1" t="s">
        <v>4605</v>
      </c>
      <c r="C7026" s="1" t="s">
        <v>130</v>
      </c>
      <c r="D7026" s="1" t="s">
        <v>131</v>
      </c>
      <c r="E7026" s="1">
        <v>13</v>
      </c>
      <c r="F7026" s="1" t="s">
        <v>36</v>
      </c>
      <c r="G7026" s="3">
        <v>0</v>
      </c>
      <c r="H7026" s="1">
        <v>0</v>
      </c>
      <c r="I7026" s="1">
        <v>12.142308</v>
      </c>
    </row>
    <row r="7027" spans="1:9" x14ac:dyDescent="0.25">
      <c r="A7027" s="1">
        <v>2600100086</v>
      </c>
      <c r="B7027" s="1" t="s">
        <v>4606</v>
      </c>
      <c r="C7027" s="1" t="s">
        <v>130</v>
      </c>
      <c r="D7027" s="1" t="s">
        <v>131</v>
      </c>
      <c r="E7027" s="1">
        <v>12</v>
      </c>
      <c r="F7027" s="1" t="s">
        <v>36</v>
      </c>
      <c r="G7027" s="3">
        <v>0</v>
      </c>
      <c r="H7027" s="1">
        <v>0</v>
      </c>
      <c r="I7027" s="1">
        <v>63.088332999999999</v>
      </c>
    </row>
    <row r="7028" spans="1:9" x14ac:dyDescent="0.25">
      <c r="A7028" s="1">
        <v>2600100098</v>
      </c>
      <c r="B7028" s="1" t="s">
        <v>4607</v>
      </c>
      <c r="C7028" s="1" t="s">
        <v>130</v>
      </c>
      <c r="D7028" s="1" t="s">
        <v>131</v>
      </c>
      <c r="E7028" s="1">
        <v>9</v>
      </c>
      <c r="F7028" s="1" t="s">
        <v>36</v>
      </c>
      <c r="G7028" s="1">
        <v>0</v>
      </c>
      <c r="H7028" s="3">
        <v>0</v>
      </c>
      <c r="I7028" s="1">
        <v>14.632222000000001</v>
      </c>
    </row>
    <row r="7029" spans="1:9" x14ac:dyDescent="0.25">
      <c r="A7029" s="1">
        <v>2600100113</v>
      </c>
      <c r="B7029" s="1" t="s">
        <v>4608</v>
      </c>
      <c r="C7029" s="1" t="s">
        <v>130</v>
      </c>
      <c r="D7029" s="1" t="s">
        <v>131</v>
      </c>
      <c r="E7029" s="1">
        <v>3</v>
      </c>
      <c r="F7029" s="1" t="s">
        <v>36</v>
      </c>
      <c r="G7029" s="3">
        <v>0</v>
      </c>
      <c r="H7029" s="1">
        <v>0</v>
      </c>
      <c r="I7029" s="1">
        <v>97.326667</v>
      </c>
    </row>
    <row r="7030" spans="1:9" x14ac:dyDescent="0.25">
      <c r="A7030" s="1">
        <v>2600100123</v>
      </c>
      <c r="B7030" s="1" t="s">
        <v>4609</v>
      </c>
      <c r="C7030" s="1" t="s">
        <v>130</v>
      </c>
      <c r="D7030" s="1" t="s">
        <v>131</v>
      </c>
      <c r="E7030" s="1">
        <v>2</v>
      </c>
      <c r="F7030" s="1" t="s">
        <v>36</v>
      </c>
      <c r="G7030" s="3">
        <v>0</v>
      </c>
      <c r="H7030" s="1">
        <v>0</v>
      </c>
      <c r="I7030" s="1">
        <v>0.6</v>
      </c>
    </row>
    <row r="7031" spans="1:9" x14ac:dyDescent="0.25">
      <c r="A7031" s="1">
        <v>2600100125</v>
      </c>
      <c r="B7031" s="1" t="s">
        <v>4610</v>
      </c>
      <c r="C7031" s="1" t="s">
        <v>130</v>
      </c>
      <c r="D7031" s="1" t="s">
        <v>131</v>
      </c>
      <c r="E7031" s="1">
        <v>12</v>
      </c>
      <c r="F7031" s="1" t="s">
        <v>4315</v>
      </c>
      <c r="G7031" s="3">
        <v>0</v>
      </c>
      <c r="H7031" s="1">
        <v>0</v>
      </c>
      <c r="I7031" s="1">
        <v>5.5650000000000004</v>
      </c>
    </row>
    <row r="7032" spans="1:9" x14ac:dyDescent="0.25">
      <c r="A7032" s="1">
        <v>2600100127</v>
      </c>
      <c r="B7032" s="1" t="s">
        <v>4611</v>
      </c>
      <c r="C7032" s="1" t="s">
        <v>130</v>
      </c>
      <c r="D7032" s="1" t="s">
        <v>131</v>
      </c>
      <c r="E7032" s="1">
        <v>20</v>
      </c>
      <c r="F7032" s="1" t="s">
        <v>4315</v>
      </c>
      <c r="G7032" s="1">
        <v>0</v>
      </c>
      <c r="H7032" s="1">
        <v>0</v>
      </c>
      <c r="I7032" s="1">
        <v>4.9264999999999999</v>
      </c>
    </row>
    <row r="7033" spans="1:9" x14ac:dyDescent="0.25">
      <c r="A7033" s="1">
        <v>2600100128</v>
      </c>
      <c r="B7033" s="1" t="s">
        <v>4612</v>
      </c>
      <c r="C7033" s="1" t="s">
        <v>130</v>
      </c>
      <c r="D7033" s="1" t="s">
        <v>131</v>
      </c>
      <c r="E7033" s="1">
        <v>25</v>
      </c>
      <c r="F7033" s="1" t="s">
        <v>36</v>
      </c>
      <c r="G7033" s="1">
        <v>0</v>
      </c>
      <c r="H7033" s="1">
        <v>0</v>
      </c>
      <c r="I7033" s="1">
        <v>10.199999999999999</v>
      </c>
    </row>
    <row r="7034" spans="1:9" x14ac:dyDescent="0.25">
      <c r="A7034" s="1">
        <v>2600100131</v>
      </c>
      <c r="B7034" s="1" t="s">
        <v>4613</v>
      </c>
      <c r="C7034" s="1" t="s">
        <v>130</v>
      </c>
      <c r="D7034" s="1" t="s">
        <v>131</v>
      </c>
      <c r="E7034" s="1">
        <v>4</v>
      </c>
      <c r="F7034" s="1" t="s">
        <v>36</v>
      </c>
      <c r="G7034" s="1">
        <v>0</v>
      </c>
      <c r="H7034" s="1">
        <v>0</v>
      </c>
      <c r="I7034" s="1">
        <v>52.67</v>
      </c>
    </row>
    <row r="7035" spans="1:9" x14ac:dyDescent="0.25">
      <c r="A7035" s="1">
        <v>2600100133</v>
      </c>
      <c r="B7035" s="1" t="s">
        <v>4614</v>
      </c>
      <c r="C7035" s="1" t="s">
        <v>130</v>
      </c>
      <c r="D7035" s="1" t="s">
        <v>131</v>
      </c>
      <c r="E7035" s="1">
        <v>5</v>
      </c>
      <c r="F7035" s="1" t="s">
        <v>4315</v>
      </c>
      <c r="G7035" s="1">
        <v>0</v>
      </c>
      <c r="H7035" s="1">
        <v>0</v>
      </c>
      <c r="I7035" s="1">
        <v>25.734000000000002</v>
      </c>
    </row>
    <row r="7036" spans="1:9" x14ac:dyDescent="0.25">
      <c r="A7036" s="1">
        <v>2600100137</v>
      </c>
      <c r="B7036" s="1" t="s">
        <v>4615</v>
      </c>
      <c r="C7036" s="1" t="s">
        <v>130</v>
      </c>
      <c r="D7036" s="1" t="s">
        <v>131</v>
      </c>
      <c r="E7036" s="1">
        <v>9</v>
      </c>
      <c r="F7036" s="1" t="s">
        <v>4315</v>
      </c>
      <c r="G7036" s="1">
        <v>0</v>
      </c>
      <c r="H7036" s="1">
        <v>0</v>
      </c>
      <c r="I7036" s="1">
        <v>40.344444000000003</v>
      </c>
    </row>
    <row r="7037" spans="1:9" x14ac:dyDescent="0.25">
      <c r="A7037" s="1">
        <v>2600100139</v>
      </c>
      <c r="B7037" s="1" t="s">
        <v>4616</v>
      </c>
      <c r="C7037" s="1" t="s">
        <v>130</v>
      </c>
      <c r="D7037" s="1" t="s">
        <v>131</v>
      </c>
      <c r="E7037" s="1">
        <v>4</v>
      </c>
      <c r="F7037" s="1" t="s">
        <v>36</v>
      </c>
      <c r="G7037" s="1">
        <v>0</v>
      </c>
      <c r="H7037" s="1">
        <v>0</v>
      </c>
      <c r="I7037" s="1">
        <v>17.172499999999999</v>
      </c>
    </row>
    <row r="7038" spans="1:9" x14ac:dyDescent="0.25">
      <c r="A7038" s="1">
        <v>2600100148</v>
      </c>
      <c r="B7038" s="1" t="s">
        <v>4617</v>
      </c>
      <c r="C7038" s="1" t="s">
        <v>130</v>
      </c>
      <c r="D7038" s="1" t="s">
        <v>131</v>
      </c>
      <c r="E7038" s="3">
        <v>5400</v>
      </c>
      <c r="F7038" s="1" t="s">
        <v>36</v>
      </c>
      <c r="G7038" s="1">
        <v>0</v>
      </c>
      <c r="H7038" s="1">
        <v>0</v>
      </c>
      <c r="I7038" s="1">
        <v>0.119256</v>
      </c>
    </row>
    <row r="7039" spans="1:9" x14ac:dyDescent="0.25">
      <c r="A7039" s="1">
        <v>2600100149</v>
      </c>
      <c r="B7039" s="1" t="s">
        <v>4618</v>
      </c>
      <c r="C7039" s="1" t="s">
        <v>130</v>
      </c>
      <c r="D7039" s="1" t="s">
        <v>131</v>
      </c>
      <c r="E7039" s="1">
        <v>23</v>
      </c>
      <c r="F7039" s="1" t="s">
        <v>36</v>
      </c>
      <c r="G7039" s="1">
        <v>0</v>
      </c>
      <c r="H7039" s="1">
        <v>0</v>
      </c>
      <c r="I7039" s="1">
        <v>4.5904350000000003</v>
      </c>
    </row>
    <row r="7040" spans="1:9" x14ac:dyDescent="0.25">
      <c r="A7040" s="1">
        <v>2600100150</v>
      </c>
      <c r="B7040" s="1" t="s">
        <v>4619</v>
      </c>
      <c r="C7040" s="1" t="s">
        <v>130</v>
      </c>
      <c r="D7040" s="1" t="s">
        <v>131</v>
      </c>
      <c r="E7040" s="1">
        <v>52</v>
      </c>
      <c r="F7040" s="1" t="s">
        <v>36</v>
      </c>
      <c r="G7040" s="1">
        <v>0</v>
      </c>
      <c r="H7040" s="1">
        <v>0</v>
      </c>
      <c r="I7040" s="1">
        <v>3.3142309999999999</v>
      </c>
    </row>
    <row r="7041" spans="1:9" x14ac:dyDescent="0.25">
      <c r="A7041" s="1">
        <v>2600100151</v>
      </c>
      <c r="B7041" s="1" t="s">
        <v>4620</v>
      </c>
      <c r="C7041" s="1" t="s">
        <v>130</v>
      </c>
      <c r="D7041" s="1" t="s">
        <v>131</v>
      </c>
      <c r="E7041" s="1">
        <v>25</v>
      </c>
      <c r="F7041" s="1" t="s">
        <v>36</v>
      </c>
      <c r="G7041" s="1">
        <v>0</v>
      </c>
      <c r="H7041" s="1">
        <v>0</v>
      </c>
      <c r="I7041" s="1">
        <v>10.814399999999999</v>
      </c>
    </row>
    <row r="7042" spans="1:9" x14ac:dyDescent="0.25">
      <c r="A7042" s="1">
        <v>2600100154</v>
      </c>
      <c r="B7042" s="1" t="s">
        <v>4621</v>
      </c>
      <c r="C7042" s="1" t="s">
        <v>130</v>
      </c>
      <c r="D7042" s="1" t="s">
        <v>131</v>
      </c>
      <c r="E7042" s="1">
        <v>500</v>
      </c>
      <c r="F7042" s="1" t="s">
        <v>4315</v>
      </c>
      <c r="G7042" s="1">
        <v>0</v>
      </c>
      <c r="H7042" s="1">
        <v>0</v>
      </c>
      <c r="I7042" s="1">
        <v>0.41526000000000002</v>
      </c>
    </row>
    <row r="7043" spans="1:9" x14ac:dyDescent="0.25">
      <c r="A7043" s="1">
        <v>2600100158</v>
      </c>
      <c r="B7043" s="1" t="s">
        <v>4622</v>
      </c>
      <c r="C7043" s="1" t="s">
        <v>130</v>
      </c>
      <c r="D7043" s="1" t="s">
        <v>131</v>
      </c>
      <c r="E7043" s="1">
        <v>31</v>
      </c>
      <c r="F7043" s="1" t="s">
        <v>4315</v>
      </c>
      <c r="G7043" s="1">
        <v>0</v>
      </c>
      <c r="H7043" s="1">
        <v>0</v>
      </c>
      <c r="I7043" s="1">
        <v>8.7074189999999998</v>
      </c>
    </row>
    <row r="7044" spans="1:9" x14ac:dyDescent="0.25">
      <c r="A7044" s="1">
        <v>2600100162</v>
      </c>
      <c r="B7044" s="1" t="s">
        <v>4623</v>
      </c>
      <c r="C7044" s="1" t="s">
        <v>130</v>
      </c>
      <c r="D7044" s="1" t="s">
        <v>131</v>
      </c>
      <c r="E7044" s="3">
        <v>2604</v>
      </c>
      <c r="F7044" s="1" t="s">
        <v>36</v>
      </c>
      <c r="G7044" s="1">
        <v>0</v>
      </c>
      <c r="H7044" s="1">
        <v>0</v>
      </c>
      <c r="I7044" s="1">
        <v>2.528184</v>
      </c>
    </row>
    <row r="7045" spans="1:9" x14ac:dyDescent="0.25">
      <c r="A7045" s="1">
        <v>2600100165</v>
      </c>
      <c r="B7045" s="1" t="s">
        <v>4624</v>
      </c>
      <c r="C7045" s="1" t="s">
        <v>130</v>
      </c>
      <c r="D7045" s="1" t="s">
        <v>131</v>
      </c>
      <c r="E7045" s="1">
        <v>1</v>
      </c>
      <c r="F7045" s="1" t="s">
        <v>4315</v>
      </c>
      <c r="G7045" s="1">
        <v>0</v>
      </c>
      <c r="H7045" s="1">
        <v>0</v>
      </c>
      <c r="I7045" s="1">
        <v>30.09</v>
      </c>
    </row>
    <row r="7046" spans="1:9" x14ac:dyDescent="0.25">
      <c r="A7046" s="1">
        <v>2600100169</v>
      </c>
      <c r="B7046" s="1" t="s">
        <v>4625</v>
      </c>
      <c r="C7046" s="1" t="s">
        <v>130</v>
      </c>
      <c r="D7046" s="1" t="s">
        <v>131</v>
      </c>
      <c r="E7046" s="1">
        <v>18</v>
      </c>
      <c r="F7046" s="1" t="s">
        <v>4315</v>
      </c>
      <c r="G7046" s="1">
        <v>0</v>
      </c>
      <c r="H7046" s="1">
        <v>0</v>
      </c>
      <c r="I7046" s="1">
        <v>3.2611110000000001</v>
      </c>
    </row>
    <row r="7047" spans="1:9" x14ac:dyDescent="0.25">
      <c r="A7047" s="1">
        <v>2600100170</v>
      </c>
      <c r="B7047" s="1" t="s">
        <v>4626</v>
      </c>
      <c r="C7047" s="1" t="s">
        <v>130</v>
      </c>
      <c r="D7047" s="1" t="s">
        <v>131</v>
      </c>
      <c r="E7047" s="1">
        <v>23</v>
      </c>
      <c r="F7047" s="1" t="s">
        <v>4315</v>
      </c>
      <c r="G7047" s="1">
        <v>0</v>
      </c>
      <c r="H7047" s="1">
        <v>0</v>
      </c>
      <c r="I7047" s="1">
        <v>3.005652</v>
      </c>
    </row>
    <row r="7048" spans="1:9" x14ac:dyDescent="0.25">
      <c r="A7048" s="1">
        <v>2600100173</v>
      </c>
      <c r="B7048" s="1" t="s">
        <v>4627</v>
      </c>
      <c r="C7048" s="1" t="s">
        <v>130</v>
      </c>
      <c r="D7048" s="1" t="s">
        <v>131</v>
      </c>
      <c r="E7048" s="1">
        <v>4</v>
      </c>
      <c r="F7048" s="1" t="s">
        <v>36</v>
      </c>
      <c r="G7048" s="1">
        <v>0</v>
      </c>
      <c r="H7048" s="1">
        <v>0</v>
      </c>
      <c r="I7048" s="1">
        <v>122.88249999999999</v>
      </c>
    </row>
    <row r="7049" spans="1:9" x14ac:dyDescent="0.25">
      <c r="A7049" s="1">
        <v>2600100179</v>
      </c>
      <c r="B7049" s="1" t="s">
        <v>4628</v>
      </c>
      <c r="C7049" s="1" t="s">
        <v>167</v>
      </c>
      <c r="D7049" s="1" t="s">
        <v>168</v>
      </c>
      <c r="E7049" s="1">
        <v>24</v>
      </c>
      <c r="F7049" s="1" t="s">
        <v>36</v>
      </c>
      <c r="G7049" s="1">
        <v>0</v>
      </c>
      <c r="H7049" s="1">
        <v>0</v>
      </c>
      <c r="I7049" s="1">
        <v>20</v>
      </c>
    </row>
    <row r="7050" spans="1:9" x14ac:dyDescent="0.25">
      <c r="A7050" s="1">
        <v>2600100183</v>
      </c>
      <c r="B7050" s="1" t="s">
        <v>4629</v>
      </c>
      <c r="C7050" s="1" t="s">
        <v>130</v>
      </c>
      <c r="D7050" s="1" t="s">
        <v>131</v>
      </c>
      <c r="E7050" s="1">
        <v>1</v>
      </c>
      <c r="F7050" s="1" t="s">
        <v>36</v>
      </c>
      <c r="G7050" s="1">
        <v>0</v>
      </c>
      <c r="H7050" s="1">
        <v>0</v>
      </c>
      <c r="I7050" s="1">
        <v>32.520000000000003</v>
      </c>
    </row>
    <row r="7051" spans="1:9" x14ac:dyDescent="0.25">
      <c r="A7051" s="1">
        <v>2600100192</v>
      </c>
      <c r="B7051" s="1" t="s">
        <v>4630</v>
      </c>
      <c r="C7051" s="1" t="s">
        <v>130</v>
      </c>
      <c r="D7051" s="1" t="s">
        <v>131</v>
      </c>
      <c r="E7051" s="1">
        <v>29</v>
      </c>
      <c r="F7051" s="1" t="s">
        <v>36</v>
      </c>
      <c r="G7051" s="1">
        <v>0</v>
      </c>
      <c r="H7051" s="1">
        <v>0</v>
      </c>
      <c r="I7051" s="1">
        <v>19.541034</v>
      </c>
    </row>
    <row r="7052" spans="1:9" x14ac:dyDescent="0.25">
      <c r="A7052" s="1">
        <v>2600100198</v>
      </c>
      <c r="B7052" s="1" t="s">
        <v>4631</v>
      </c>
      <c r="C7052" s="1" t="s">
        <v>130</v>
      </c>
      <c r="D7052" s="1" t="s">
        <v>131</v>
      </c>
      <c r="E7052" s="1">
        <v>2</v>
      </c>
      <c r="F7052" s="1" t="s">
        <v>36</v>
      </c>
      <c r="G7052" s="1">
        <v>0</v>
      </c>
      <c r="H7052" s="1">
        <v>0</v>
      </c>
      <c r="I7052" s="1">
        <v>220.34</v>
      </c>
    </row>
    <row r="7053" spans="1:9" x14ac:dyDescent="0.25">
      <c r="A7053" s="1">
        <v>2600100202</v>
      </c>
      <c r="B7053" s="1" t="s">
        <v>4632</v>
      </c>
      <c r="C7053" s="1" t="s">
        <v>130</v>
      </c>
      <c r="D7053" s="1" t="s">
        <v>131</v>
      </c>
      <c r="E7053" s="1">
        <v>18</v>
      </c>
      <c r="F7053" s="1" t="s">
        <v>4315</v>
      </c>
      <c r="G7053" s="1">
        <v>0</v>
      </c>
      <c r="H7053" s="1">
        <v>0</v>
      </c>
      <c r="I7053" s="1">
        <v>17.5</v>
      </c>
    </row>
    <row r="7054" spans="1:9" x14ac:dyDescent="0.25">
      <c r="A7054" s="1">
        <v>2600100209</v>
      </c>
      <c r="B7054" s="1" t="s">
        <v>4633</v>
      </c>
      <c r="C7054" s="1" t="s">
        <v>130</v>
      </c>
      <c r="D7054" s="1" t="s">
        <v>131</v>
      </c>
      <c r="E7054" s="1">
        <v>48</v>
      </c>
      <c r="F7054" s="1" t="s">
        <v>4315</v>
      </c>
      <c r="G7054" s="1">
        <v>0</v>
      </c>
      <c r="H7054" s="1">
        <v>0</v>
      </c>
      <c r="I7054" s="1">
        <v>14.13</v>
      </c>
    </row>
    <row r="7055" spans="1:9" x14ac:dyDescent="0.25">
      <c r="A7055" s="1">
        <v>2600100212</v>
      </c>
      <c r="B7055" s="1" t="s">
        <v>4634</v>
      </c>
      <c r="C7055" s="1" t="s">
        <v>130</v>
      </c>
      <c r="D7055" s="1" t="s">
        <v>131</v>
      </c>
      <c r="E7055" s="1">
        <v>12</v>
      </c>
      <c r="F7055" s="1" t="s">
        <v>36</v>
      </c>
      <c r="G7055" s="3">
        <v>0</v>
      </c>
      <c r="H7055" s="1">
        <v>0</v>
      </c>
      <c r="I7055" s="1">
        <v>2.5</v>
      </c>
    </row>
    <row r="7056" spans="1:9" x14ac:dyDescent="0.25">
      <c r="A7056" s="1">
        <v>2000960006</v>
      </c>
      <c r="B7056" s="1" t="s">
        <v>1044</v>
      </c>
      <c r="C7056" s="1" t="s">
        <v>151</v>
      </c>
      <c r="D7056" s="1" t="s">
        <v>152</v>
      </c>
      <c r="E7056" s="1">
        <v>0</v>
      </c>
      <c r="F7056" s="1" t="s">
        <v>36</v>
      </c>
      <c r="G7056" s="1">
        <v>0</v>
      </c>
      <c r="H7056" s="1">
        <v>660</v>
      </c>
      <c r="I7056" s="1">
        <v>2.2115610000000001</v>
      </c>
    </row>
    <row r="7057" spans="1:9" x14ac:dyDescent="0.25">
      <c r="A7057" s="1">
        <v>2000940008</v>
      </c>
      <c r="B7057" s="1" t="s">
        <v>1019</v>
      </c>
      <c r="C7057" s="1" t="s">
        <v>139</v>
      </c>
      <c r="D7057" s="1" t="s">
        <v>140</v>
      </c>
      <c r="E7057" s="1">
        <v>0</v>
      </c>
      <c r="F7057" s="1" t="s">
        <v>36</v>
      </c>
      <c r="G7057" s="1">
        <v>552</v>
      </c>
      <c r="H7057" s="1">
        <v>0</v>
      </c>
      <c r="I7057" s="1">
        <v>3.6745830000000002</v>
      </c>
    </row>
    <row r="7058" spans="1:9" x14ac:dyDescent="0.25">
      <c r="A7058" s="1">
        <v>2410290835</v>
      </c>
      <c r="B7058" s="1" t="s">
        <v>3529</v>
      </c>
      <c r="C7058" s="1" t="s">
        <v>130</v>
      </c>
      <c r="D7058" s="1" t="s">
        <v>131</v>
      </c>
      <c r="E7058" s="1">
        <v>0</v>
      </c>
      <c r="F7058" s="1" t="s">
        <v>89</v>
      </c>
      <c r="G7058" s="1">
        <v>0</v>
      </c>
      <c r="H7058" s="3">
        <v>55000</v>
      </c>
      <c r="I7058" s="1">
        <v>0</v>
      </c>
    </row>
    <row r="7059" spans="1:9" x14ac:dyDescent="0.25">
      <c r="A7059" s="1">
        <v>2140160001</v>
      </c>
      <c r="B7059" s="1" t="s">
        <v>1831</v>
      </c>
      <c r="C7059" s="1" t="s">
        <v>130</v>
      </c>
      <c r="D7059" s="1" t="s">
        <v>131</v>
      </c>
      <c r="E7059" s="1">
        <v>0</v>
      </c>
      <c r="F7059" s="1" t="s">
        <v>36</v>
      </c>
      <c r="G7059" s="1">
        <v>0</v>
      </c>
      <c r="H7059" s="1">
        <v>23</v>
      </c>
      <c r="I7059" s="1">
        <v>0</v>
      </c>
    </row>
    <row r="7060" spans="1:9" x14ac:dyDescent="0.25">
      <c r="A7060" s="1">
        <v>2110020290</v>
      </c>
      <c r="B7060" s="1" t="s">
        <v>1115</v>
      </c>
      <c r="C7060" s="1" t="s">
        <v>139</v>
      </c>
      <c r="D7060" s="1" t="s">
        <v>140</v>
      </c>
      <c r="E7060" s="1">
        <v>0</v>
      </c>
      <c r="F7060" s="1" t="s">
        <v>36</v>
      </c>
      <c r="G7060" s="1">
        <v>576</v>
      </c>
      <c r="H7060" s="1">
        <v>0</v>
      </c>
      <c r="I7060" s="1">
        <v>0</v>
      </c>
    </row>
    <row r="7061" spans="1:9" x14ac:dyDescent="0.25">
      <c r="A7061" s="1">
        <v>2000600063</v>
      </c>
      <c r="B7061" s="1" t="s">
        <v>816</v>
      </c>
      <c r="C7061" s="1" t="s">
        <v>130</v>
      </c>
      <c r="D7061" s="1" t="s">
        <v>131</v>
      </c>
      <c r="E7061" s="1">
        <v>0</v>
      </c>
      <c r="F7061" s="1" t="s">
        <v>147</v>
      </c>
      <c r="G7061" s="1">
        <v>360</v>
      </c>
      <c r="H7061" s="1">
        <v>0</v>
      </c>
      <c r="I7061" s="1">
        <v>0</v>
      </c>
    </row>
    <row r="7062" spans="1:9" x14ac:dyDescent="0.25">
      <c r="A7062" s="1">
        <v>2110100250</v>
      </c>
      <c r="B7062" s="1" t="s">
        <v>4642</v>
      </c>
      <c r="C7062" s="1" t="s">
        <v>130</v>
      </c>
      <c r="D7062" s="1" t="s">
        <v>131</v>
      </c>
      <c r="E7062" s="1">
        <v>0</v>
      </c>
      <c r="F7062" s="1" t="s">
        <v>36</v>
      </c>
      <c r="G7062" s="3">
        <v>5000</v>
      </c>
      <c r="H7062" s="1">
        <v>0</v>
      </c>
      <c r="I7062" s="1">
        <v>24.44622</v>
      </c>
    </row>
    <row r="7063" spans="1:9" x14ac:dyDescent="0.25">
      <c r="A7063" s="1">
        <v>2110100249</v>
      </c>
      <c r="B7063" s="1" t="s">
        <v>4643</v>
      </c>
      <c r="C7063" s="1" t="s">
        <v>130</v>
      </c>
      <c r="D7063" s="1" t="s">
        <v>131</v>
      </c>
      <c r="E7063" s="1">
        <v>0</v>
      </c>
      <c r="F7063" s="1" t="s">
        <v>36</v>
      </c>
      <c r="G7063" s="3">
        <v>5000</v>
      </c>
      <c r="H7063" s="1">
        <v>0</v>
      </c>
      <c r="I7063" s="1">
        <v>17.437190000000001</v>
      </c>
    </row>
    <row r="7064" spans="1:9" x14ac:dyDescent="0.25">
      <c r="A7064" s="1">
        <v>2000460041</v>
      </c>
      <c r="B7064" s="1" t="s">
        <v>634</v>
      </c>
      <c r="C7064" s="1" t="s">
        <v>139</v>
      </c>
      <c r="D7064" s="1" t="s">
        <v>140</v>
      </c>
      <c r="E7064" s="1">
        <v>0</v>
      </c>
      <c r="F7064" s="1" t="s">
        <v>36</v>
      </c>
      <c r="G7064" s="3">
        <v>2772</v>
      </c>
      <c r="H7064" s="3">
        <v>1181</v>
      </c>
      <c r="I7064" s="1">
        <v>0.77479100000000001</v>
      </c>
    </row>
    <row r="7065" spans="1:9" x14ac:dyDescent="0.25">
      <c r="A7065" s="1">
        <v>2000450044</v>
      </c>
      <c r="B7065" s="1" t="s">
        <v>627</v>
      </c>
      <c r="C7065" s="1" t="s">
        <v>151</v>
      </c>
      <c r="D7065" s="1" t="s">
        <v>152</v>
      </c>
      <c r="E7065" s="1">
        <v>0</v>
      </c>
      <c r="F7065" s="1" t="s">
        <v>36</v>
      </c>
      <c r="G7065" s="1">
        <v>0</v>
      </c>
      <c r="H7065" s="1">
        <v>216</v>
      </c>
      <c r="I7065" s="1">
        <v>6.0428470000000001</v>
      </c>
    </row>
    <row r="7066" spans="1:9" x14ac:dyDescent="0.25">
      <c r="A7066" s="1">
        <v>2000420093</v>
      </c>
      <c r="B7066" s="1" t="s">
        <v>588</v>
      </c>
      <c r="C7066" s="1" t="s">
        <v>151</v>
      </c>
      <c r="D7066" s="1" t="s">
        <v>152</v>
      </c>
      <c r="E7066" s="1">
        <v>0</v>
      </c>
      <c r="F7066" s="1" t="s">
        <v>36</v>
      </c>
      <c r="G7066" s="1">
        <v>0</v>
      </c>
      <c r="H7066" s="1">
        <v>550</v>
      </c>
      <c r="I7066" s="1">
        <v>2.011927</v>
      </c>
    </row>
    <row r="7067" spans="1:9" x14ac:dyDescent="0.25">
      <c r="A7067" s="1">
        <v>2000020076</v>
      </c>
      <c r="B7067" s="1" t="s">
        <v>4644</v>
      </c>
      <c r="C7067" s="1" t="s">
        <v>130</v>
      </c>
      <c r="D7067" s="1" t="s">
        <v>131</v>
      </c>
      <c r="E7067" s="1">
        <v>0</v>
      </c>
      <c r="F7067" s="1" t="s">
        <v>36</v>
      </c>
      <c r="G7067" s="1">
        <v>456</v>
      </c>
      <c r="H7067" s="1">
        <v>0</v>
      </c>
      <c r="I7067" s="1">
        <v>0</v>
      </c>
    </row>
    <row r="7068" spans="1:9" x14ac:dyDescent="0.25">
      <c r="A7068" s="1">
        <v>2000350103</v>
      </c>
      <c r="B7068" s="1" t="s">
        <v>571</v>
      </c>
      <c r="C7068" s="1" t="s">
        <v>139</v>
      </c>
      <c r="D7068" s="1" t="s">
        <v>140</v>
      </c>
      <c r="E7068" s="1">
        <v>0</v>
      </c>
      <c r="F7068" s="1" t="s">
        <v>36</v>
      </c>
      <c r="G7068" s="1">
        <v>240</v>
      </c>
      <c r="H7068" s="1">
        <v>240</v>
      </c>
      <c r="I7068" s="1">
        <v>0</v>
      </c>
    </row>
    <row r="7069" spans="1:9" x14ac:dyDescent="0.25">
      <c r="A7069" s="1">
        <v>2000350103</v>
      </c>
      <c r="B7069" s="1" t="s">
        <v>571</v>
      </c>
      <c r="C7069" s="1" t="s">
        <v>151</v>
      </c>
      <c r="D7069" s="1" t="s">
        <v>152</v>
      </c>
      <c r="E7069" s="1">
        <v>0</v>
      </c>
      <c r="F7069" s="1" t="s">
        <v>36</v>
      </c>
      <c r="G7069" s="1">
        <v>0</v>
      </c>
      <c r="H7069" s="1">
        <v>109</v>
      </c>
      <c r="I7069" s="1">
        <v>0</v>
      </c>
    </row>
    <row r="7070" spans="1:9" x14ac:dyDescent="0.25">
      <c r="A7070" s="1">
        <v>2000920081</v>
      </c>
      <c r="B7070" s="1" t="s">
        <v>957</v>
      </c>
      <c r="C7070" s="1" t="s">
        <v>130</v>
      </c>
      <c r="D7070" s="1" t="s">
        <v>131</v>
      </c>
      <c r="E7070" s="1">
        <v>0</v>
      </c>
      <c r="F7070" s="1" t="s">
        <v>457</v>
      </c>
      <c r="G7070" s="1">
        <v>24</v>
      </c>
      <c r="H7070" s="1">
        <v>26</v>
      </c>
      <c r="I7070" s="1">
        <v>0</v>
      </c>
    </row>
    <row r="7071" spans="1:9" x14ac:dyDescent="0.25">
      <c r="A7071" s="1">
        <v>2430890005</v>
      </c>
      <c r="B7071" s="1" t="s">
        <v>3714</v>
      </c>
      <c r="C7071" s="1" t="s">
        <v>2248</v>
      </c>
      <c r="D7071" s="1" t="s">
        <v>2249</v>
      </c>
      <c r="E7071" s="1">
        <v>0</v>
      </c>
      <c r="F7071" s="1" t="s">
        <v>89</v>
      </c>
      <c r="G7071" s="1">
        <v>0</v>
      </c>
      <c r="H7071" s="1">
        <v>8</v>
      </c>
      <c r="I7071" s="1">
        <v>5.3839259999999998</v>
      </c>
    </row>
    <row r="7072" spans="1:9" x14ac:dyDescent="0.25">
      <c r="A7072" s="1">
        <v>2000350099</v>
      </c>
      <c r="B7072" s="1" t="s">
        <v>567</v>
      </c>
      <c r="C7072" s="1" t="s">
        <v>139</v>
      </c>
      <c r="D7072" s="1" t="s">
        <v>140</v>
      </c>
      <c r="E7072" s="1">
        <v>0</v>
      </c>
      <c r="F7072" s="1" t="s">
        <v>36</v>
      </c>
      <c r="G7072" s="1">
        <v>96</v>
      </c>
      <c r="H7072" s="1">
        <v>0</v>
      </c>
      <c r="I7072" s="1">
        <v>2.6996880000000001</v>
      </c>
    </row>
    <row r="7073" spans="1:9" x14ac:dyDescent="0.25">
      <c r="A7073" s="1">
        <v>2600032002</v>
      </c>
      <c r="B7073" s="1" t="s">
        <v>4139</v>
      </c>
      <c r="C7073" s="1" t="s">
        <v>130</v>
      </c>
      <c r="D7073" s="1" t="s">
        <v>131</v>
      </c>
      <c r="E7073" s="1">
        <v>0</v>
      </c>
      <c r="F7073" s="1" t="s">
        <v>36</v>
      </c>
      <c r="G7073" s="1">
        <v>0</v>
      </c>
      <c r="H7073" s="1">
        <v>4</v>
      </c>
      <c r="I7073" s="1">
        <v>0</v>
      </c>
    </row>
    <row r="7074" spans="1:9" x14ac:dyDescent="0.25">
      <c r="A7074" s="1">
        <v>2000920003</v>
      </c>
      <c r="B7074" s="1" t="s">
        <v>886</v>
      </c>
      <c r="C7074" s="1" t="s">
        <v>130</v>
      </c>
      <c r="D7074" s="1" t="s">
        <v>131</v>
      </c>
      <c r="E7074" s="1">
        <v>0</v>
      </c>
      <c r="F7074" s="1" t="s">
        <v>457</v>
      </c>
      <c r="G7074" s="1">
        <v>130</v>
      </c>
      <c r="H7074" s="1">
        <v>28</v>
      </c>
      <c r="I7074" s="1">
        <v>6.6333330000000004</v>
      </c>
    </row>
    <row r="7075" spans="1:9" x14ac:dyDescent="0.25">
      <c r="A7075" s="1">
        <v>2000530496</v>
      </c>
      <c r="B7075" s="1" t="s">
        <v>727</v>
      </c>
      <c r="C7075" s="1" t="s">
        <v>130</v>
      </c>
      <c r="D7075" s="1" t="s">
        <v>131</v>
      </c>
      <c r="E7075" s="1">
        <v>0</v>
      </c>
      <c r="F7075" s="1" t="s">
        <v>457</v>
      </c>
      <c r="G7075" s="1">
        <v>317</v>
      </c>
      <c r="H7075" s="1">
        <v>0</v>
      </c>
      <c r="I7075" s="1">
        <v>0</v>
      </c>
    </row>
    <row r="7076" spans="1:9" x14ac:dyDescent="0.25">
      <c r="A7076" s="1">
        <v>2000920048</v>
      </c>
      <c r="B7076" s="1" t="s">
        <v>928</v>
      </c>
      <c r="C7076" s="1" t="s">
        <v>130</v>
      </c>
      <c r="D7076" s="1" t="s">
        <v>131</v>
      </c>
      <c r="E7076" s="1">
        <v>0</v>
      </c>
      <c r="F7076" s="1" t="s">
        <v>457</v>
      </c>
      <c r="G7076" s="1">
        <v>65</v>
      </c>
      <c r="H7076" s="1">
        <v>0</v>
      </c>
      <c r="I7076" s="1">
        <v>0</v>
      </c>
    </row>
    <row r="7077" spans="1:9" x14ac:dyDescent="0.25">
      <c r="A7077" s="1">
        <v>2000040225</v>
      </c>
      <c r="B7077" s="1" t="s">
        <v>207</v>
      </c>
      <c r="C7077" s="1" t="s">
        <v>142</v>
      </c>
      <c r="D7077" s="1" t="s">
        <v>143</v>
      </c>
      <c r="E7077" s="1">
        <v>0</v>
      </c>
      <c r="F7077" s="1" t="s">
        <v>36</v>
      </c>
      <c r="G7077" s="1">
        <v>0</v>
      </c>
      <c r="H7077" s="1">
        <v>29</v>
      </c>
      <c r="I7077" s="1">
        <v>4.9411649999999998</v>
      </c>
    </row>
    <row r="7078" spans="1:9" x14ac:dyDescent="0.25">
      <c r="A7078" s="1">
        <v>2000040235</v>
      </c>
      <c r="B7078" s="1" t="s">
        <v>216</v>
      </c>
      <c r="C7078" s="1" t="s">
        <v>142</v>
      </c>
      <c r="D7078" s="1" t="s">
        <v>143</v>
      </c>
      <c r="E7078" s="1">
        <v>0</v>
      </c>
      <c r="F7078" s="1" t="s">
        <v>36</v>
      </c>
      <c r="G7078" s="1">
        <v>0</v>
      </c>
      <c r="H7078" s="1">
        <v>25</v>
      </c>
      <c r="I7078" s="1">
        <v>5.0199999999999996</v>
      </c>
    </row>
    <row r="7079" spans="1:9" x14ac:dyDescent="0.25">
      <c r="A7079" s="1">
        <v>2000300100</v>
      </c>
      <c r="B7079" s="1" t="s">
        <v>516</v>
      </c>
      <c r="C7079" s="1" t="s">
        <v>139</v>
      </c>
      <c r="D7079" s="1" t="s">
        <v>140</v>
      </c>
      <c r="E7079" s="1">
        <v>0</v>
      </c>
      <c r="F7079" s="1" t="s">
        <v>36</v>
      </c>
      <c r="G7079" s="3">
        <v>8344</v>
      </c>
      <c r="H7079" s="3">
        <v>2234</v>
      </c>
      <c r="I7079" s="1">
        <v>1.8016669999999999</v>
      </c>
    </row>
    <row r="7080" spans="1:9" x14ac:dyDescent="0.25">
      <c r="A7080" s="1">
        <v>2000040234</v>
      </c>
      <c r="B7080" s="1" t="s">
        <v>215</v>
      </c>
      <c r="C7080" s="1" t="s">
        <v>142</v>
      </c>
      <c r="D7080" s="1" t="s">
        <v>143</v>
      </c>
      <c r="E7080" s="1">
        <v>0</v>
      </c>
      <c r="F7080" s="1" t="s">
        <v>36</v>
      </c>
      <c r="G7080" s="1">
        <v>0</v>
      </c>
      <c r="H7080" s="1">
        <v>22</v>
      </c>
      <c r="I7080" s="1">
        <v>5.0145949999999999</v>
      </c>
    </row>
    <row r="7081" spans="1:9" x14ac:dyDescent="0.25">
      <c r="A7081" s="1">
        <v>2000300099</v>
      </c>
      <c r="B7081" s="1" t="s">
        <v>515</v>
      </c>
      <c r="C7081" s="1" t="s">
        <v>139</v>
      </c>
      <c r="D7081" s="1" t="s">
        <v>140</v>
      </c>
      <c r="E7081" s="1">
        <v>0</v>
      </c>
      <c r="F7081" s="1" t="s">
        <v>36</v>
      </c>
      <c r="G7081" s="1">
        <v>60</v>
      </c>
      <c r="H7081" s="1">
        <v>0</v>
      </c>
      <c r="I7081" s="1">
        <v>1.6231390000000001</v>
      </c>
    </row>
    <row r="7082" spans="1:9" x14ac:dyDescent="0.25">
      <c r="A7082" s="1">
        <v>2600045114</v>
      </c>
      <c r="B7082" s="1" t="s">
        <v>4497</v>
      </c>
      <c r="C7082" s="1" t="s">
        <v>126</v>
      </c>
      <c r="D7082" s="1" t="s">
        <v>127</v>
      </c>
      <c r="E7082" s="1">
        <v>1</v>
      </c>
      <c r="F7082" s="1" t="s">
        <v>36</v>
      </c>
      <c r="G7082" s="1">
        <v>0</v>
      </c>
      <c r="H7082" s="1">
        <v>0</v>
      </c>
      <c r="I7082" s="1">
        <v>542.51</v>
      </c>
    </row>
    <row r="7083" spans="1:9" x14ac:dyDescent="0.25">
      <c r="A7083" s="1">
        <v>2000260123</v>
      </c>
      <c r="B7083" s="1" t="s">
        <v>485</v>
      </c>
      <c r="C7083" s="1" t="s">
        <v>130</v>
      </c>
      <c r="D7083" s="1" t="s">
        <v>131</v>
      </c>
      <c r="E7083" s="1">
        <v>0</v>
      </c>
      <c r="F7083" s="1" t="s">
        <v>457</v>
      </c>
      <c r="G7083" s="1">
        <v>3</v>
      </c>
      <c r="H7083" s="1">
        <v>0</v>
      </c>
      <c r="I7083" s="1">
        <v>0</v>
      </c>
    </row>
    <row r="7084" spans="1:9" x14ac:dyDescent="0.25">
      <c r="A7084" s="1">
        <v>2000260121</v>
      </c>
      <c r="B7084" s="1" t="s">
        <v>483</v>
      </c>
      <c r="C7084" s="1" t="s">
        <v>130</v>
      </c>
      <c r="D7084" s="1" t="s">
        <v>131</v>
      </c>
      <c r="E7084" s="1">
        <v>0</v>
      </c>
      <c r="F7084" s="1" t="s">
        <v>457</v>
      </c>
      <c r="G7084" s="1">
        <v>3</v>
      </c>
      <c r="H7084" s="1">
        <v>0</v>
      </c>
      <c r="I7084" s="1">
        <v>0</v>
      </c>
    </row>
    <row r="7085" spans="1:9" x14ac:dyDescent="0.25">
      <c r="A7085" s="1">
        <v>2000040232</v>
      </c>
      <c r="B7085" s="1" t="s">
        <v>213</v>
      </c>
      <c r="C7085" s="1" t="s">
        <v>142</v>
      </c>
      <c r="D7085" s="1" t="s">
        <v>143</v>
      </c>
      <c r="E7085" s="1">
        <v>0</v>
      </c>
      <c r="F7085" s="1" t="s">
        <v>36</v>
      </c>
      <c r="G7085" s="1">
        <v>0</v>
      </c>
      <c r="H7085" s="1">
        <v>291</v>
      </c>
      <c r="I7085" s="1">
        <v>4.9171430000000003</v>
      </c>
    </row>
    <row r="7086" spans="1:9" x14ac:dyDescent="0.25">
      <c r="A7086" s="1">
        <v>2600045116</v>
      </c>
      <c r="B7086" s="1" t="s">
        <v>4499</v>
      </c>
      <c r="C7086" s="1" t="s">
        <v>130</v>
      </c>
      <c r="D7086" s="1" t="s">
        <v>131</v>
      </c>
      <c r="E7086" s="1">
        <v>4</v>
      </c>
      <c r="F7086" s="1" t="s">
        <v>36</v>
      </c>
      <c r="G7086" s="1">
        <v>0</v>
      </c>
      <c r="H7086" s="1">
        <v>4</v>
      </c>
      <c r="I7086" s="1">
        <v>547.83249999999998</v>
      </c>
    </row>
    <row r="7087" spans="1:9" x14ac:dyDescent="0.25">
      <c r="A7087" s="1">
        <v>2000040217</v>
      </c>
      <c r="B7087" s="1" t="s">
        <v>197</v>
      </c>
      <c r="C7087" s="1" t="s">
        <v>142</v>
      </c>
      <c r="D7087" s="1" t="s">
        <v>143</v>
      </c>
      <c r="E7087" s="1">
        <v>0</v>
      </c>
      <c r="F7087" s="1" t="s">
        <v>36</v>
      </c>
      <c r="G7087" s="1">
        <v>0</v>
      </c>
      <c r="H7087" s="1">
        <v>191</v>
      </c>
      <c r="I7087" s="1">
        <v>5.1827399999999999</v>
      </c>
    </row>
    <row r="7088" spans="1:9" x14ac:dyDescent="0.25">
      <c r="A7088" s="1">
        <v>2000040218</v>
      </c>
      <c r="B7088" s="1" t="s">
        <v>198</v>
      </c>
      <c r="C7088" s="1" t="s">
        <v>142</v>
      </c>
      <c r="D7088" s="1" t="s">
        <v>143</v>
      </c>
      <c r="E7088" s="1">
        <v>0</v>
      </c>
      <c r="F7088" s="1" t="s">
        <v>36</v>
      </c>
      <c r="G7088" s="1">
        <v>0</v>
      </c>
      <c r="H7088" s="1">
        <v>107</v>
      </c>
      <c r="I7088" s="1">
        <v>5.15</v>
      </c>
    </row>
    <row r="7089" spans="1:9" x14ac:dyDescent="0.25">
      <c r="A7089" s="1">
        <v>2000040216</v>
      </c>
      <c r="B7089" s="1" t="s">
        <v>196</v>
      </c>
      <c r="C7089" s="1" t="s">
        <v>142</v>
      </c>
      <c r="D7089" s="1" t="s">
        <v>143</v>
      </c>
      <c r="E7089" s="1">
        <v>0</v>
      </c>
      <c r="F7089" s="1" t="s">
        <v>36</v>
      </c>
      <c r="G7089" s="1">
        <v>0</v>
      </c>
      <c r="H7089" s="1">
        <v>140</v>
      </c>
      <c r="I7089" s="1">
        <v>5.1967790000000003</v>
      </c>
    </row>
    <row r="7090" spans="1:9" x14ac:dyDescent="0.25">
      <c r="A7090" s="1">
        <v>2000040215</v>
      </c>
      <c r="B7090" s="1" t="s">
        <v>195</v>
      </c>
      <c r="C7090" s="1" t="s">
        <v>142</v>
      </c>
      <c r="D7090" s="1" t="s">
        <v>143</v>
      </c>
      <c r="E7090" s="1">
        <v>0</v>
      </c>
      <c r="F7090" s="1" t="s">
        <v>36</v>
      </c>
      <c r="G7090" s="1">
        <v>0</v>
      </c>
      <c r="H7090" s="1">
        <v>86</v>
      </c>
      <c r="I7090" s="1">
        <v>5.2095710000000004</v>
      </c>
    </row>
    <row r="7091" spans="1:9" x14ac:dyDescent="0.25">
      <c r="A7091" s="1">
        <v>2000040212</v>
      </c>
      <c r="B7091" s="1" t="s">
        <v>192</v>
      </c>
      <c r="C7091" s="1" t="s">
        <v>142</v>
      </c>
      <c r="D7091" s="1" t="s">
        <v>143</v>
      </c>
      <c r="E7091" s="1">
        <v>0</v>
      </c>
      <c r="F7091" s="1" t="s">
        <v>36</v>
      </c>
      <c r="G7091" s="1">
        <v>0</v>
      </c>
      <c r="H7091" s="1">
        <v>51</v>
      </c>
      <c r="I7091" s="1">
        <v>4.6903699999999997</v>
      </c>
    </row>
    <row r="7092" spans="1:9" x14ac:dyDescent="0.25">
      <c r="A7092" s="1">
        <v>2000040211</v>
      </c>
      <c r="B7092" s="1" t="s">
        <v>191</v>
      </c>
      <c r="C7092" s="1" t="s">
        <v>142</v>
      </c>
      <c r="D7092" s="1" t="s">
        <v>143</v>
      </c>
      <c r="E7092" s="1">
        <v>0</v>
      </c>
      <c r="F7092" s="1" t="s">
        <v>36</v>
      </c>
      <c r="G7092" s="1">
        <v>0</v>
      </c>
      <c r="H7092" s="1">
        <v>154</v>
      </c>
      <c r="I7092" s="1">
        <v>4.7350000000000003</v>
      </c>
    </row>
    <row r="7093" spans="1:9" x14ac:dyDescent="0.25">
      <c r="A7093" s="1">
        <v>2000040208</v>
      </c>
      <c r="B7093" s="1" t="s">
        <v>188</v>
      </c>
      <c r="C7093" s="1" t="s">
        <v>142</v>
      </c>
      <c r="D7093" s="1" t="s">
        <v>143</v>
      </c>
      <c r="E7093" s="1">
        <v>0</v>
      </c>
      <c r="F7093" s="1" t="s">
        <v>36</v>
      </c>
      <c r="G7093" s="1">
        <v>0</v>
      </c>
      <c r="H7093" s="1">
        <v>45</v>
      </c>
      <c r="I7093" s="1">
        <v>4.5113329999999996</v>
      </c>
    </row>
    <row r="7094" spans="1:9" x14ac:dyDescent="0.25">
      <c r="A7094" s="1">
        <v>2000040207</v>
      </c>
      <c r="B7094" s="1" t="s">
        <v>187</v>
      </c>
      <c r="C7094" s="1" t="s">
        <v>142</v>
      </c>
      <c r="D7094" s="1" t="s">
        <v>143</v>
      </c>
      <c r="E7094" s="1">
        <v>0</v>
      </c>
      <c r="F7094" s="1" t="s">
        <v>36</v>
      </c>
      <c r="G7094" s="1">
        <v>0</v>
      </c>
      <c r="H7094" s="1">
        <v>227</v>
      </c>
      <c r="I7094" s="1">
        <v>4.53</v>
      </c>
    </row>
    <row r="7095" spans="1:9" x14ac:dyDescent="0.25">
      <c r="A7095" s="1">
        <v>2000920142</v>
      </c>
      <c r="B7095" s="1" t="s">
        <v>992</v>
      </c>
      <c r="C7095" s="1" t="s">
        <v>130</v>
      </c>
      <c r="D7095" s="1" t="s">
        <v>131</v>
      </c>
      <c r="E7095" s="1">
        <v>0</v>
      </c>
      <c r="F7095" s="1" t="s">
        <v>457</v>
      </c>
      <c r="G7095" s="1">
        <v>1</v>
      </c>
      <c r="H7095" s="1">
        <v>0</v>
      </c>
      <c r="I7095" s="1">
        <v>0</v>
      </c>
    </row>
    <row r="7096" spans="1:9" x14ac:dyDescent="0.25">
      <c r="A7096" s="1">
        <v>2000040206</v>
      </c>
      <c r="B7096" s="1" t="s">
        <v>186</v>
      </c>
      <c r="C7096" s="1" t="s">
        <v>142</v>
      </c>
      <c r="D7096" s="1" t="s">
        <v>143</v>
      </c>
      <c r="E7096" s="1">
        <v>0</v>
      </c>
      <c r="F7096" s="1" t="s">
        <v>36</v>
      </c>
      <c r="G7096" s="1">
        <v>0</v>
      </c>
      <c r="H7096" s="1">
        <v>248</v>
      </c>
      <c r="I7096" s="1">
        <v>4.5114289999999997</v>
      </c>
    </row>
    <row r="7097" spans="1:9" x14ac:dyDescent="0.25">
      <c r="A7097" s="1">
        <v>2000220046</v>
      </c>
      <c r="B7097" s="1" t="s">
        <v>438</v>
      </c>
      <c r="C7097" s="1" t="s">
        <v>151</v>
      </c>
      <c r="D7097" s="1" t="s">
        <v>152</v>
      </c>
      <c r="E7097" s="1">
        <v>0</v>
      </c>
      <c r="F7097" s="1" t="s">
        <v>36</v>
      </c>
      <c r="G7097" s="1">
        <v>0</v>
      </c>
      <c r="H7097" s="3">
        <v>1725</v>
      </c>
      <c r="I7097" s="1">
        <v>2.588603</v>
      </c>
    </row>
    <row r="7098" spans="1:9" x14ac:dyDescent="0.25">
      <c r="A7098" s="1">
        <v>2000530456</v>
      </c>
      <c r="B7098" s="1" t="s">
        <v>700</v>
      </c>
      <c r="C7098" s="1" t="s">
        <v>130</v>
      </c>
      <c r="D7098" s="1" t="s">
        <v>131</v>
      </c>
      <c r="E7098" s="1">
        <v>0</v>
      </c>
      <c r="F7098" s="1" t="s">
        <v>491</v>
      </c>
      <c r="G7098" s="1">
        <v>20</v>
      </c>
      <c r="H7098" s="1">
        <v>9</v>
      </c>
      <c r="I7098" s="1">
        <v>0</v>
      </c>
    </row>
    <row r="7099" spans="1:9" x14ac:dyDescent="0.25">
      <c r="A7099" s="1">
        <v>2000530450</v>
      </c>
      <c r="B7099" s="1" t="s">
        <v>694</v>
      </c>
      <c r="C7099" s="1" t="s">
        <v>130</v>
      </c>
      <c r="D7099" s="1" t="s">
        <v>131</v>
      </c>
      <c r="E7099" s="1">
        <v>0</v>
      </c>
      <c r="F7099" s="1" t="s">
        <v>491</v>
      </c>
      <c r="G7099" s="1">
        <v>38</v>
      </c>
      <c r="H7099" s="1">
        <v>15</v>
      </c>
      <c r="I7099" s="1">
        <v>0</v>
      </c>
    </row>
    <row r="7100" spans="1:9" x14ac:dyDescent="0.25">
      <c r="A7100" s="1">
        <v>2000160053</v>
      </c>
      <c r="B7100" s="1" t="s">
        <v>435</v>
      </c>
      <c r="C7100" s="1" t="s">
        <v>151</v>
      </c>
      <c r="D7100" s="1" t="s">
        <v>152</v>
      </c>
      <c r="E7100" s="1">
        <v>0</v>
      </c>
      <c r="F7100" s="1" t="s">
        <v>36</v>
      </c>
      <c r="G7100" s="1">
        <v>0</v>
      </c>
      <c r="H7100" s="1">
        <v>336</v>
      </c>
      <c r="I7100" s="1">
        <v>2.167986</v>
      </c>
    </row>
    <row r="7101" spans="1:9" x14ac:dyDescent="0.25">
      <c r="A7101" s="1">
        <v>2000530447</v>
      </c>
      <c r="B7101" s="1" t="s">
        <v>691</v>
      </c>
      <c r="C7101" s="1" t="s">
        <v>130</v>
      </c>
      <c r="D7101" s="1" t="s">
        <v>131</v>
      </c>
      <c r="E7101" s="1">
        <v>0</v>
      </c>
      <c r="F7101" s="1" t="s">
        <v>491</v>
      </c>
      <c r="G7101" s="1">
        <v>73</v>
      </c>
      <c r="H7101" s="1">
        <v>12</v>
      </c>
      <c r="I7101" s="1">
        <v>0</v>
      </c>
    </row>
    <row r="7102" spans="1:9" x14ac:dyDescent="0.25">
      <c r="A7102" s="1">
        <v>2140390001</v>
      </c>
      <c r="B7102" s="1" t="s">
        <v>1945</v>
      </c>
      <c r="C7102" s="1" t="s">
        <v>142</v>
      </c>
      <c r="D7102" s="1" t="s">
        <v>143</v>
      </c>
      <c r="E7102" s="1">
        <v>0</v>
      </c>
      <c r="F7102" s="1" t="s">
        <v>1930</v>
      </c>
      <c r="G7102" s="1">
        <v>33</v>
      </c>
      <c r="H7102" s="1">
        <v>0</v>
      </c>
      <c r="I7102" s="1">
        <v>0.953538</v>
      </c>
    </row>
    <row r="7103" spans="1:9" x14ac:dyDescent="0.25">
      <c r="A7103" s="1">
        <v>2000920112</v>
      </c>
      <c r="B7103" s="1" t="s">
        <v>974</v>
      </c>
      <c r="C7103" s="1" t="s">
        <v>137</v>
      </c>
      <c r="D7103" s="1" t="s">
        <v>138</v>
      </c>
      <c r="E7103" s="1">
        <v>0</v>
      </c>
      <c r="F7103" s="1" t="s">
        <v>36</v>
      </c>
      <c r="G7103" s="1">
        <v>0</v>
      </c>
      <c r="H7103" s="1">
        <v>2</v>
      </c>
      <c r="I7103" s="1">
        <v>0</v>
      </c>
    </row>
    <row r="7104" spans="1:9" x14ac:dyDescent="0.25">
      <c r="A7104" s="1">
        <v>2000260172</v>
      </c>
      <c r="B7104" s="1" t="s">
        <v>505</v>
      </c>
      <c r="C7104" s="1" t="s">
        <v>130</v>
      </c>
      <c r="D7104" s="1" t="s">
        <v>131</v>
      </c>
      <c r="E7104" s="1">
        <v>0</v>
      </c>
      <c r="F7104" s="1" t="s">
        <v>457</v>
      </c>
      <c r="G7104" s="1">
        <v>15</v>
      </c>
      <c r="H7104" s="1">
        <v>0</v>
      </c>
      <c r="I7104" s="1">
        <v>0</v>
      </c>
    </row>
    <row r="7105" spans="1:9" x14ac:dyDescent="0.25">
      <c r="A7105" s="1">
        <v>2000040237</v>
      </c>
      <c r="B7105" s="1" t="s">
        <v>218</v>
      </c>
      <c r="C7105" s="1" t="s">
        <v>151</v>
      </c>
      <c r="D7105" s="1" t="s">
        <v>152</v>
      </c>
      <c r="E7105" s="1">
        <v>0</v>
      </c>
      <c r="F7105" s="1" t="s">
        <v>36</v>
      </c>
      <c r="G7105" s="1">
        <v>0</v>
      </c>
      <c r="H7105" s="1">
        <v>7</v>
      </c>
      <c r="I7105" s="1">
        <v>0</v>
      </c>
    </row>
    <row r="7106" spans="1:9" x14ac:dyDescent="0.25">
      <c r="A7106" s="1">
        <v>2000260170</v>
      </c>
      <c r="B7106" s="1" t="s">
        <v>4645</v>
      </c>
      <c r="C7106" s="1" t="s">
        <v>130</v>
      </c>
      <c r="D7106" s="1" t="s">
        <v>131</v>
      </c>
      <c r="E7106" s="1">
        <v>0</v>
      </c>
      <c r="F7106" s="1" t="s">
        <v>457</v>
      </c>
      <c r="G7106" s="1">
        <v>15</v>
      </c>
      <c r="H7106" s="1">
        <v>0</v>
      </c>
      <c r="I7106" s="1">
        <v>0</v>
      </c>
    </row>
    <row r="7107" spans="1:9" x14ac:dyDescent="0.25">
      <c r="A7107" s="1">
        <v>2000260168</v>
      </c>
      <c r="B7107" s="1" t="s">
        <v>502</v>
      </c>
      <c r="C7107" s="1" t="s">
        <v>130</v>
      </c>
      <c r="D7107" s="1" t="s">
        <v>131</v>
      </c>
      <c r="E7107" s="1">
        <v>0</v>
      </c>
      <c r="F7107" s="1" t="s">
        <v>457</v>
      </c>
      <c r="G7107" s="1">
        <v>15</v>
      </c>
      <c r="H7107" s="1">
        <v>0</v>
      </c>
      <c r="I7107" s="1">
        <v>0</v>
      </c>
    </row>
    <row r="7108" spans="1:9" x14ac:dyDescent="0.25">
      <c r="A7108" s="1">
        <v>2000920165</v>
      </c>
      <c r="B7108" s="1" t="s">
        <v>4646</v>
      </c>
      <c r="C7108" s="1" t="s">
        <v>130</v>
      </c>
      <c r="D7108" s="1" t="s">
        <v>131</v>
      </c>
      <c r="E7108" s="1">
        <v>0</v>
      </c>
      <c r="F7108" s="1" t="s">
        <v>457</v>
      </c>
      <c r="G7108" s="1">
        <v>48</v>
      </c>
      <c r="H7108" s="1">
        <v>0</v>
      </c>
      <c r="I7108" s="1">
        <v>0</v>
      </c>
    </row>
    <row r="7109" spans="1:9" x14ac:dyDescent="0.25">
      <c r="A7109" s="1">
        <v>2000920137</v>
      </c>
      <c r="B7109" s="1" t="s">
        <v>4647</v>
      </c>
      <c r="C7109" s="1" t="s">
        <v>130</v>
      </c>
      <c r="D7109" s="1" t="s">
        <v>131</v>
      </c>
      <c r="E7109" s="1">
        <v>0</v>
      </c>
      <c r="F7109" s="1" t="s">
        <v>457</v>
      </c>
      <c r="G7109" s="1">
        <v>192</v>
      </c>
      <c r="H7109" s="1">
        <v>0</v>
      </c>
      <c r="I7109" s="1">
        <v>0</v>
      </c>
    </row>
    <row r="7110" spans="1:9" x14ac:dyDescent="0.25">
      <c r="A7110" s="1">
        <v>2000920106</v>
      </c>
      <c r="B7110" s="1" t="s">
        <v>969</v>
      </c>
      <c r="C7110" s="1" t="s">
        <v>137</v>
      </c>
      <c r="D7110" s="1" t="s">
        <v>138</v>
      </c>
      <c r="E7110" s="1">
        <v>0</v>
      </c>
      <c r="F7110" s="1" t="s">
        <v>36</v>
      </c>
      <c r="G7110" s="1">
        <v>0</v>
      </c>
      <c r="H7110" s="1">
        <v>1</v>
      </c>
      <c r="I7110" s="1">
        <v>0</v>
      </c>
    </row>
    <row r="7111" spans="1:9" x14ac:dyDescent="0.25">
      <c r="A7111" s="1">
        <v>2000920134</v>
      </c>
      <c r="B7111" s="1" t="s">
        <v>4648</v>
      </c>
      <c r="C7111" s="1" t="s">
        <v>130</v>
      </c>
      <c r="D7111" s="1" t="s">
        <v>131</v>
      </c>
      <c r="E7111" s="1">
        <v>0</v>
      </c>
      <c r="F7111" s="1" t="s">
        <v>457</v>
      </c>
      <c r="G7111" s="1">
        <v>48</v>
      </c>
      <c r="H7111" s="1">
        <v>0</v>
      </c>
      <c r="I7111" s="1">
        <v>0</v>
      </c>
    </row>
    <row r="7112" spans="1:9" x14ac:dyDescent="0.25">
      <c r="A7112" s="1">
        <v>2000920133</v>
      </c>
      <c r="B7112" s="1" t="s">
        <v>4649</v>
      </c>
      <c r="C7112" s="1" t="s">
        <v>130</v>
      </c>
      <c r="D7112" s="1" t="s">
        <v>131</v>
      </c>
      <c r="E7112" s="1">
        <v>0</v>
      </c>
      <c r="F7112" s="1" t="s">
        <v>457</v>
      </c>
      <c r="G7112" s="1">
        <v>48</v>
      </c>
      <c r="H7112" s="1">
        <v>0</v>
      </c>
      <c r="I7112" s="1">
        <v>0</v>
      </c>
    </row>
    <row r="7113" spans="1:9" x14ac:dyDescent="0.25">
      <c r="A7113" s="1">
        <v>2140110512</v>
      </c>
      <c r="B7113" s="1" t="s">
        <v>1688</v>
      </c>
      <c r="C7113" s="1" t="s">
        <v>130</v>
      </c>
      <c r="D7113" s="1" t="s">
        <v>131</v>
      </c>
      <c r="E7113" s="1">
        <v>0</v>
      </c>
      <c r="F7113" s="1" t="s">
        <v>89</v>
      </c>
      <c r="G7113" s="1">
        <v>949</v>
      </c>
      <c r="H7113" s="1">
        <v>0</v>
      </c>
      <c r="I7113" s="1">
        <v>0</v>
      </c>
    </row>
    <row r="7114" spans="1:9" x14ac:dyDescent="0.25">
      <c r="A7114" s="1">
        <v>2140110511</v>
      </c>
      <c r="B7114" s="1" t="s">
        <v>1687</v>
      </c>
      <c r="C7114" s="1" t="s">
        <v>130</v>
      </c>
      <c r="D7114" s="1" t="s">
        <v>131</v>
      </c>
      <c r="E7114" s="1">
        <v>0</v>
      </c>
      <c r="F7114" s="1" t="s">
        <v>89</v>
      </c>
      <c r="G7114" s="3">
        <v>2147</v>
      </c>
      <c r="H7114" s="1">
        <v>0</v>
      </c>
      <c r="I7114" s="1">
        <v>0</v>
      </c>
    </row>
    <row r="7115" spans="1:9" x14ac:dyDescent="0.25">
      <c r="A7115" s="1">
        <v>2140110115</v>
      </c>
      <c r="B7115" s="1" t="s">
        <v>1567</v>
      </c>
      <c r="C7115" s="1" t="s">
        <v>130</v>
      </c>
      <c r="D7115" s="1" t="s">
        <v>131</v>
      </c>
      <c r="E7115" s="1">
        <v>0</v>
      </c>
      <c r="F7115" s="1" t="s">
        <v>89</v>
      </c>
      <c r="G7115" s="1">
        <v>641.70000000000005</v>
      </c>
      <c r="H7115" s="1">
        <v>0</v>
      </c>
      <c r="I7115" s="1">
        <v>0</v>
      </c>
    </row>
    <row r="7116" spans="1:9" x14ac:dyDescent="0.25">
      <c r="A7116" s="1">
        <v>2140110630</v>
      </c>
      <c r="B7116" s="1" t="s">
        <v>1746</v>
      </c>
      <c r="C7116" s="1" t="s">
        <v>130</v>
      </c>
      <c r="D7116" s="1" t="s">
        <v>131</v>
      </c>
      <c r="E7116" s="1">
        <v>0</v>
      </c>
      <c r="F7116" s="1" t="s">
        <v>89</v>
      </c>
      <c r="G7116" s="1">
        <v>256.3</v>
      </c>
      <c r="H7116" s="1">
        <v>0</v>
      </c>
      <c r="I7116" s="1">
        <v>0</v>
      </c>
    </row>
    <row r="7117" spans="1:9" x14ac:dyDescent="0.25">
      <c r="A7117" s="1">
        <v>2600044359</v>
      </c>
      <c r="B7117" s="1" t="s">
        <v>4453</v>
      </c>
      <c r="C7117" s="1" t="s">
        <v>130</v>
      </c>
      <c r="D7117" s="1" t="s">
        <v>131</v>
      </c>
      <c r="E7117" s="1">
        <v>4</v>
      </c>
      <c r="F7117" s="1" t="s">
        <v>36</v>
      </c>
      <c r="G7117" s="1">
        <v>0</v>
      </c>
      <c r="H7117" s="1">
        <v>0</v>
      </c>
      <c r="I7117" s="1">
        <v>549.45500000000004</v>
      </c>
    </row>
    <row r="7118" spans="1:9" x14ac:dyDescent="0.25">
      <c r="A7118" s="1">
        <v>2000140192</v>
      </c>
      <c r="B7118" s="1" t="s">
        <v>411</v>
      </c>
      <c r="C7118" s="1" t="s">
        <v>151</v>
      </c>
      <c r="D7118" s="1" t="s">
        <v>152</v>
      </c>
      <c r="E7118" s="1">
        <v>0</v>
      </c>
      <c r="F7118" s="1" t="s">
        <v>36</v>
      </c>
      <c r="G7118" s="1">
        <v>0</v>
      </c>
      <c r="H7118" s="3">
        <v>1512</v>
      </c>
      <c r="I7118" s="1">
        <v>12.078438999999999</v>
      </c>
    </row>
    <row r="7119" spans="1:9" x14ac:dyDescent="0.25">
      <c r="A7119" s="1">
        <v>2000920131</v>
      </c>
      <c r="B7119" s="1" t="s">
        <v>4650</v>
      </c>
      <c r="C7119" s="1" t="s">
        <v>130</v>
      </c>
      <c r="D7119" s="1" t="s">
        <v>131</v>
      </c>
      <c r="E7119" s="1">
        <v>0</v>
      </c>
      <c r="F7119" s="1" t="s">
        <v>457</v>
      </c>
      <c r="G7119" s="1">
        <v>48</v>
      </c>
      <c r="H7119" s="1">
        <v>0</v>
      </c>
      <c r="I7119" s="1">
        <v>0</v>
      </c>
    </row>
    <row r="7120" spans="1:9" x14ac:dyDescent="0.25">
      <c r="A7120" s="1">
        <v>2140230009</v>
      </c>
      <c r="B7120" s="1" t="s">
        <v>1876</v>
      </c>
      <c r="C7120" s="1" t="s">
        <v>130</v>
      </c>
      <c r="D7120" s="1" t="s">
        <v>131</v>
      </c>
      <c r="E7120" s="1">
        <v>0</v>
      </c>
      <c r="F7120" s="1" t="s">
        <v>36</v>
      </c>
      <c r="G7120" s="3">
        <v>1748</v>
      </c>
      <c r="H7120" s="1">
        <v>0</v>
      </c>
      <c r="I7120" s="1">
        <v>2.0041669999999998</v>
      </c>
    </row>
    <row r="7121" spans="1:9" x14ac:dyDescent="0.25">
      <c r="A7121" s="1">
        <v>2000920064</v>
      </c>
      <c r="B7121" s="1" t="s">
        <v>940</v>
      </c>
      <c r="C7121" s="1" t="s">
        <v>137</v>
      </c>
      <c r="D7121" s="1" t="s">
        <v>138</v>
      </c>
      <c r="E7121" s="1">
        <v>0</v>
      </c>
      <c r="F7121" s="1" t="s">
        <v>457</v>
      </c>
      <c r="G7121" s="1">
        <v>0</v>
      </c>
      <c r="H7121" s="1">
        <v>1</v>
      </c>
      <c r="I7121" s="1">
        <v>0</v>
      </c>
    </row>
    <row r="7122" spans="1:9" x14ac:dyDescent="0.25">
      <c r="A7122" s="1">
        <v>2000140167</v>
      </c>
      <c r="B7122" s="1" t="s">
        <v>401</v>
      </c>
      <c r="C7122" s="1" t="s">
        <v>151</v>
      </c>
      <c r="D7122" s="1" t="s">
        <v>152</v>
      </c>
      <c r="E7122" s="1">
        <v>0</v>
      </c>
      <c r="F7122" s="1" t="s">
        <v>36</v>
      </c>
      <c r="G7122" s="1">
        <v>0</v>
      </c>
      <c r="H7122" s="3">
        <v>3168</v>
      </c>
      <c r="I7122" s="1">
        <v>1.8109900000000001</v>
      </c>
    </row>
    <row r="7123" spans="1:9" x14ac:dyDescent="0.25">
      <c r="A7123" s="1">
        <v>2000040209</v>
      </c>
      <c r="B7123" s="1" t="s">
        <v>189</v>
      </c>
      <c r="C7123" s="1" t="s">
        <v>142</v>
      </c>
      <c r="D7123" s="1" t="s">
        <v>143</v>
      </c>
      <c r="E7123" s="1">
        <v>0</v>
      </c>
      <c r="F7123" s="1" t="s">
        <v>36</v>
      </c>
      <c r="G7123" s="1">
        <v>0</v>
      </c>
      <c r="H7123" s="1">
        <v>60</v>
      </c>
      <c r="I7123" s="1">
        <v>4.51</v>
      </c>
    </row>
    <row r="7124" spans="1:9" x14ac:dyDescent="0.25">
      <c r="A7124" s="1">
        <v>2000920128</v>
      </c>
      <c r="B7124" s="1" t="s">
        <v>4651</v>
      </c>
      <c r="C7124" s="1" t="s">
        <v>130</v>
      </c>
      <c r="D7124" s="1" t="s">
        <v>131</v>
      </c>
      <c r="E7124" s="1">
        <v>0</v>
      </c>
      <c r="F7124" s="1" t="s">
        <v>457</v>
      </c>
      <c r="G7124" s="1">
        <v>48</v>
      </c>
      <c r="H7124" s="1">
        <v>0</v>
      </c>
      <c r="I7124" s="1">
        <v>0</v>
      </c>
    </row>
    <row r="7125" spans="1:9" x14ac:dyDescent="0.25">
      <c r="A7125" s="1">
        <v>2410290611</v>
      </c>
      <c r="B7125" s="1" t="s">
        <v>3429</v>
      </c>
      <c r="C7125" s="1" t="s">
        <v>130</v>
      </c>
      <c r="D7125" s="1" t="s">
        <v>131</v>
      </c>
      <c r="E7125" s="1">
        <v>0</v>
      </c>
      <c r="F7125" s="1" t="s">
        <v>36</v>
      </c>
      <c r="G7125" s="1">
        <v>0</v>
      </c>
      <c r="H7125" s="3">
        <v>2100</v>
      </c>
      <c r="I7125" s="1">
        <v>0.69868200000000003</v>
      </c>
    </row>
    <row r="7126" spans="1:9" x14ac:dyDescent="0.25">
      <c r="A7126" s="1">
        <v>2140110632</v>
      </c>
      <c r="B7126" s="1" t="s">
        <v>1748</v>
      </c>
      <c r="C7126" s="1" t="s">
        <v>139</v>
      </c>
      <c r="D7126" s="1" t="s">
        <v>140</v>
      </c>
      <c r="E7126" s="1">
        <v>0</v>
      </c>
      <c r="F7126" s="1" t="s">
        <v>36</v>
      </c>
      <c r="G7126" s="1">
        <v>50</v>
      </c>
      <c r="H7126" s="1">
        <v>0</v>
      </c>
      <c r="I7126" s="1">
        <v>1.5768409999999999</v>
      </c>
    </row>
    <row r="7127" spans="1:9" x14ac:dyDescent="0.25">
      <c r="A7127" s="1">
        <v>2000920005</v>
      </c>
      <c r="B7127" s="1" t="s">
        <v>888</v>
      </c>
      <c r="C7127" s="1" t="s">
        <v>137</v>
      </c>
      <c r="D7127" s="1" t="s">
        <v>138</v>
      </c>
      <c r="E7127" s="1">
        <v>0</v>
      </c>
      <c r="F7127" s="1" t="s">
        <v>457</v>
      </c>
      <c r="G7127" s="1">
        <v>0</v>
      </c>
      <c r="H7127" s="1">
        <v>1</v>
      </c>
      <c r="I7127" s="1">
        <v>0</v>
      </c>
    </row>
    <row r="7128" spans="1:9" x14ac:dyDescent="0.25">
      <c r="A7128" s="1">
        <v>2000920004</v>
      </c>
      <c r="B7128" s="1" t="s">
        <v>887</v>
      </c>
      <c r="C7128" s="1" t="s">
        <v>137</v>
      </c>
      <c r="D7128" s="1" t="s">
        <v>138</v>
      </c>
      <c r="E7128" s="1">
        <v>0</v>
      </c>
      <c r="F7128" s="1" t="s">
        <v>457</v>
      </c>
      <c r="G7128" s="1">
        <v>0</v>
      </c>
      <c r="H7128" s="1">
        <v>1</v>
      </c>
      <c r="I7128" s="1">
        <v>0</v>
      </c>
    </row>
    <row r="7129" spans="1:9" x14ac:dyDescent="0.25">
      <c r="A7129" s="1">
        <v>2000920002</v>
      </c>
      <c r="B7129" s="1" t="s">
        <v>885</v>
      </c>
      <c r="C7129" s="1" t="s">
        <v>137</v>
      </c>
      <c r="D7129" s="1" t="s">
        <v>138</v>
      </c>
      <c r="E7129" s="1">
        <v>0</v>
      </c>
      <c r="F7129" s="1" t="s">
        <v>457</v>
      </c>
      <c r="G7129" s="1">
        <v>0</v>
      </c>
      <c r="H7129" s="1">
        <v>1</v>
      </c>
      <c r="I7129" s="1">
        <v>0</v>
      </c>
    </row>
    <row r="7130" spans="1:9" x14ac:dyDescent="0.25">
      <c r="A7130" s="1">
        <v>2000920001</v>
      </c>
      <c r="B7130" s="1" t="s">
        <v>884</v>
      </c>
      <c r="C7130" s="1" t="s">
        <v>137</v>
      </c>
      <c r="D7130" s="1" t="s">
        <v>138</v>
      </c>
      <c r="E7130" s="1">
        <v>0</v>
      </c>
      <c r="F7130" s="1" t="s">
        <v>457</v>
      </c>
      <c r="G7130" s="1">
        <v>0</v>
      </c>
      <c r="H7130" s="1">
        <v>1</v>
      </c>
      <c r="I7130" s="1">
        <v>0</v>
      </c>
    </row>
    <row r="7131" spans="1:9" x14ac:dyDescent="0.25">
      <c r="A7131" s="1">
        <v>2140120002</v>
      </c>
      <c r="B7131" s="1" t="s">
        <v>4652</v>
      </c>
      <c r="C7131" s="1" t="s">
        <v>130</v>
      </c>
      <c r="D7131" s="1" t="s">
        <v>131</v>
      </c>
      <c r="E7131" s="1">
        <v>0</v>
      </c>
      <c r="F7131" s="1" t="s">
        <v>36</v>
      </c>
      <c r="G7131" s="1">
        <v>19</v>
      </c>
      <c r="H7131" s="1">
        <v>0</v>
      </c>
      <c r="I7131" s="1">
        <v>0</v>
      </c>
    </row>
    <row r="7132" spans="1:9" x14ac:dyDescent="0.25">
      <c r="A7132" s="1">
        <v>2000070179</v>
      </c>
      <c r="B7132" s="1" t="s">
        <v>317</v>
      </c>
      <c r="C7132" s="1" t="s">
        <v>139</v>
      </c>
      <c r="D7132" s="1" t="s">
        <v>140</v>
      </c>
      <c r="E7132" s="1">
        <v>0</v>
      </c>
      <c r="F7132" s="1" t="s">
        <v>230</v>
      </c>
      <c r="G7132" s="1">
        <v>1</v>
      </c>
      <c r="H7132" s="1">
        <v>0</v>
      </c>
      <c r="I7132" s="1">
        <v>2.712682</v>
      </c>
    </row>
    <row r="7133" spans="1:9" x14ac:dyDescent="0.25">
      <c r="A7133" s="1">
        <v>2320040434</v>
      </c>
      <c r="B7133" s="1" t="s">
        <v>2762</v>
      </c>
      <c r="C7133" s="1" t="s">
        <v>523</v>
      </c>
      <c r="D7133" s="1" t="s">
        <v>524</v>
      </c>
      <c r="E7133" s="1">
        <v>0</v>
      </c>
      <c r="F7133" s="1" t="s">
        <v>36</v>
      </c>
      <c r="G7133" s="1">
        <v>500</v>
      </c>
      <c r="H7133" s="1">
        <v>0</v>
      </c>
      <c r="I7133" s="1">
        <v>1.0510710000000001</v>
      </c>
    </row>
    <row r="7134" spans="1:9" x14ac:dyDescent="0.25">
      <c r="A7134" s="1">
        <v>2000070178</v>
      </c>
      <c r="B7134" s="1" t="s">
        <v>316</v>
      </c>
      <c r="C7134" s="1" t="s">
        <v>139</v>
      </c>
      <c r="D7134" s="1" t="s">
        <v>140</v>
      </c>
      <c r="E7134" s="1">
        <v>0</v>
      </c>
      <c r="F7134" s="1" t="s">
        <v>230</v>
      </c>
      <c r="G7134" s="1">
        <v>1</v>
      </c>
      <c r="H7134" s="1">
        <v>0</v>
      </c>
      <c r="I7134" s="1">
        <v>2.8425690000000001</v>
      </c>
    </row>
    <row r="7135" spans="1:9" x14ac:dyDescent="0.25">
      <c r="A7135" s="1">
        <v>2000070177</v>
      </c>
      <c r="B7135" s="1" t="s">
        <v>315</v>
      </c>
      <c r="C7135" s="1" t="s">
        <v>139</v>
      </c>
      <c r="D7135" s="1" t="s">
        <v>140</v>
      </c>
      <c r="E7135" s="1">
        <v>0</v>
      </c>
      <c r="F7135" s="1" t="s">
        <v>230</v>
      </c>
      <c r="G7135" s="1">
        <v>1</v>
      </c>
      <c r="H7135" s="1">
        <v>0</v>
      </c>
      <c r="I7135" s="1">
        <v>0</v>
      </c>
    </row>
    <row r="7136" spans="1:9" x14ac:dyDescent="0.25">
      <c r="A7136" s="1">
        <v>2140110705</v>
      </c>
      <c r="B7136" s="1" t="s">
        <v>1801</v>
      </c>
      <c r="C7136" s="1" t="s">
        <v>130</v>
      </c>
      <c r="D7136" s="1" t="s">
        <v>131</v>
      </c>
      <c r="E7136" s="1">
        <v>0</v>
      </c>
      <c r="F7136" s="1" t="s">
        <v>36</v>
      </c>
      <c r="G7136" s="3">
        <v>19500</v>
      </c>
      <c r="H7136" s="1">
        <v>0</v>
      </c>
      <c r="I7136" s="1">
        <v>0</v>
      </c>
    </row>
    <row r="7137" spans="1:9" x14ac:dyDescent="0.25">
      <c r="A7137" s="1">
        <v>2000530495</v>
      </c>
      <c r="B7137" s="1" t="s">
        <v>726</v>
      </c>
      <c r="C7137" s="1" t="s">
        <v>130</v>
      </c>
      <c r="D7137" s="1" t="s">
        <v>131</v>
      </c>
      <c r="E7137" s="1">
        <v>0</v>
      </c>
      <c r="F7137" s="1" t="s">
        <v>457</v>
      </c>
      <c r="G7137" s="1">
        <v>662</v>
      </c>
      <c r="H7137" s="1">
        <v>0</v>
      </c>
      <c r="I7137" s="1">
        <v>0</v>
      </c>
    </row>
    <row r="7138" spans="1:9" x14ac:dyDescent="0.25">
      <c r="A7138" s="1">
        <v>2140010026</v>
      </c>
      <c r="B7138" s="1" t="s">
        <v>1518</v>
      </c>
      <c r="C7138" s="1" t="s">
        <v>130</v>
      </c>
      <c r="D7138" s="1" t="s">
        <v>131</v>
      </c>
      <c r="E7138" s="1">
        <v>0</v>
      </c>
      <c r="F7138" s="1" t="s">
        <v>36</v>
      </c>
      <c r="G7138" s="3">
        <v>5046</v>
      </c>
      <c r="H7138" s="1">
        <v>0</v>
      </c>
      <c r="I7138" s="1">
        <v>0</v>
      </c>
    </row>
    <row r="7139" spans="1:9" x14ac:dyDescent="0.25">
      <c r="A7139" s="1">
        <v>2140450123</v>
      </c>
      <c r="B7139" s="1" t="s">
        <v>4653</v>
      </c>
      <c r="C7139" s="1" t="s">
        <v>130</v>
      </c>
      <c r="D7139" s="1" t="s">
        <v>131</v>
      </c>
      <c r="E7139" s="1">
        <v>0</v>
      </c>
      <c r="F7139" s="1" t="s">
        <v>509</v>
      </c>
      <c r="G7139" s="1">
        <v>3</v>
      </c>
      <c r="H7139" s="1">
        <v>0</v>
      </c>
      <c r="I7139" s="1">
        <v>0</v>
      </c>
    </row>
    <row r="7140" spans="1:9" x14ac:dyDescent="0.25">
      <c r="A7140" s="1">
        <v>2000420088</v>
      </c>
      <c r="B7140" s="1" t="s">
        <v>581</v>
      </c>
      <c r="C7140" s="1" t="s">
        <v>142</v>
      </c>
      <c r="D7140" s="1" t="s">
        <v>143</v>
      </c>
      <c r="E7140" s="1">
        <v>0</v>
      </c>
      <c r="F7140" s="1" t="s">
        <v>36</v>
      </c>
      <c r="G7140" s="1">
        <v>0</v>
      </c>
      <c r="H7140" s="3">
        <v>11200</v>
      </c>
      <c r="I7140" s="1">
        <v>1.321183</v>
      </c>
    </row>
    <row r="7141" spans="1:9" x14ac:dyDescent="0.25">
      <c r="A7141" s="1">
        <v>2000420121</v>
      </c>
      <c r="B7141" s="1" t="s">
        <v>616</v>
      </c>
      <c r="C7141" s="1" t="s">
        <v>151</v>
      </c>
      <c r="D7141" s="1" t="s">
        <v>152</v>
      </c>
      <c r="E7141" s="1">
        <v>0</v>
      </c>
      <c r="F7141" s="1" t="s">
        <v>36</v>
      </c>
      <c r="G7141" s="1">
        <v>0</v>
      </c>
      <c r="H7141" s="3">
        <v>2650</v>
      </c>
      <c r="I7141" s="1">
        <v>2.0293489999999998</v>
      </c>
    </row>
    <row r="7142" spans="1:9" x14ac:dyDescent="0.25">
      <c r="A7142" s="1">
        <v>2420030061</v>
      </c>
      <c r="B7142" s="1" t="s">
        <v>3559</v>
      </c>
      <c r="C7142" s="1" t="s">
        <v>3560</v>
      </c>
      <c r="D7142" s="1" t="s">
        <v>3561</v>
      </c>
      <c r="E7142" s="1">
        <v>0</v>
      </c>
      <c r="F7142" s="1" t="s">
        <v>89</v>
      </c>
      <c r="G7142" s="1">
        <v>0</v>
      </c>
      <c r="H7142" s="1">
        <v>76</v>
      </c>
      <c r="I7142" s="1">
        <v>5.0756579999999998</v>
      </c>
    </row>
    <row r="7143" spans="1:9" x14ac:dyDescent="0.25">
      <c r="A7143" s="1">
        <v>2110210030</v>
      </c>
      <c r="B7143" s="1" t="s">
        <v>1414</v>
      </c>
      <c r="C7143" s="1" t="s">
        <v>151</v>
      </c>
      <c r="D7143" s="1" t="s">
        <v>152</v>
      </c>
      <c r="E7143" s="1">
        <v>0</v>
      </c>
      <c r="F7143" s="1" t="s">
        <v>36</v>
      </c>
      <c r="G7143" s="1">
        <v>0</v>
      </c>
      <c r="H7143" s="3">
        <v>6500</v>
      </c>
      <c r="I7143" s="1">
        <v>1.5220199999999999</v>
      </c>
    </row>
    <row r="7144" spans="1:9" x14ac:dyDescent="0.25">
      <c r="A7144" s="1">
        <v>2000880016</v>
      </c>
      <c r="B7144" s="1" t="s">
        <v>4642</v>
      </c>
      <c r="C7144" s="1" t="s">
        <v>130</v>
      </c>
      <c r="D7144" s="1" t="s">
        <v>131</v>
      </c>
      <c r="E7144" s="1">
        <v>0</v>
      </c>
      <c r="F7144" s="1" t="s">
        <v>36</v>
      </c>
      <c r="G7144" s="3">
        <v>5000</v>
      </c>
      <c r="H7144" s="1">
        <v>0</v>
      </c>
      <c r="I7144" s="1">
        <v>24.44622</v>
      </c>
    </row>
    <row r="7145" spans="1:9" x14ac:dyDescent="0.25">
      <c r="A7145" s="1">
        <v>2110210030</v>
      </c>
      <c r="B7145" s="1" t="s">
        <v>1414</v>
      </c>
      <c r="C7145" s="1" t="s">
        <v>139</v>
      </c>
      <c r="D7145" s="1" t="s">
        <v>140</v>
      </c>
      <c r="E7145" s="1">
        <v>0</v>
      </c>
      <c r="F7145" s="1" t="s">
        <v>36</v>
      </c>
      <c r="G7145" s="3">
        <v>3000</v>
      </c>
      <c r="H7145" s="1">
        <v>0</v>
      </c>
      <c r="I7145" s="1">
        <v>0</v>
      </c>
    </row>
    <row r="7146" spans="1:9" x14ac:dyDescent="0.25">
      <c r="A7146" s="1">
        <v>2110210021</v>
      </c>
      <c r="B7146" s="1" t="s">
        <v>1405</v>
      </c>
      <c r="C7146" s="1" t="s">
        <v>151</v>
      </c>
      <c r="D7146" s="1" t="s">
        <v>152</v>
      </c>
      <c r="E7146" s="1">
        <v>0</v>
      </c>
      <c r="F7146" s="1" t="s">
        <v>36</v>
      </c>
      <c r="G7146" s="1">
        <v>0</v>
      </c>
      <c r="H7146" s="3">
        <v>6400</v>
      </c>
      <c r="I7146" s="1">
        <v>1.73312</v>
      </c>
    </row>
    <row r="7147" spans="1:9" x14ac:dyDescent="0.25">
      <c r="A7147" s="1">
        <v>2110210021</v>
      </c>
      <c r="B7147" s="1" t="s">
        <v>1405</v>
      </c>
      <c r="C7147" s="1" t="s">
        <v>139</v>
      </c>
      <c r="D7147" s="1" t="s">
        <v>140</v>
      </c>
      <c r="E7147" s="1">
        <v>0</v>
      </c>
      <c r="F7147" s="1" t="s">
        <v>36</v>
      </c>
      <c r="G7147" s="3">
        <v>3200</v>
      </c>
      <c r="H7147" s="1">
        <v>0</v>
      </c>
      <c r="I7147" s="1">
        <v>0</v>
      </c>
    </row>
    <row r="7148" spans="1:9" x14ac:dyDescent="0.25">
      <c r="A7148" s="1">
        <v>2110120396</v>
      </c>
      <c r="B7148" s="1" t="s">
        <v>1361</v>
      </c>
      <c r="C7148" s="1" t="s">
        <v>130</v>
      </c>
      <c r="D7148" s="1" t="s">
        <v>131</v>
      </c>
      <c r="E7148" s="1">
        <v>0</v>
      </c>
      <c r="F7148" s="1" t="s">
        <v>1231</v>
      </c>
      <c r="G7148" s="1">
        <v>0</v>
      </c>
      <c r="H7148" s="1">
        <v>178</v>
      </c>
      <c r="I7148" s="1">
        <v>0</v>
      </c>
    </row>
    <row r="7149" spans="1:9" x14ac:dyDescent="0.25">
      <c r="A7149" s="1">
        <v>2320080093</v>
      </c>
      <c r="B7149" s="1" t="s">
        <v>3019</v>
      </c>
      <c r="C7149" s="1" t="s">
        <v>130</v>
      </c>
      <c r="D7149" s="1" t="s">
        <v>131</v>
      </c>
      <c r="E7149" s="1">
        <v>0</v>
      </c>
      <c r="F7149" s="1" t="s">
        <v>36</v>
      </c>
      <c r="G7149" s="1">
        <v>512</v>
      </c>
      <c r="H7149" s="3">
        <v>1440</v>
      </c>
      <c r="I7149" s="1">
        <v>6.46488</v>
      </c>
    </row>
    <row r="7150" spans="1:9" x14ac:dyDescent="0.25">
      <c r="A7150" s="1">
        <v>2000880015</v>
      </c>
      <c r="B7150" s="1" t="s">
        <v>4643</v>
      </c>
      <c r="C7150" s="1" t="s">
        <v>130</v>
      </c>
      <c r="D7150" s="1" t="s">
        <v>131</v>
      </c>
      <c r="E7150" s="1">
        <v>0</v>
      </c>
      <c r="F7150" s="1" t="s">
        <v>36</v>
      </c>
      <c r="G7150" s="3">
        <v>5000</v>
      </c>
      <c r="H7150" s="1">
        <v>0</v>
      </c>
      <c r="I7150" s="1">
        <v>17.437190000000001</v>
      </c>
    </row>
    <row r="7151" spans="1:9" x14ac:dyDescent="0.25">
      <c r="A7151" s="1">
        <v>2600044357</v>
      </c>
      <c r="B7151" s="1" t="s">
        <v>4452</v>
      </c>
      <c r="C7151" s="1" t="s">
        <v>130</v>
      </c>
      <c r="D7151" s="1" t="s">
        <v>131</v>
      </c>
      <c r="E7151" s="1">
        <v>2</v>
      </c>
      <c r="F7151" s="1" t="s">
        <v>36</v>
      </c>
      <c r="G7151" s="1">
        <v>0</v>
      </c>
      <c r="H7151" s="1">
        <v>0</v>
      </c>
      <c r="I7151" s="1">
        <v>555.32500000000005</v>
      </c>
    </row>
    <row r="7152" spans="1:9" x14ac:dyDescent="0.25">
      <c r="A7152" s="1">
        <v>2420190013</v>
      </c>
      <c r="B7152" s="1" t="s">
        <v>3597</v>
      </c>
      <c r="C7152" s="1" t="s">
        <v>2333</v>
      </c>
      <c r="D7152" s="1" t="s">
        <v>2334</v>
      </c>
      <c r="E7152" s="1">
        <v>0</v>
      </c>
      <c r="F7152" s="1" t="s">
        <v>36</v>
      </c>
      <c r="G7152" s="1">
        <v>0.03</v>
      </c>
      <c r="H7152" s="1">
        <v>0</v>
      </c>
      <c r="I7152" s="1">
        <v>29.06</v>
      </c>
    </row>
    <row r="7153" spans="1:9" x14ac:dyDescent="0.25">
      <c r="A7153" s="1">
        <v>2000140161</v>
      </c>
      <c r="B7153" s="1" t="s">
        <v>395</v>
      </c>
      <c r="C7153" s="1" t="s">
        <v>139</v>
      </c>
      <c r="D7153" s="1" t="s">
        <v>140</v>
      </c>
      <c r="E7153" s="1">
        <v>0</v>
      </c>
      <c r="F7153" s="1" t="s">
        <v>36</v>
      </c>
      <c r="G7153" s="3">
        <v>34190</v>
      </c>
      <c r="H7153" s="1">
        <v>0</v>
      </c>
      <c r="I7153" s="1">
        <v>0.201322</v>
      </c>
    </row>
    <row r="7154" spans="1:9" x14ac:dyDescent="0.25">
      <c r="A7154" s="1">
        <v>2000510009</v>
      </c>
      <c r="B7154" s="1" t="s">
        <v>644</v>
      </c>
      <c r="C7154" s="1" t="s">
        <v>130</v>
      </c>
      <c r="D7154" s="1" t="s">
        <v>131</v>
      </c>
      <c r="E7154" s="1">
        <v>0</v>
      </c>
      <c r="F7154" s="1" t="s">
        <v>36</v>
      </c>
      <c r="G7154" s="1">
        <v>3</v>
      </c>
      <c r="H7154" s="1">
        <v>0</v>
      </c>
      <c r="I7154" s="1">
        <v>0</v>
      </c>
    </row>
    <row r="7155" spans="1:9" x14ac:dyDescent="0.25">
      <c r="A7155" s="1">
        <v>2110010242</v>
      </c>
      <c r="B7155" s="1" t="s">
        <v>391</v>
      </c>
      <c r="C7155" s="1" t="s">
        <v>130</v>
      </c>
      <c r="D7155" s="1" t="s">
        <v>131</v>
      </c>
      <c r="E7155" s="1">
        <v>0</v>
      </c>
      <c r="F7155" s="1" t="s">
        <v>36</v>
      </c>
      <c r="G7155" s="1">
        <v>132</v>
      </c>
      <c r="H7155" s="1">
        <v>0</v>
      </c>
      <c r="I7155" s="1">
        <v>0</v>
      </c>
    </row>
    <row r="7156" spans="1:9" x14ac:dyDescent="0.25">
      <c r="A7156" s="1">
        <v>2000530401</v>
      </c>
      <c r="B7156" s="1" t="s">
        <v>649</v>
      </c>
      <c r="C7156" s="1" t="s">
        <v>137</v>
      </c>
      <c r="D7156" s="1" t="s">
        <v>138</v>
      </c>
      <c r="E7156" s="1">
        <v>0</v>
      </c>
      <c r="F7156" s="1" t="s">
        <v>457</v>
      </c>
      <c r="G7156" s="1">
        <v>0</v>
      </c>
      <c r="H7156" s="1">
        <v>5</v>
      </c>
      <c r="I7156" s="1">
        <v>1.782143</v>
      </c>
    </row>
    <row r="7157" spans="1:9" x14ac:dyDescent="0.25">
      <c r="A7157" s="1">
        <v>2000030057</v>
      </c>
      <c r="B7157" s="1" t="s">
        <v>165</v>
      </c>
      <c r="C7157" s="1" t="s">
        <v>139</v>
      </c>
      <c r="D7157" s="1" t="s">
        <v>140</v>
      </c>
      <c r="E7157" s="1">
        <v>0</v>
      </c>
      <c r="F7157" s="1" t="s">
        <v>147</v>
      </c>
      <c r="G7157" s="3">
        <v>6912</v>
      </c>
      <c r="H7157" s="1">
        <v>0</v>
      </c>
      <c r="I7157" s="1">
        <v>1.028783</v>
      </c>
    </row>
    <row r="7158" spans="1:9" x14ac:dyDescent="0.25">
      <c r="A7158" s="1">
        <v>2140110714</v>
      </c>
      <c r="B7158" s="1" t="s">
        <v>1810</v>
      </c>
      <c r="C7158" s="1" t="s">
        <v>130</v>
      </c>
      <c r="D7158" s="1" t="s">
        <v>131</v>
      </c>
      <c r="E7158" s="1">
        <v>0</v>
      </c>
      <c r="F7158" s="1" t="s">
        <v>36</v>
      </c>
      <c r="G7158" s="1">
        <v>500</v>
      </c>
      <c r="H7158" s="1">
        <v>0</v>
      </c>
      <c r="I7158" s="1">
        <v>2.2515999999999998</v>
      </c>
    </row>
    <row r="7159" spans="1:9" x14ac:dyDescent="0.25">
      <c r="A7159" s="1">
        <v>2000930003</v>
      </c>
      <c r="B7159" s="1" t="s">
        <v>1011</v>
      </c>
      <c r="C7159" s="1" t="s">
        <v>130</v>
      </c>
      <c r="D7159" s="1" t="s">
        <v>131</v>
      </c>
      <c r="E7159" s="1">
        <v>0</v>
      </c>
      <c r="F7159" s="1" t="s">
        <v>36</v>
      </c>
      <c r="G7159" s="1">
        <v>671</v>
      </c>
      <c r="H7159" s="1">
        <v>0</v>
      </c>
      <c r="I7159" s="1">
        <v>3.6866669999999999</v>
      </c>
    </row>
    <row r="7160" spans="1:9" x14ac:dyDescent="0.25">
      <c r="A7160" s="1">
        <v>2000530503</v>
      </c>
      <c r="B7160" s="1" t="s">
        <v>734</v>
      </c>
      <c r="C7160" s="1" t="s">
        <v>130</v>
      </c>
      <c r="D7160" s="1" t="s">
        <v>131</v>
      </c>
      <c r="E7160" s="1">
        <v>0</v>
      </c>
      <c r="F7160" s="1" t="s">
        <v>457</v>
      </c>
      <c r="G7160" s="1">
        <v>110</v>
      </c>
      <c r="H7160" s="1">
        <v>0</v>
      </c>
      <c r="I7160" s="1">
        <v>1.9375</v>
      </c>
    </row>
    <row r="7161" spans="1:9" x14ac:dyDescent="0.25">
      <c r="A7161" s="1">
        <v>2110210015</v>
      </c>
      <c r="B7161" s="1" t="s">
        <v>1399</v>
      </c>
      <c r="C7161" s="1" t="s">
        <v>139</v>
      </c>
      <c r="D7161" s="1" t="s">
        <v>140</v>
      </c>
      <c r="E7161" s="1">
        <v>0</v>
      </c>
      <c r="F7161" s="1" t="s">
        <v>36</v>
      </c>
      <c r="G7161" s="1">
        <v>50</v>
      </c>
      <c r="H7161" s="1">
        <v>500</v>
      </c>
      <c r="I7161" s="1">
        <v>0</v>
      </c>
    </row>
  </sheetData>
  <autoFilter ref="A1:I7161" xr:uid="{6ABCD144-1029-46C6-B410-E258904CD7C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Explosión</vt:lpstr>
      <vt:lpstr>Materiales</vt:lpstr>
      <vt:lpstr>Hoja1</vt:lpstr>
      <vt:lpstr>Tiempos</vt:lpstr>
      <vt:lpstr>Hoja4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2026-02-19T16:37:09Z</dcterms:created>
  <dcterms:modified xsi:type="dcterms:W3CDTF">2026-02-24T21:39:58Z</dcterms:modified>
</cp:coreProperties>
</file>